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7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uchenyuan/Dropbox/KFF Employer Health Survey Data 2015/- AVC/AV comparison/"/>
    </mc:Choice>
  </mc:AlternateContent>
  <bookViews>
    <workbookView xWindow="1020" yWindow="460" windowWidth="18200" windowHeight="11820" activeTab="5"/>
  </bookViews>
  <sheets>
    <sheet name="cms" sheetId="2" r:id="rId1"/>
    <sheet name="gold" sheetId="1" state="hidden" r:id="rId2"/>
    <sheet name="silver" sheetId="3" state="hidden" r:id="rId3"/>
    <sheet name="bronze" sheetId="4" state="hidden" r:id="rId4"/>
    <sheet name="meps" sheetId="5" r:id="rId5"/>
    <sheet name="simu" sheetId="6" r:id="rId6"/>
    <sheet name="MD" sheetId="7" r:id="rId7"/>
    <sheet name="label" sheetId="11" r:id="rId8"/>
    <sheet name="goldcombined" sheetId="10" r:id="rId9"/>
    <sheet name="Gold Cont. Table - Combined (2" sheetId="9" state="hidden" r:id="rId10"/>
    <sheet name="goldcombined2" sheetId="18" r:id="rId11"/>
    <sheet name="corr" sheetId="19" r:id="rId12"/>
    <sheet name="platinumcombined" sheetId="12" r:id="rId13"/>
    <sheet name="bronzecombined" sheetId="13" r:id="rId14"/>
    <sheet name="Platinum Cont. Table - Combined" sheetId="14" r:id="rId15"/>
    <sheet name="Gold Cont. Table - Combined" sheetId="15" r:id="rId16"/>
    <sheet name="Silver Cont. Table - Combined" sheetId="16" r:id="rId17"/>
    <sheet name="Bronze Cont. Table - Combined" sheetId="17" r:id="rId18"/>
  </sheets>
  <definedNames>
    <definedName name="HasBeenOpened" hidden="1">TRUE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" i="6" l="1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4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6" i="15"/>
  <c r="AI5" i="17"/>
  <c r="AJ5" i="17"/>
  <c r="AI6" i="17"/>
  <c r="AJ6" i="17"/>
  <c r="BA6" i="17"/>
  <c r="BB6" i="17"/>
  <c r="AI7" i="17"/>
  <c r="AJ7" i="17"/>
  <c r="BA7" i="17"/>
  <c r="BB7" i="17"/>
  <c r="AI8" i="17"/>
  <c r="AJ8" i="17"/>
  <c r="BA8" i="17"/>
  <c r="BB8" i="17"/>
  <c r="AI9" i="17"/>
  <c r="AJ9" i="17"/>
  <c r="BA9" i="17"/>
  <c r="BB9" i="17"/>
  <c r="AI10" i="17"/>
  <c r="AJ10" i="17"/>
  <c r="BA10" i="17"/>
  <c r="BB10" i="17"/>
  <c r="AI11" i="17"/>
  <c r="AJ11" i="17"/>
  <c r="BA11" i="17"/>
  <c r="BB11" i="17"/>
  <c r="AI12" i="17"/>
  <c r="AJ12" i="17"/>
  <c r="BA12" i="17"/>
  <c r="BB12" i="17"/>
  <c r="AI13" i="17"/>
  <c r="AJ13" i="17"/>
  <c r="BA13" i="17"/>
  <c r="BB13" i="17"/>
  <c r="AI14" i="17"/>
  <c r="AJ14" i="17"/>
  <c r="BA14" i="17"/>
  <c r="BB14" i="17"/>
  <c r="AI15" i="17"/>
  <c r="AJ15" i="17"/>
  <c r="BA15" i="17"/>
  <c r="BB15" i="17"/>
  <c r="AI16" i="17"/>
  <c r="AJ16" i="17"/>
  <c r="BA16" i="17"/>
  <c r="BB16" i="17"/>
  <c r="AI17" i="17"/>
  <c r="AJ17" i="17"/>
  <c r="BA17" i="17"/>
  <c r="BB17" i="17"/>
  <c r="AI18" i="17"/>
  <c r="AJ18" i="17"/>
  <c r="BA18" i="17"/>
  <c r="BB18" i="17"/>
  <c r="AI19" i="17"/>
  <c r="AJ19" i="17"/>
  <c r="BA19" i="17"/>
  <c r="BB19" i="17"/>
  <c r="AI20" i="17"/>
  <c r="AJ20" i="17"/>
  <c r="BA20" i="17"/>
  <c r="BB20" i="17"/>
  <c r="AI21" i="17"/>
  <c r="AJ21" i="17"/>
  <c r="BA21" i="17"/>
  <c r="BB21" i="17"/>
  <c r="AI22" i="17"/>
  <c r="AJ22" i="17"/>
  <c r="BA22" i="17"/>
  <c r="BB22" i="17"/>
  <c r="AI23" i="17"/>
  <c r="AJ23" i="17"/>
  <c r="BA23" i="17"/>
  <c r="BB23" i="17"/>
  <c r="AI24" i="17"/>
  <c r="AJ24" i="17"/>
  <c r="BA24" i="17"/>
  <c r="BB24" i="17"/>
  <c r="AI25" i="17"/>
  <c r="AJ25" i="17"/>
  <c r="BA25" i="17"/>
  <c r="BB25" i="17"/>
  <c r="AI26" i="17"/>
  <c r="AJ26" i="17"/>
  <c r="BA26" i="17"/>
  <c r="BB26" i="17"/>
  <c r="AI27" i="17"/>
  <c r="AJ27" i="17"/>
  <c r="BA27" i="17"/>
  <c r="BB27" i="17"/>
  <c r="AI28" i="17"/>
  <c r="AJ28" i="17"/>
  <c r="BA28" i="17"/>
  <c r="BB28" i="17"/>
  <c r="AI29" i="17"/>
  <c r="AJ29" i="17"/>
  <c r="BA29" i="17"/>
  <c r="BB29" i="17"/>
  <c r="AI30" i="17"/>
  <c r="AJ30" i="17"/>
  <c r="BA30" i="17"/>
  <c r="BB30" i="17"/>
  <c r="AI31" i="17"/>
  <c r="AJ31" i="17"/>
  <c r="BA31" i="17"/>
  <c r="BB31" i="17"/>
  <c r="AI32" i="17"/>
  <c r="AJ32" i="17"/>
  <c r="BA32" i="17"/>
  <c r="BB32" i="17"/>
  <c r="AI33" i="17"/>
  <c r="AJ33" i="17"/>
  <c r="BA33" i="17"/>
  <c r="BB33" i="17"/>
  <c r="AI34" i="17"/>
  <c r="AJ34" i="17"/>
  <c r="BA34" i="17"/>
  <c r="BB34" i="17"/>
  <c r="AI35" i="17"/>
  <c r="AJ35" i="17"/>
  <c r="BA35" i="17"/>
  <c r="BB35" i="17"/>
  <c r="AI36" i="17"/>
  <c r="AJ36" i="17"/>
  <c r="BA36" i="17"/>
  <c r="BB36" i="17"/>
  <c r="AI37" i="17"/>
  <c r="AJ37" i="17"/>
  <c r="BA37" i="17"/>
  <c r="BB37" i="17"/>
  <c r="AI38" i="17"/>
  <c r="AJ38" i="17"/>
  <c r="BA38" i="17"/>
  <c r="BB38" i="17"/>
  <c r="AI39" i="17"/>
  <c r="AJ39" i="17"/>
  <c r="BA39" i="17"/>
  <c r="BB39" i="17"/>
  <c r="AI40" i="17"/>
  <c r="AJ40" i="17"/>
  <c r="BA40" i="17"/>
  <c r="BB40" i="17"/>
  <c r="AI41" i="17"/>
  <c r="AJ41" i="17"/>
  <c r="BA41" i="17"/>
  <c r="BB41" i="17"/>
  <c r="AI42" i="17"/>
  <c r="AJ42" i="17"/>
  <c r="BA42" i="17"/>
  <c r="BB42" i="17"/>
  <c r="AI43" i="17"/>
  <c r="AJ43" i="17"/>
  <c r="BA43" i="17"/>
  <c r="BB43" i="17"/>
  <c r="AI44" i="17"/>
  <c r="AJ44" i="17"/>
  <c r="BA44" i="17"/>
  <c r="BB44" i="17"/>
  <c r="AI45" i="17"/>
  <c r="AJ45" i="17"/>
  <c r="BA45" i="17"/>
  <c r="BB45" i="17"/>
  <c r="AI46" i="17"/>
  <c r="AJ46" i="17"/>
  <c r="BA46" i="17"/>
  <c r="BB46" i="17"/>
  <c r="AI47" i="17"/>
  <c r="AJ47" i="17"/>
  <c r="BA47" i="17"/>
  <c r="BB47" i="17"/>
  <c r="AI48" i="17"/>
  <c r="AJ48" i="17"/>
  <c r="BA48" i="17"/>
  <c r="BB48" i="17"/>
  <c r="AI49" i="17"/>
  <c r="AJ49" i="17"/>
  <c r="BA49" i="17"/>
  <c r="BB49" i="17"/>
  <c r="AI50" i="17"/>
  <c r="AJ50" i="17"/>
  <c r="BA50" i="17"/>
  <c r="BB50" i="17"/>
  <c r="AI51" i="17"/>
  <c r="AJ51" i="17"/>
  <c r="BA51" i="17"/>
  <c r="BB51" i="17"/>
  <c r="AI52" i="17"/>
  <c r="AJ52" i="17"/>
  <c r="BA52" i="17"/>
  <c r="BB52" i="17"/>
  <c r="AI53" i="17"/>
  <c r="AJ53" i="17"/>
  <c r="BA53" i="17"/>
  <c r="BB53" i="17"/>
  <c r="AI54" i="17"/>
  <c r="AJ54" i="17"/>
  <c r="BA54" i="17"/>
  <c r="BB54" i="17"/>
  <c r="AI55" i="17"/>
  <c r="AJ55" i="17"/>
  <c r="BA55" i="17"/>
  <c r="BB55" i="17"/>
  <c r="AI56" i="17"/>
  <c r="AJ56" i="17"/>
  <c r="BA56" i="17"/>
  <c r="BB56" i="17"/>
  <c r="AI57" i="17"/>
  <c r="AJ57" i="17"/>
  <c r="BA57" i="17"/>
  <c r="BB57" i="17"/>
  <c r="AI58" i="17"/>
  <c r="AJ58" i="17"/>
  <c r="BA58" i="17"/>
  <c r="BB58" i="17"/>
  <c r="AI59" i="17"/>
  <c r="AJ59" i="17"/>
  <c r="BA59" i="17"/>
  <c r="BB59" i="17"/>
  <c r="AI60" i="17"/>
  <c r="AJ60" i="17"/>
  <c r="BA60" i="17"/>
  <c r="BB60" i="17"/>
  <c r="AI61" i="17"/>
  <c r="AJ61" i="17"/>
  <c r="BA61" i="17"/>
  <c r="BB61" i="17"/>
  <c r="AI62" i="17"/>
  <c r="AJ62" i="17"/>
  <c r="BA62" i="17"/>
  <c r="BB62" i="17"/>
  <c r="AI63" i="17"/>
  <c r="AJ63" i="17"/>
  <c r="BA63" i="17"/>
  <c r="BB63" i="17"/>
  <c r="AI64" i="17"/>
  <c r="AJ64" i="17"/>
  <c r="BA64" i="17"/>
  <c r="BB64" i="17"/>
  <c r="AI65" i="17"/>
  <c r="AJ65" i="17"/>
  <c r="BA65" i="17"/>
  <c r="BB65" i="17"/>
  <c r="AI66" i="17"/>
  <c r="AJ66" i="17"/>
  <c r="BA66" i="17"/>
  <c r="BB66" i="17"/>
  <c r="AI67" i="17"/>
  <c r="AJ67" i="17"/>
  <c r="BA67" i="17"/>
  <c r="BB67" i="17"/>
  <c r="AI68" i="17"/>
  <c r="AJ68" i="17"/>
  <c r="BA68" i="17"/>
  <c r="BB68" i="17"/>
  <c r="AI69" i="17"/>
  <c r="AJ69" i="17"/>
  <c r="BA69" i="17"/>
  <c r="BB69" i="17"/>
  <c r="AI70" i="17"/>
  <c r="AJ70" i="17"/>
  <c r="BA70" i="17"/>
  <c r="BB70" i="17"/>
  <c r="AI71" i="17"/>
  <c r="AJ71" i="17"/>
  <c r="BA71" i="17"/>
  <c r="BB71" i="17"/>
  <c r="AI72" i="17"/>
  <c r="AJ72" i="17"/>
  <c r="BA72" i="17"/>
  <c r="BB72" i="17"/>
  <c r="AI73" i="17"/>
  <c r="AJ73" i="17"/>
  <c r="BA73" i="17"/>
  <c r="BB73" i="17"/>
  <c r="AI74" i="17"/>
  <c r="AJ74" i="17"/>
  <c r="BA74" i="17"/>
  <c r="BB74" i="17"/>
  <c r="AI75" i="17"/>
  <c r="AJ75" i="17"/>
  <c r="BA75" i="17"/>
  <c r="BB75" i="17"/>
  <c r="AI76" i="17"/>
  <c r="AJ76" i="17"/>
  <c r="BA76" i="17"/>
  <c r="BB76" i="17"/>
  <c r="AI77" i="17"/>
  <c r="AJ77" i="17"/>
  <c r="BA77" i="17"/>
  <c r="BB77" i="17"/>
  <c r="AI78" i="17"/>
  <c r="AJ78" i="17"/>
  <c r="BA78" i="17"/>
  <c r="BB78" i="17"/>
  <c r="AI79" i="17"/>
  <c r="AJ79" i="17"/>
  <c r="BA79" i="17"/>
  <c r="BB79" i="17"/>
  <c r="AI80" i="17"/>
  <c r="AJ80" i="17"/>
  <c r="BA80" i="17"/>
  <c r="BB80" i="17"/>
  <c r="AI81" i="17"/>
  <c r="AJ81" i="17"/>
  <c r="BA81" i="17"/>
  <c r="BB81" i="17"/>
  <c r="AI82" i="17"/>
  <c r="AJ82" i="17"/>
  <c r="BA82" i="17"/>
  <c r="BB82" i="17"/>
  <c r="AI83" i="17"/>
  <c r="AJ83" i="17"/>
  <c r="BA83" i="17"/>
  <c r="BB83" i="17"/>
  <c r="AI84" i="17"/>
  <c r="AJ84" i="17"/>
  <c r="BA84" i="17"/>
  <c r="BB84" i="17"/>
  <c r="AI85" i="17"/>
  <c r="AJ85" i="17"/>
  <c r="BA85" i="17"/>
  <c r="BB85" i="17"/>
  <c r="AI86" i="17"/>
  <c r="AJ86" i="17"/>
  <c r="BA86" i="17"/>
  <c r="BB86" i="17"/>
  <c r="AI87" i="17"/>
  <c r="AJ87" i="17"/>
  <c r="BA87" i="17"/>
  <c r="BB87" i="17"/>
  <c r="AI88" i="17"/>
  <c r="AJ88" i="17"/>
  <c r="BA88" i="17"/>
  <c r="BB88" i="17"/>
  <c r="AI5" i="16"/>
  <c r="AJ5" i="16"/>
  <c r="AI6" i="16"/>
  <c r="AJ6" i="16"/>
  <c r="BA6" i="16"/>
  <c r="BB6" i="16"/>
  <c r="AI7" i="16"/>
  <c r="AJ7" i="16"/>
  <c r="BA7" i="16"/>
  <c r="BB7" i="16"/>
  <c r="AI8" i="16"/>
  <c r="AJ8" i="16"/>
  <c r="BA8" i="16"/>
  <c r="BB8" i="16"/>
  <c r="AI9" i="16"/>
  <c r="AJ9" i="16"/>
  <c r="BA9" i="16"/>
  <c r="BB9" i="16"/>
  <c r="AI10" i="16"/>
  <c r="AJ10" i="16"/>
  <c r="BA10" i="16"/>
  <c r="BB10" i="16"/>
  <c r="AI11" i="16"/>
  <c r="AJ11" i="16"/>
  <c r="BA11" i="16"/>
  <c r="BB11" i="16"/>
  <c r="AI12" i="16"/>
  <c r="AJ12" i="16"/>
  <c r="BA12" i="16"/>
  <c r="BB12" i="16"/>
  <c r="AI13" i="16"/>
  <c r="AJ13" i="16"/>
  <c r="BA13" i="16"/>
  <c r="BB13" i="16"/>
  <c r="AI14" i="16"/>
  <c r="AJ14" i="16"/>
  <c r="BA14" i="16"/>
  <c r="BB14" i="16"/>
  <c r="AI15" i="16"/>
  <c r="AJ15" i="16"/>
  <c r="BA15" i="16"/>
  <c r="BB15" i="16"/>
  <c r="AI16" i="16"/>
  <c r="AJ16" i="16"/>
  <c r="BA16" i="16"/>
  <c r="BB16" i="16"/>
  <c r="AI17" i="16"/>
  <c r="AJ17" i="16"/>
  <c r="BA17" i="16"/>
  <c r="BB17" i="16"/>
  <c r="AI18" i="16"/>
  <c r="AJ18" i="16"/>
  <c r="BA18" i="16"/>
  <c r="BB18" i="16"/>
  <c r="AI19" i="16"/>
  <c r="AJ19" i="16"/>
  <c r="BA19" i="16"/>
  <c r="BB19" i="16"/>
  <c r="AI20" i="16"/>
  <c r="AJ20" i="16"/>
  <c r="BA20" i="16"/>
  <c r="BB20" i="16"/>
  <c r="AI21" i="16"/>
  <c r="AJ21" i="16"/>
  <c r="BA21" i="16"/>
  <c r="BB21" i="16"/>
  <c r="AI22" i="16"/>
  <c r="AJ22" i="16"/>
  <c r="BA22" i="16"/>
  <c r="BB22" i="16"/>
  <c r="AI23" i="16"/>
  <c r="AJ23" i="16"/>
  <c r="BA23" i="16"/>
  <c r="BB23" i="16"/>
  <c r="AI24" i="16"/>
  <c r="AJ24" i="16"/>
  <c r="BA24" i="16"/>
  <c r="BB24" i="16"/>
  <c r="AI25" i="16"/>
  <c r="AJ25" i="16"/>
  <c r="BA25" i="16"/>
  <c r="BB25" i="16"/>
  <c r="AI26" i="16"/>
  <c r="AJ26" i="16"/>
  <c r="BA26" i="16"/>
  <c r="BB26" i="16"/>
  <c r="AI27" i="16"/>
  <c r="AJ27" i="16"/>
  <c r="BA27" i="16"/>
  <c r="BB27" i="16"/>
  <c r="AI28" i="16"/>
  <c r="AJ28" i="16"/>
  <c r="BA28" i="16"/>
  <c r="BB28" i="16"/>
  <c r="AI29" i="16"/>
  <c r="AJ29" i="16"/>
  <c r="BA29" i="16"/>
  <c r="BB29" i="16"/>
  <c r="AI30" i="16"/>
  <c r="AJ30" i="16"/>
  <c r="BA30" i="16"/>
  <c r="BB30" i="16"/>
  <c r="AI31" i="16"/>
  <c r="AJ31" i="16"/>
  <c r="BA31" i="16"/>
  <c r="BB31" i="16"/>
  <c r="AI32" i="16"/>
  <c r="AJ32" i="16"/>
  <c r="BA32" i="16"/>
  <c r="BB32" i="16"/>
  <c r="AI33" i="16"/>
  <c r="AJ33" i="16"/>
  <c r="BA33" i="16"/>
  <c r="BB33" i="16"/>
  <c r="AI34" i="16"/>
  <c r="AJ34" i="16"/>
  <c r="BA34" i="16"/>
  <c r="BB34" i="16"/>
  <c r="AI35" i="16"/>
  <c r="AJ35" i="16"/>
  <c r="BA35" i="16"/>
  <c r="BB35" i="16"/>
  <c r="AI36" i="16"/>
  <c r="AJ36" i="16"/>
  <c r="BA36" i="16"/>
  <c r="BB36" i="16"/>
  <c r="AI37" i="16"/>
  <c r="AJ37" i="16"/>
  <c r="BA37" i="16"/>
  <c r="BB37" i="16"/>
  <c r="AI38" i="16"/>
  <c r="AJ38" i="16"/>
  <c r="BA38" i="16"/>
  <c r="BB38" i="16"/>
  <c r="AI39" i="16"/>
  <c r="AJ39" i="16"/>
  <c r="BA39" i="16"/>
  <c r="BB39" i="16"/>
  <c r="AI40" i="16"/>
  <c r="AJ40" i="16"/>
  <c r="BA40" i="16"/>
  <c r="BB40" i="16"/>
  <c r="AI41" i="16"/>
  <c r="AJ41" i="16"/>
  <c r="BA41" i="16"/>
  <c r="BB41" i="16"/>
  <c r="AI42" i="16"/>
  <c r="AJ42" i="16"/>
  <c r="BA42" i="16"/>
  <c r="BB42" i="16"/>
  <c r="AI43" i="16"/>
  <c r="AJ43" i="16"/>
  <c r="BA43" i="16"/>
  <c r="BB43" i="16"/>
  <c r="AI44" i="16"/>
  <c r="AJ44" i="16"/>
  <c r="BA44" i="16"/>
  <c r="BB44" i="16"/>
  <c r="AI45" i="16"/>
  <c r="AJ45" i="16"/>
  <c r="BA45" i="16"/>
  <c r="BB45" i="16"/>
  <c r="AI46" i="16"/>
  <c r="AJ46" i="16"/>
  <c r="BA46" i="16"/>
  <c r="BB46" i="16"/>
  <c r="AI47" i="16"/>
  <c r="AJ47" i="16"/>
  <c r="BA47" i="16"/>
  <c r="BB47" i="16"/>
  <c r="AI48" i="16"/>
  <c r="AJ48" i="16"/>
  <c r="BA48" i="16"/>
  <c r="BB48" i="16"/>
  <c r="AI49" i="16"/>
  <c r="AJ49" i="16"/>
  <c r="BA49" i="16"/>
  <c r="BB49" i="16"/>
  <c r="AI50" i="16"/>
  <c r="AJ50" i="16"/>
  <c r="BA50" i="16"/>
  <c r="BB50" i="16"/>
  <c r="AI51" i="16"/>
  <c r="AJ51" i="16"/>
  <c r="BA51" i="16"/>
  <c r="BB51" i="16"/>
  <c r="AI52" i="16"/>
  <c r="AJ52" i="16"/>
  <c r="BA52" i="16"/>
  <c r="BB52" i="16"/>
  <c r="AI53" i="16"/>
  <c r="AJ53" i="16"/>
  <c r="BA53" i="16"/>
  <c r="BB53" i="16"/>
  <c r="AI54" i="16"/>
  <c r="AJ54" i="16"/>
  <c r="BA54" i="16"/>
  <c r="BB54" i="16"/>
  <c r="AI55" i="16"/>
  <c r="AJ55" i="16"/>
  <c r="BA55" i="16"/>
  <c r="BB55" i="16"/>
  <c r="AI56" i="16"/>
  <c r="AJ56" i="16"/>
  <c r="BA56" i="16"/>
  <c r="BB56" i="16"/>
  <c r="AI57" i="16"/>
  <c r="AJ57" i="16"/>
  <c r="BA57" i="16"/>
  <c r="BB57" i="16"/>
  <c r="AI58" i="16"/>
  <c r="AJ58" i="16"/>
  <c r="BA58" i="16"/>
  <c r="BB58" i="16"/>
  <c r="AI59" i="16"/>
  <c r="AJ59" i="16"/>
  <c r="BA59" i="16"/>
  <c r="BB59" i="16"/>
  <c r="AI60" i="16"/>
  <c r="AJ60" i="16"/>
  <c r="BA60" i="16"/>
  <c r="BB60" i="16"/>
  <c r="AI61" i="16"/>
  <c r="AJ61" i="16"/>
  <c r="BA61" i="16"/>
  <c r="BB61" i="16"/>
  <c r="AI62" i="16"/>
  <c r="AJ62" i="16"/>
  <c r="BA62" i="16"/>
  <c r="BB62" i="16"/>
  <c r="AI63" i="16"/>
  <c r="AJ63" i="16"/>
  <c r="BA63" i="16"/>
  <c r="BB63" i="16"/>
  <c r="AI64" i="16"/>
  <c r="AJ64" i="16"/>
  <c r="BA64" i="16"/>
  <c r="BB64" i="16"/>
  <c r="AI65" i="16"/>
  <c r="AJ65" i="16"/>
  <c r="BA65" i="16"/>
  <c r="BB65" i="16"/>
  <c r="AI66" i="16"/>
  <c r="AJ66" i="16"/>
  <c r="BA66" i="16"/>
  <c r="BB66" i="16"/>
  <c r="AI67" i="16"/>
  <c r="AJ67" i="16"/>
  <c r="BA67" i="16"/>
  <c r="BB67" i="16"/>
  <c r="AI68" i="16"/>
  <c r="AJ68" i="16"/>
  <c r="BA68" i="16"/>
  <c r="BB68" i="16"/>
  <c r="AI69" i="16"/>
  <c r="AJ69" i="16"/>
  <c r="BA69" i="16"/>
  <c r="BB69" i="16"/>
  <c r="AI70" i="16"/>
  <c r="AJ70" i="16"/>
  <c r="BA70" i="16"/>
  <c r="BB70" i="16"/>
  <c r="AI71" i="16"/>
  <c r="AJ71" i="16"/>
  <c r="BA71" i="16"/>
  <c r="BB71" i="16"/>
  <c r="AI72" i="16"/>
  <c r="AJ72" i="16"/>
  <c r="BA72" i="16"/>
  <c r="BB72" i="16"/>
  <c r="AI73" i="16"/>
  <c r="AJ73" i="16"/>
  <c r="BA73" i="16"/>
  <c r="BB73" i="16"/>
  <c r="AI74" i="16"/>
  <c r="AJ74" i="16"/>
  <c r="BA74" i="16"/>
  <c r="BB74" i="16"/>
  <c r="AI75" i="16"/>
  <c r="AJ75" i="16"/>
  <c r="BA75" i="16"/>
  <c r="BB75" i="16"/>
  <c r="AI76" i="16"/>
  <c r="AJ76" i="16"/>
  <c r="BA76" i="16"/>
  <c r="BB76" i="16"/>
  <c r="AI77" i="16"/>
  <c r="AJ77" i="16"/>
  <c r="BA77" i="16"/>
  <c r="BB77" i="16"/>
  <c r="AI78" i="16"/>
  <c r="AJ78" i="16"/>
  <c r="BA78" i="16"/>
  <c r="BB78" i="16"/>
  <c r="AI79" i="16"/>
  <c r="AJ79" i="16"/>
  <c r="BA79" i="16"/>
  <c r="BB79" i="16"/>
  <c r="AI80" i="16"/>
  <c r="AJ80" i="16"/>
  <c r="BA80" i="16"/>
  <c r="BB80" i="16"/>
  <c r="AI81" i="16"/>
  <c r="AJ81" i="16"/>
  <c r="BA81" i="16"/>
  <c r="BB81" i="16"/>
  <c r="AI82" i="16"/>
  <c r="AJ82" i="16"/>
  <c r="BA82" i="16"/>
  <c r="BB82" i="16"/>
  <c r="AI83" i="16"/>
  <c r="AJ83" i="16"/>
  <c r="BA83" i="16"/>
  <c r="BB83" i="16"/>
  <c r="AI84" i="16"/>
  <c r="AJ84" i="16"/>
  <c r="BA84" i="16"/>
  <c r="BB84" i="16"/>
  <c r="AI85" i="16"/>
  <c r="AJ85" i="16"/>
  <c r="BA85" i="16"/>
  <c r="BB85" i="16"/>
  <c r="AI86" i="16"/>
  <c r="AJ86" i="16"/>
  <c r="BA86" i="16"/>
  <c r="BB86" i="16"/>
  <c r="AI87" i="16"/>
  <c r="AJ87" i="16"/>
  <c r="BA87" i="16"/>
  <c r="BB87" i="16"/>
  <c r="AI88" i="16"/>
  <c r="AJ88" i="16"/>
  <c r="BA88" i="16"/>
  <c r="BB88" i="16"/>
  <c r="AJ5" i="15"/>
  <c r="AK5" i="15"/>
  <c r="AJ6" i="15"/>
  <c r="AK6" i="15"/>
  <c r="BB6" i="15"/>
  <c r="BC6" i="15"/>
  <c r="AJ7" i="15"/>
  <c r="AK7" i="15"/>
  <c r="BB7" i="15"/>
  <c r="BC7" i="15"/>
  <c r="AJ8" i="15"/>
  <c r="AK8" i="15"/>
  <c r="BB8" i="15"/>
  <c r="BC8" i="15"/>
  <c r="AJ9" i="15"/>
  <c r="AK9" i="15"/>
  <c r="BB9" i="15"/>
  <c r="BC9" i="15"/>
  <c r="AJ10" i="15"/>
  <c r="AK10" i="15"/>
  <c r="BB10" i="15"/>
  <c r="BC10" i="15"/>
  <c r="AJ11" i="15"/>
  <c r="AK11" i="15"/>
  <c r="BB11" i="15"/>
  <c r="BC11" i="15"/>
  <c r="AJ12" i="15"/>
  <c r="AK12" i="15"/>
  <c r="BB12" i="15"/>
  <c r="BC12" i="15"/>
  <c r="AJ13" i="15"/>
  <c r="AK13" i="15"/>
  <c r="BB13" i="15"/>
  <c r="BC13" i="15"/>
  <c r="AJ14" i="15"/>
  <c r="AK14" i="15"/>
  <c r="BB14" i="15"/>
  <c r="BC14" i="15"/>
  <c r="AJ15" i="15"/>
  <c r="AK15" i="15"/>
  <c r="BB15" i="15"/>
  <c r="BC15" i="15"/>
  <c r="AJ16" i="15"/>
  <c r="AK16" i="15"/>
  <c r="BB16" i="15"/>
  <c r="BC16" i="15"/>
  <c r="AJ17" i="15"/>
  <c r="AK17" i="15"/>
  <c r="BB17" i="15"/>
  <c r="BC17" i="15"/>
  <c r="AJ18" i="15"/>
  <c r="AK18" i="15"/>
  <c r="BB18" i="15"/>
  <c r="BC18" i="15"/>
  <c r="AJ19" i="15"/>
  <c r="AK19" i="15"/>
  <c r="BB19" i="15"/>
  <c r="BC19" i="15"/>
  <c r="AJ20" i="15"/>
  <c r="AK20" i="15"/>
  <c r="BB20" i="15"/>
  <c r="BC20" i="15"/>
  <c r="AJ21" i="15"/>
  <c r="AK21" i="15"/>
  <c r="BB21" i="15"/>
  <c r="BC21" i="15"/>
  <c r="AJ22" i="15"/>
  <c r="AK22" i="15"/>
  <c r="BB22" i="15"/>
  <c r="BC22" i="15"/>
  <c r="AJ23" i="15"/>
  <c r="AK23" i="15"/>
  <c r="BB23" i="15"/>
  <c r="BC23" i="15"/>
  <c r="AJ24" i="15"/>
  <c r="AK24" i="15"/>
  <c r="BB24" i="15"/>
  <c r="BC24" i="15"/>
  <c r="AJ25" i="15"/>
  <c r="AK25" i="15"/>
  <c r="BB25" i="15"/>
  <c r="BC25" i="15"/>
  <c r="AJ26" i="15"/>
  <c r="AK26" i="15"/>
  <c r="BB26" i="15"/>
  <c r="BC26" i="15"/>
  <c r="AJ27" i="15"/>
  <c r="AK27" i="15"/>
  <c r="BB27" i="15"/>
  <c r="BC27" i="15"/>
  <c r="AJ28" i="15"/>
  <c r="AK28" i="15"/>
  <c r="BB28" i="15"/>
  <c r="BC28" i="15"/>
  <c r="AJ29" i="15"/>
  <c r="AK29" i="15"/>
  <c r="BB29" i="15"/>
  <c r="BC29" i="15"/>
  <c r="AJ30" i="15"/>
  <c r="AK30" i="15"/>
  <c r="BB30" i="15"/>
  <c r="BC30" i="15"/>
  <c r="AJ31" i="15"/>
  <c r="AK31" i="15"/>
  <c r="BB31" i="15"/>
  <c r="BC31" i="15"/>
  <c r="AJ32" i="15"/>
  <c r="AK32" i="15"/>
  <c r="BB32" i="15"/>
  <c r="BC32" i="15"/>
  <c r="AJ33" i="15"/>
  <c r="AK33" i="15"/>
  <c r="BB33" i="15"/>
  <c r="BC33" i="15"/>
  <c r="AJ34" i="15"/>
  <c r="AK34" i="15"/>
  <c r="BB34" i="15"/>
  <c r="BC34" i="15"/>
  <c r="AJ35" i="15"/>
  <c r="AK35" i="15"/>
  <c r="BB35" i="15"/>
  <c r="BC35" i="15"/>
  <c r="AJ36" i="15"/>
  <c r="AK36" i="15"/>
  <c r="BB36" i="15"/>
  <c r="BC36" i="15"/>
  <c r="AJ37" i="15"/>
  <c r="AK37" i="15"/>
  <c r="BB37" i="15"/>
  <c r="BC37" i="15"/>
  <c r="AJ38" i="15"/>
  <c r="AK38" i="15"/>
  <c r="BB38" i="15"/>
  <c r="BC38" i="15"/>
  <c r="AJ39" i="15"/>
  <c r="AK39" i="15"/>
  <c r="BB39" i="15"/>
  <c r="BC39" i="15"/>
  <c r="AJ40" i="15"/>
  <c r="AK40" i="15"/>
  <c r="BB40" i="15"/>
  <c r="BC40" i="15"/>
  <c r="AJ41" i="15"/>
  <c r="AK41" i="15"/>
  <c r="BB41" i="15"/>
  <c r="BC41" i="15"/>
  <c r="AJ42" i="15"/>
  <c r="AK42" i="15"/>
  <c r="BB42" i="15"/>
  <c r="BC42" i="15"/>
  <c r="AJ43" i="15"/>
  <c r="AK43" i="15"/>
  <c r="BB43" i="15"/>
  <c r="BC43" i="15"/>
  <c r="AJ44" i="15"/>
  <c r="AK44" i="15"/>
  <c r="BB44" i="15"/>
  <c r="BC44" i="15"/>
  <c r="AJ45" i="15"/>
  <c r="AK45" i="15"/>
  <c r="BB45" i="15"/>
  <c r="BC45" i="15"/>
  <c r="AJ46" i="15"/>
  <c r="AK46" i="15"/>
  <c r="BB46" i="15"/>
  <c r="BC46" i="15"/>
  <c r="AJ47" i="15"/>
  <c r="AK47" i="15"/>
  <c r="BB47" i="15"/>
  <c r="BC47" i="15"/>
  <c r="AJ48" i="15"/>
  <c r="AK48" i="15"/>
  <c r="BB48" i="15"/>
  <c r="BC48" i="15"/>
  <c r="AJ49" i="15"/>
  <c r="AK49" i="15"/>
  <c r="BB49" i="15"/>
  <c r="BC49" i="15"/>
  <c r="AJ50" i="15"/>
  <c r="AK50" i="15"/>
  <c r="BB50" i="15"/>
  <c r="BC50" i="15"/>
  <c r="AJ51" i="15"/>
  <c r="AK51" i="15"/>
  <c r="BB51" i="15"/>
  <c r="BC51" i="15"/>
  <c r="AJ52" i="15"/>
  <c r="AK52" i="15"/>
  <c r="BB52" i="15"/>
  <c r="BC52" i="15"/>
  <c r="AJ53" i="15"/>
  <c r="AK53" i="15"/>
  <c r="BB53" i="15"/>
  <c r="BC53" i="15"/>
  <c r="AJ54" i="15"/>
  <c r="AK54" i="15"/>
  <c r="BB54" i="15"/>
  <c r="BC54" i="15"/>
  <c r="AJ55" i="15"/>
  <c r="AK55" i="15"/>
  <c r="BB55" i="15"/>
  <c r="BC55" i="15"/>
  <c r="AJ56" i="15"/>
  <c r="AK56" i="15"/>
  <c r="BB56" i="15"/>
  <c r="BC56" i="15"/>
  <c r="AJ57" i="15"/>
  <c r="AK57" i="15"/>
  <c r="BB57" i="15"/>
  <c r="BC57" i="15"/>
  <c r="AJ58" i="15"/>
  <c r="AK58" i="15"/>
  <c r="BB58" i="15"/>
  <c r="BC58" i="15"/>
  <c r="AJ59" i="15"/>
  <c r="AK59" i="15"/>
  <c r="BB59" i="15"/>
  <c r="BC59" i="15"/>
  <c r="AJ60" i="15"/>
  <c r="AK60" i="15"/>
  <c r="BB60" i="15"/>
  <c r="BC60" i="15"/>
  <c r="AJ61" i="15"/>
  <c r="AK61" i="15"/>
  <c r="BB61" i="15"/>
  <c r="BC61" i="15"/>
  <c r="AJ62" i="15"/>
  <c r="AK62" i="15"/>
  <c r="BB62" i="15"/>
  <c r="BC62" i="15"/>
  <c r="AJ63" i="15"/>
  <c r="AK63" i="15"/>
  <c r="BB63" i="15"/>
  <c r="BC63" i="15"/>
  <c r="AJ64" i="15"/>
  <c r="AK64" i="15"/>
  <c r="BB64" i="15"/>
  <c r="BC64" i="15"/>
  <c r="AJ65" i="15"/>
  <c r="AK65" i="15"/>
  <c r="BB65" i="15"/>
  <c r="BC65" i="15"/>
  <c r="AJ66" i="15"/>
  <c r="AK66" i="15"/>
  <c r="BB66" i="15"/>
  <c r="BC66" i="15"/>
  <c r="AJ67" i="15"/>
  <c r="AK67" i="15"/>
  <c r="BB67" i="15"/>
  <c r="BC67" i="15"/>
  <c r="AJ68" i="15"/>
  <c r="AK68" i="15"/>
  <c r="BB68" i="15"/>
  <c r="BC68" i="15"/>
  <c r="AJ69" i="15"/>
  <c r="AK69" i="15"/>
  <c r="BB69" i="15"/>
  <c r="BC69" i="15"/>
  <c r="AJ70" i="15"/>
  <c r="AK70" i="15"/>
  <c r="BB70" i="15"/>
  <c r="BC70" i="15"/>
  <c r="AJ71" i="15"/>
  <c r="AK71" i="15"/>
  <c r="BB71" i="15"/>
  <c r="BC71" i="15"/>
  <c r="AJ72" i="15"/>
  <c r="AK72" i="15"/>
  <c r="BB72" i="15"/>
  <c r="BC72" i="15"/>
  <c r="AJ73" i="15"/>
  <c r="AK73" i="15"/>
  <c r="BB73" i="15"/>
  <c r="BC73" i="15"/>
  <c r="AJ74" i="15"/>
  <c r="AK74" i="15"/>
  <c r="BB74" i="15"/>
  <c r="BC74" i="15"/>
  <c r="AJ75" i="15"/>
  <c r="AK75" i="15"/>
  <c r="BB75" i="15"/>
  <c r="BC75" i="15"/>
  <c r="AJ76" i="15"/>
  <c r="AK76" i="15"/>
  <c r="BB76" i="15"/>
  <c r="BC76" i="15"/>
  <c r="AJ77" i="15"/>
  <c r="AK77" i="15"/>
  <c r="BB77" i="15"/>
  <c r="BC77" i="15"/>
  <c r="AJ78" i="15"/>
  <c r="AK78" i="15"/>
  <c r="BB78" i="15"/>
  <c r="BC78" i="15"/>
  <c r="AJ79" i="15"/>
  <c r="AK79" i="15"/>
  <c r="BB79" i="15"/>
  <c r="BC79" i="15"/>
  <c r="AJ80" i="15"/>
  <c r="AK80" i="15"/>
  <c r="BB80" i="15"/>
  <c r="BC80" i="15"/>
  <c r="AJ81" i="15"/>
  <c r="AK81" i="15"/>
  <c r="BB81" i="15"/>
  <c r="BC81" i="15"/>
  <c r="AJ82" i="15"/>
  <c r="AK82" i="15"/>
  <c r="BB82" i="15"/>
  <c r="BC82" i="15"/>
  <c r="AJ83" i="15"/>
  <c r="AK83" i="15"/>
  <c r="BB83" i="15"/>
  <c r="BC83" i="15"/>
  <c r="AJ84" i="15"/>
  <c r="AK84" i="15"/>
  <c r="BB84" i="15"/>
  <c r="BC84" i="15"/>
  <c r="AJ85" i="15"/>
  <c r="AK85" i="15"/>
  <c r="BB85" i="15"/>
  <c r="BC85" i="15"/>
  <c r="AJ86" i="15"/>
  <c r="AK86" i="15"/>
  <c r="BB86" i="15"/>
  <c r="BC86" i="15"/>
  <c r="AJ87" i="15"/>
  <c r="AK87" i="15"/>
  <c r="BB87" i="15"/>
  <c r="BC87" i="15"/>
  <c r="AJ88" i="15"/>
  <c r="AK88" i="15"/>
  <c r="BB88" i="15"/>
  <c r="BC88" i="15"/>
  <c r="AI5" i="14"/>
  <c r="AJ5" i="14"/>
  <c r="AI6" i="14"/>
  <c r="AJ6" i="14"/>
  <c r="BA6" i="14"/>
  <c r="BB6" i="14"/>
  <c r="AI7" i="14"/>
  <c r="AJ7" i="14"/>
  <c r="BA7" i="14"/>
  <c r="BB7" i="14"/>
  <c r="AI8" i="14"/>
  <c r="AJ8" i="14"/>
  <c r="BA8" i="14"/>
  <c r="BB8" i="14"/>
  <c r="AI9" i="14"/>
  <c r="AJ9" i="14"/>
  <c r="BA9" i="14"/>
  <c r="BB9" i="14"/>
  <c r="AI10" i="14"/>
  <c r="AJ10" i="14"/>
  <c r="BA10" i="14"/>
  <c r="BB10" i="14"/>
  <c r="AI11" i="14"/>
  <c r="AJ11" i="14"/>
  <c r="BA11" i="14"/>
  <c r="BB11" i="14"/>
  <c r="AI12" i="14"/>
  <c r="AJ12" i="14"/>
  <c r="BA12" i="14"/>
  <c r="BB12" i="14"/>
  <c r="AI13" i="14"/>
  <c r="AJ13" i="14"/>
  <c r="BA13" i="14"/>
  <c r="BB13" i="14"/>
  <c r="AI14" i="14"/>
  <c r="AJ14" i="14"/>
  <c r="BA14" i="14"/>
  <c r="BB14" i="14"/>
  <c r="AI15" i="14"/>
  <c r="AJ15" i="14"/>
  <c r="BA15" i="14"/>
  <c r="BB15" i="14"/>
  <c r="AI16" i="14"/>
  <c r="AJ16" i="14"/>
  <c r="BA16" i="14"/>
  <c r="BB16" i="14"/>
  <c r="AI17" i="14"/>
  <c r="AJ17" i="14"/>
  <c r="BA17" i="14"/>
  <c r="BB17" i="14"/>
  <c r="AI18" i="14"/>
  <c r="AJ18" i="14"/>
  <c r="BA18" i="14"/>
  <c r="BB18" i="14"/>
  <c r="AI19" i="14"/>
  <c r="AJ19" i="14"/>
  <c r="BA19" i="14"/>
  <c r="BB19" i="14"/>
  <c r="AI20" i="14"/>
  <c r="AJ20" i="14"/>
  <c r="BA20" i="14"/>
  <c r="BB20" i="14"/>
  <c r="AI21" i="14"/>
  <c r="AJ21" i="14"/>
  <c r="BA21" i="14"/>
  <c r="BB21" i="14"/>
  <c r="AI22" i="14"/>
  <c r="AJ22" i="14"/>
  <c r="BA22" i="14"/>
  <c r="BB22" i="14"/>
  <c r="AI23" i="14"/>
  <c r="AJ23" i="14"/>
  <c r="BA23" i="14"/>
  <c r="BB23" i="14"/>
  <c r="AI24" i="14"/>
  <c r="AJ24" i="14"/>
  <c r="BA24" i="14"/>
  <c r="BB24" i="14"/>
  <c r="AI25" i="14"/>
  <c r="AJ25" i="14"/>
  <c r="BA25" i="14"/>
  <c r="BB25" i="14"/>
  <c r="AI26" i="14"/>
  <c r="AJ26" i="14"/>
  <c r="BA26" i="14"/>
  <c r="BB26" i="14"/>
  <c r="AI27" i="14"/>
  <c r="AJ27" i="14"/>
  <c r="BA27" i="14"/>
  <c r="BB27" i="14"/>
  <c r="AI28" i="14"/>
  <c r="AJ28" i="14"/>
  <c r="BA28" i="14"/>
  <c r="BB28" i="14"/>
  <c r="AI29" i="14"/>
  <c r="AJ29" i="14"/>
  <c r="BA29" i="14"/>
  <c r="BB29" i="14"/>
  <c r="AI30" i="14"/>
  <c r="AJ30" i="14"/>
  <c r="BA30" i="14"/>
  <c r="BB30" i="14"/>
  <c r="AI31" i="14"/>
  <c r="AJ31" i="14"/>
  <c r="BA31" i="14"/>
  <c r="BB31" i="14"/>
  <c r="AI32" i="14"/>
  <c r="AJ32" i="14"/>
  <c r="BA32" i="14"/>
  <c r="BB32" i="14"/>
  <c r="AI33" i="14"/>
  <c r="AJ33" i="14"/>
  <c r="BA33" i="14"/>
  <c r="BB33" i="14"/>
  <c r="AI34" i="14"/>
  <c r="AJ34" i="14"/>
  <c r="BA34" i="14"/>
  <c r="BB34" i="14"/>
  <c r="AI35" i="14"/>
  <c r="AJ35" i="14"/>
  <c r="BA35" i="14"/>
  <c r="BB35" i="14"/>
  <c r="AI36" i="14"/>
  <c r="AJ36" i="14"/>
  <c r="BA36" i="14"/>
  <c r="BB36" i="14"/>
  <c r="AI37" i="14"/>
  <c r="AJ37" i="14"/>
  <c r="BA37" i="14"/>
  <c r="BB37" i="14"/>
  <c r="AI38" i="14"/>
  <c r="AJ38" i="14"/>
  <c r="BA38" i="14"/>
  <c r="BB38" i="14"/>
  <c r="AI39" i="14"/>
  <c r="AJ39" i="14"/>
  <c r="BA39" i="14"/>
  <c r="BB39" i="14"/>
  <c r="AI40" i="14"/>
  <c r="AJ40" i="14"/>
  <c r="BA40" i="14"/>
  <c r="BB40" i="14"/>
  <c r="AI41" i="14"/>
  <c r="AJ41" i="14"/>
  <c r="BA41" i="14"/>
  <c r="BB41" i="14"/>
  <c r="AI42" i="14"/>
  <c r="AJ42" i="14"/>
  <c r="BA42" i="14"/>
  <c r="BB42" i="14"/>
  <c r="AI43" i="14"/>
  <c r="AJ43" i="14"/>
  <c r="BA43" i="14"/>
  <c r="BB43" i="14"/>
  <c r="AI44" i="14"/>
  <c r="AJ44" i="14"/>
  <c r="BA44" i="14"/>
  <c r="BB44" i="14"/>
  <c r="AI45" i="14"/>
  <c r="AJ45" i="14"/>
  <c r="BA45" i="14"/>
  <c r="BB45" i="14"/>
  <c r="AI46" i="14"/>
  <c r="AJ46" i="14"/>
  <c r="BA46" i="14"/>
  <c r="BB46" i="14"/>
  <c r="AI47" i="14"/>
  <c r="AJ47" i="14"/>
  <c r="BA47" i="14"/>
  <c r="BB47" i="14"/>
  <c r="AI48" i="14"/>
  <c r="AJ48" i="14"/>
  <c r="BA48" i="14"/>
  <c r="BB48" i="14"/>
  <c r="AI49" i="14"/>
  <c r="AJ49" i="14"/>
  <c r="BA49" i="14"/>
  <c r="BB49" i="14"/>
  <c r="AI50" i="14"/>
  <c r="AJ50" i="14"/>
  <c r="BA50" i="14"/>
  <c r="BB50" i="14"/>
  <c r="AI51" i="14"/>
  <c r="AJ51" i="14"/>
  <c r="BA51" i="14"/>
  <c r="BB51" i="14"/>
  <c r="AI52" i="14"/>
  <c r="AJ52" i="14"/>
  <c r="BA52" i="14"/>
  <c r="BB52" i="14"/>
  <c r="AI53" i="14"/>
  <c r="AJ53" i="14"/>
  <c r="BA53" i="14"/>
  <c r="BB53" i="14"/>
  <c r="AI54" i="14"/>
  <c r="AJ54" i="14"/>
  <c r="BA54" i="14"/>
  <c r="BB54" i="14"/>
  <c r="AI55" i="14"/>
  <c r="AJ55" i="14"/>
  <c r="BA55" i="14"/>
  <c r="BB55" i="14"/>
  <c r="AI56" i="14"/>
  <c r="AJ56" i="14"/>
  <c r="BA56" i="14"/>
  <c r="BB56" i="14"/>
  <c r="AI57" i="14"/>
  <c r="AJ57" i="14"/>
  <c r="BA57" i="14"/>
  <c r="BB57" i="14"/>
  <c r="AI58" i="14"/>
  <c r="AJ58" i="14"/>
  <c r="BA58" i="14"/>
  <c r="BB58" i="14"/>
  <c r="AI59" i="14"/>
  <c r="AJ59" i="14"/>
  <c r="BA59" i="14"/>
  <c r="BB59" i="14"/>
  <c r="AI60" i="14"/>
  <c r="AJ60" i="14"/>
  <c r="BA60" i="14"/>
  <c r="BB60" i="14"/>
  <c r="AI61" i="14"/>
  <c r="AJ61" i="14"/>
  <c r="BA61" i="14"/>
  <c r="BB61" i="14"/>
  <c r="AI62" i="14"/>
  <c r="AJ62" i="14"/>
  <c r="BA62" i="14"/>
  <c r="BB62" i="14"/>
  <c r="AI63" i="14"/>
  <c r="AJ63" i="14"/>
  <c r="BA63" i="14"/>
  <c r="BB63" i="14"/>
  <c r="AI64" i="14"/>
  <c r="AJ64" i="14"/>
  <c r="BA64" i="14"/>
  <c r="BB64" i="14"/>
  <c r="AI65" i="14"/>
  <c r="AJ65" i="14"/>
  <c r="BA65" i="14"/>
  <c r="BB65" i="14"/>
  <c r="AI66" i="14"/>
  <c r="AJ66" i="14"/>
  <c r="BA66" i="14"/>
  <c r="BB66" i="14"/>
  <c r="AI67" i="14"/>
  <c r="AJ67" i="14"/>
  <c r="BA67" i="14"/>
  <c r="BB67" i="14"/>
  <c r="AI68" i="14"/>
  <c r="AJ68" i="14"/>
  <c r="BA68" i="14"/>
  <c r="BB68" i="14"/>
  <c r="AI69" i="14"/>
  <c r="AJ69" i="14"/>
  <c r="BA69" i="14"/>
  <c r="BB69" i="14"/>
  <c r="AI70" i="14"/>
  <c r="AJ70" i="14"/>
  <c r="BA70" i="14"/>
  <c r="BB70" i="14"/>
  <c r="AI71" i="14"/>
  <c r="AJ71" i="14"/>
  <c r="BA71" i="14"/>
  <c r="BB71" i="14"/>
  <c r="AI72" i="14"/>
  <c r="AJ72" i="14"/>
  <c r="BA72" i="14"/>
  <c r="BB72" i="14"/>
  <c r="AI73" i="14"/>
  <c r="AJ73" i="14"/>
  <c r="BA73" i="14"/>
  <c r="BB73" i="14"/>
  <c r="AI74" i="14"/>
  <c r="AJ74" i="14"/>
  <c r="BA74" i="14"/>
  <c r="BB74" i="14"/>
  <c r="AI75" i="14"/>
  <c r="AJ75" i="14"/>
  <c r="BA75" i="14"/>
  <c r="BB75" i="14"/>
  <c r="AI76" i="14"/>
  <c r="AJ76" i="14"/>
  <c r="BA76" i="14"/>
  <c r="BB76" i="14"/>
  <c r="AI77" i="14"/>
  <c r="AJ77" i="14"/>
  <c r="BA77" i="14"/>
  <c r="BB77" i="14"/>
  <c r="AI78" i="14"/>
  <c r="AJ78" i="14"/>
  <c r="BA78" i="14"/>
  <c r="BB78" i="14"/>
  <c r="AI79" i="14"/>
  <c r="AJ79" i="14"/>
  <c r="BA79" i="14"/>
  <c r="BB79" i="14"/>
  <c r="AI80" i="14"/>
  <c r="AJ80" i="14"/>
  <c r="BA80" i="14"/>
  <c r="BB80" i="14"/>
  <c r="AI81" i="14"/>
  <c r="AJ81" i="14"/>
  <c r="BA81" i="14"/>
  <c r="BB81" i="14"/>
  <c r="AI82" i="14"/>
  <c r="AJ82" i="14"/>
  <c r="BA82" i="14"/>
  <c r="BB82" i="14"/>
  <c r="AI83" i="14"/>
  <c r="AJ83" i="14"/>
  <c r="BA83" i="14"/>
  <c r="BB83" i="14"/>
  <c r="AI84" i="14"/>
  <c r="AJ84" i="14"/>
  <c r="BA84" i="14"/>
  <c r="BB84" i="14"/>
  <c r="AI85" i="14"/>
  <c r="AJ85" i="14"/>
  <c r="BA85" i="14"/>
  <c r="BB85" i="14"/>
  <c r="AI86" i="14"/>
  <c r="AJ86" i="14"/>
  <c r="BA86" i="14"/>
  <c r="BB86" i="14"/>
  <c r="AI87" i="14"/>
  <c r="AJ87" i="14"/>
  <c r="BA87" i="14"/>
  <c r="BB87" i="14"/>
  <c r="AI88" i="14"/>
  <c r="AJ88" i="14"/>
  <c r="BA88" i="14"/>
  <c r="BB88" i="14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BK88" i="9"/>
  <c r="BJ88" i="9"/>
  <c r="AS88" i="9"/>
  <c r="AR88" i="9"/>
  <c r="K88" i="9"/>
  <c r="I88" i="9"/>
  <c r="I87" i="9"/>
  <c r="J88" i="9"/>
  <c r="H88" i="9"/>
  <c r="C88" i="9"/>
  <c r="BK87" i="9"/>
  <c r="BJ87" i="9"/>
  <c r="AS87" i="9"/>
  <c r="AR87" i="9"/>
  <c r="K87" i="9"/>
  <c r="AR86" i="9"/>
  <c r="K86" i="9"/>
  <c r="L87" i="9"/>
  <c r="M87" i="9"/>
  <c r="I86" i="9"/>
  <c r="J87" i="9"/>
  <c r="H87" i="9"/>
  <c r="C87" i="9"/>
  <c r="BK86" i="9"/>
  <c r="BJ86" i="9"/>
  <c r="AS86" i="9"/>
  <c r="I85" i="9"/>
  <c r="J86" i="9"/>
  <c r="H86" i="9"/>
  <c r="C86" i="9"/>
  <c r="BK85" i="9"/>
  <c r="BJ85" i="9"/>
  <c r="AS85" i="9"/>
  <c r="AR85" i="9"/>
  <c r="K85" i="9"/>
  <c r="AR84" i="9"/>
  <c r="K84" i="9"/>
  <c r="L85" i="9"/>
  <c r="M85" i="9"/>
  <c r="I84" i="9"/>
  <c r="J85" i="9"/>
  <c r="H85" i="9"/>
  <c r="C85" i="9"/>
  <c r="BK84" i="9"/>
  <c r="BJ84" i="9"/>
  <c r="AS84" i="9"/>
  <c r="AR83" i="9"/>
  <c r="K83" i="9"/>
  <c r="L84" i="9"/>
  <c r="M84" i="9"/>
  <c r="I83" i="9"/>
  <c r="J84" i="9"/>
  <c r="H84" i="9"/>
  <c r="C84" i="9"/>
  <c r="BK83" i="9"/>
  <c r="BJ83" i="9"/>
  <c r="AS83" i="9"/>
  <c r="I82" i="9"/>
  <c r="J83" i="9"/>
  <c r="H83" i="9"/>
  <c r="C83" i="9"/>
  <c r="BK82" i="9"/>
  <c r="BJ82" i="9"/>
  <c r="AS82" i="9"/>
  <c r="AR82" i="9"/>
  <c r="K82" i="9"/>
  <c r="AR81" i="9"/>
  <c r="K81" i="9"/>
  <c r="L82" i="9"/>
  <c r="M82" i="9"/>
  <c r="I81" i="9"/>
  <c r="J82" i="9"/>
  <c r="H82" i="9"/>
  <c r="C82" i="9"/>
  <c r="BK81" i="9"/>
  <c r="BJ81" i="9"/>
  <c r="AS81" i="9"/>
  <c r="AR80" i="9"/>
  <c r="K80" i="9"/>
  <c r="L81" i="9"/>
  <c r="M81" i="9"/>
  <c r="I80" i="9"/>
  <c r="J81" i="9"/>
  <c r="H81" i="9"/>
  <c r="C81" i="9"/>
  <c r="BK80" i="9"/>
  <c r="BJ80" i="9"/>
  <c r="AS80" i="9"/>
  <c r="I79" i="9"/>
  <c r="J80" i="9"/>
  <c r="H80" i="9"/>
  <c r="C80" i="9"/>
  <c r="BK79" i="9"/>
  <c r="BJ79" i="9"/>
  <c r="AS79" i="9"/>
  <c r="AR79" i="9"/>
  <c r="K79" i="9"/>
  <c r="AR78" i="9"/>
  <c r="K78" i="9"/>
  <c r="L79" i="9"/>
  <c r="M79" i="9"/>
  <c r="I78" i="9"/>
  <c r="J79" i="9"/>
  <c r="H79" i="9"/>
  <c r="C79" i="9"/>
  <c r="BK78" i="9"/>
  <c r="BJ78" i="9"/>
  <c r="AS78" i="9"/>
  <c r="I77" i="9"/>
  <c r="J78" i="9"/>
  <c r="H78" i="9"/>
  <c r="C78" i="9"/>
  <c r="BK77" i="9"/>
  <c r="BJ77" i="9"/>
  <c r="AS77" i="9"/>
  <c r="AR77" i="9"/>
  <c r="K77" i="9"/>
  <c r="AR76" i="9"/>
  <c r="K76" i="9"/>
  <c r="L77" i="9"/>
  <c r="M77" i="9"/>
  <c r="I76" i="9"/>
  <c r="J77" i="9"/>
  <c r="H77" i="9"/>
  <c r="C77" i="9"/>
  <c r="BK76" i="9"/>
  <c r="BJ76" i="9"/>
  <c r="AS76" i="9"/>
  <c r="I75" i="9"/>
  <c r="J76" i="9"/>
  <c r="H76" i="9"/>
  <c r="C76" i="9"/>
  <c r="BK75" i="9"/>
  <c r="BJ75" i="9"/>
  <c r="AS75" i="9"/>
  <c r="AR75" i="9"/>
  <c r="K75" i="9"/>
  <c r="AR74" i="9"/>
  <c r="K74" i="9"/>
  <c r="L75" i="9"/>
  <c r="M75" i="9"/>
  <c r="C75" i="9"/>
  <c r="BK74" i="9"/>
  <c r="BJ74" i="9"/>
  <c r="AS74" i="9"/>
  <c r="I74" i="9"/>
  <c r="I73" i="9"/>
  <c r="J74" i="9"/>
  <c r="H74" i="9"/>
  <c r="C74" i="9"/>
  <c r="BK73" i="9"/>
  <c r="BJ73" i="9"/>
  <c r="AS73" i="9"/>
  <c r="AR73" i="9"/>
  <c r="K73" i="9"/>
  <c r="I72" i="9"/>
  <c r="J73" i="9"/>
  <c r="H73" i="9"/>
  <c r="C73" i="9"/>
  <c r="BK72" i="9"/>
  <c r="BJ72" i="9"/>
  <c r="AS72" i="9"/>
  <c r="AR72" i="9"/>
  <c r="K72" i="9"/>
  <c r="AR71" i="9"/>
  <c r="K71" i="9"/>
  <c r="L72" i="9"/>
  <c r="M72" i="9"/>
  <c r="I71" i="9"/>
  <c r="J72" i="9"/>
  <c r="H72" i="9"/>
  <c r="C72" i="9"/>
  <c r="BK71" i="9"/>
  <c r="BJ71" i="9"/>
  <c r="AS71" i="9"/>
  <c r="AR70" i="9"/>
  <c r="K70" i="9"/>
  <c r="L71" i="9"/>
  <c r="M71" i="9"/>
  <c r="C71" i="9"/>
  <c r="BK70" i="9"/>
  <c r="BJ70" i="9"/>
  <c r="AS70" i="9"/>
  <c r="AR69" i="9"/>
  <c r="K69" i="9"/>
  <c r="L70" i="9"/>
  <c r="M70" i="9"/>
  <c r="I70" i="9"/>
  <c r="I69" i="9"/>
  <c r="J70" i="9"/>
  <c r="H70" i="9"/>
  <c r="C70" i="9"/>
  <c r="BK69" i="9"/>
  <c r="BJ69" i="9"/>
  <c r="AS69" i="9"/>
  <c r="I68" i="9"/>
  <c r="J69" i="9"/>
  <c r="H69" i="9"/>
  <c r="C69" i="9"/>
  <c r="BK68" i="9"/>
  <c r="BJ68" i="9"/>
  <c r="AS68" i="9"/>
  <c r="AR68" i="9"/>
  <c r="K68" i="9"/>
  <c r="AR67" i="9"/>
  <c r="K67" i="9"/>
  <c r="L68" i="9"/>
  <c r="M68" i="9"/>
  <c r="I67" i="9"/>
  <c r="J68" i="9"/>
  <c r="H68" i="9"/>
  <c r="C68" i="9"/>
  <c r="BK67" i="9"/>
  <c r="BJ67" i="9"/>
  <c r="AS67" i="9"/>
  <c r="AR66" i="9"/>
  <c r="K66" i="9"/>
  <c r="L67" i="9"/>
  <c r="M67" i="9"/>
  <c r="C67" i="9"/>
  <c r="BK66" i="9"/>
  <c r="BJ66" i="9"/>
  <c r="AS66" i="9"/>
  <c r="I66" i="9"/>
  <c r="I65" i="9"/>
  <c r="J66" i="9"/>
  <c r="H66" i="9"/>
  <c r="C66" i="9"/>
  <c r="BK65" i="9"/>
  <c r="BJ65" i="9"/>
  <c r="AS65" i="9"/>
  <c r="AR65" i="9"/>
  <c r="K65" i="9"/>
  <c r="I64" i="9"/>
  <c r="J65" i="9"/>
  <c r="H65" i="9"/>
  <c r="C65" i="9"/>
  <c r="BK64" i="9"/>
  <c r="BJ64" i="9"/>
  <c r="AS64" i="9"/>
  <c r="AR64" i="9"/>
  <c r="K64" i="9"/>
  <c r="AR63" i="9"/>
  <c r="K63" i="9"/>
  <c r="L64" i="9"/>
  <c r="M64" i="9"/>
  <c r="I63" i="9"/>
  <c r="J64" i="9"/>
  <c r="H64" i="9"/>
  <c r="C64" i="9"/>
  <c r="BK63" i="9"/>
  <c r="BJ63" i="9"/>
  <c r="AS63" i="9"/>
  <c r="AR62" i="9"/>
  <c r="K62" i="9"/>
  <c r="L63" i="9"/>
  <c r="M63" i="9"/>
  <c r="C63" i="9"/>
  <c r="BK62" i="9"/>
  <c r="BJ62" i="9"/>
  <c r="AS62" i="9"/>
  <c r="I62" i="9"/>
  <c r="C62" i="9"/>
  <c r="BK61" i="9"/>
  <c r="BJ61" i="9"/>
  <c r="AS61" i="9"/>
  <c r="AR61" i="9"/>
  <c r="K61" i="9"/>
  <c r="I61" i="9"/>
  <c r="I60" i="9"/>
  <c r="J61" i="9"/>
  <c r="H61" i="9"/>
  <c r="C61" i="9"/>
  <c r="BK60" i="9"/>
  <c r="BJ60" i="9"/>
  <c r="AS60" i="9"/>
  <c r="AR60" i="9"/>
  <c r="K60" i="9"/>
  <c r="AR59" i="9"/>
  <c r="K59" i="9"/>
  <c r="L60" i="9"/>
  <c r="M60" i="9"/>
  <c r="C60" i="9"/>
  <c r="BK59" i="9"/>
  <c r="BJ59" i="9"/>
  <c r="AS59" i="9"/>
  <c r="AR58" i="9"/>
  <c r="K58" i="9"/>
  <c r="L59" i="9"/>
  <c r="M59" i="9"/>
  <c r="I59" i="9"/>
  <c r="I58" i="9"/>
  <c r="J59" i="9"/>
  <c r="H59" i="9"/>
  <c r="C59" i="9"/>
  <c r="BK58" i="9"/>
  <c r="BJ58" i="9"/>
  <c r="AS58" i="9"/>
  <c r="C58" i="9"/>
  <c r="BK57" i="9"/>
  <c r="BJ57" i="9"/>
  <c r="AS57" i="9"/>
  <c r="AR57" i="9"/>
  <c r="K57" i="9"/>
  <c r="L58" i="9"/>
  <c r="M58" i="9"/>
  <c r="I57" i="9"/>
  <c r="I56" i="9"/>
  <c r="J57" i="9"/>
  <c r="H57" i="9"/>
  <c r="J58" i="9"/>
  <c r="H58" i="9"/>
  <c r="C57" i="9"/>
  <c r="BK56" i="9"/>
  <c r="BJ56" i="9"/>
  <c r="AS56" i="9"/>
  <c r="AR56" i="9"/>
  <c r="K56" i="9"/>
  <c r="AR55" i="9"/>
  <c r="K55" i="9"/>
  <c r="L56" i="9"/>
  <c r="M56" i="9"/>
  <c r="C56" i="9"/>
  <c r="BK55" i="9"/>
  <c r="BJ55" i="9"/>
  <c r="AS55" i="9"/>
  <c r="AR54" i="9"/>
  <c r="K54" i="9"/>
  <c r="L55" i="9"/>
  <c r="M55" i="9"/>
  <c r="I55" i="9"/>
  <c r="C55" i="9"/>
  <c r="BK54" i="9"/>
  <c r="BJ54" i="9"/>
  <c r="AS54" i="9"/>
  <c r="AR53" i="9"/>
  <c r="K53" i="9"/>
  <c r="L54" i="9"/>
  <c r="M54" i="9"/>
  <c r="I54" i="9"/>
  <c r="I53" i="9"/>
  <c r="J54" i="9"/>
  <c r="H54" i="9"/>
  <c r="C54" i="9"/>
  <c r="BK53" i="9"/>
  <c r="BJ53" i="9"/>
  <c r="AS53" i="9"/>
  <c r="I52" i="9"/>
  <c r="J53" i="9"/>
  <c r="H53" i="9"/>
  <c r="C53" i="9"/>
  <c r="BK52" i="9"/>
  <c r="BJ52" i="9"/>
  <c r="AS52" i="9"/>
  <c r="AR52" i="9"/>
  <c r="K52" i="9"/>
  <c r="AR51" i="9"/>
  <c r="K51" i="9"/>
  <c r="L52" i="9"/>
  <c r="M52" i="9"/>
  <c r="I51" i="9"/>
  <c r="J52" i="9"/>
  <c r="H52" i="9"/>
  <c r="C52" i="9"/>
  <c r="BK51" i="9"/>
  <c r="BJ51" i="9"/>
  <c r="AS51" i="9"/>
  <c r="C51" i="9"/>
  <c r="BK50" i="9"/>
  <c r="BJ50" i="9"/>
  <c r="AS50" i="9"/>
  <c r="AR50" i="9"/>
  <c r="K50" i="9"/>
  <c r="I50" i="9"/>
  <c r="I49" i="9"/>
  <c r="J50" i="9"/>
  <c r="H50" i="9"/>
  <c r="C50" i="9"/>
  <c r="BK49" i="9"/>
  <c r="BJ49" i="9"/>
  <c r="AS49" i="9"/>
  <c r="AR49" i="9"/>
  <c r="K49" i="9"/>
  <c r="AR48" i="9"/>
  <c r="K48" i="9"/>
  <c r="L49" i="9"/>
  <c r="M49" i="9"/>
  <c r="I48" i="9"/>
  <c r="J49" i="9"/>
  <c r="H49" i="9"/>
  <c r="C49" i="9"/>
  <c r="BK48" i="9"/>
  <c r="BJ48" i="9"/>
  <c r="AS48" i="9"/>
  <c r="AR47" i="9"/>
  <c r="K47" i="9"/>
  <c r="L48" i="9"/>
  <c r="M48" i="9"/>
  <c r="I47" i="9"/>
  <c r="J48" i="9"/>
  <c r="H48" i="9"/>
  <c r="C48" i="9"/>
  <c r="BK47" i="9"/>
  <c r="BJ47" i="9"/>
  <c r="AS47" i="9"/>
  <c r="AR46" i="9"/>
  <c r="K46" i="9"/>
  <c r="L47" i="9"/>
  <c r="M47" i="9"/>
  <c r="C47" i="9"/>
  <c r="BK46" i="9"/>
  <c r="BJ46" i="9"/>
  <c r="AS46" i="9"/>
  <c r="I46" i="9"/>
  <c r="C46" i="9"/>
  <c r="BK45" i="9"/>
  <c r="BJ45" i="9"/>
  <c r="AS45" i="9"/>
  <c r="AR45" i="9"/>
  <c r="K45" i="9"/>
  <c r="I45" i="9"/>
  <c r="I44" i="9"/>
  <c r="J45" i="9"/>
  <c r="H45" i="9"/>
  <c r="C45" i="9"/>
  <c r="BK44" i="9"/>
  <c r="BJ44" i="9"/>
  <c r="AS44" i="9"/>
  <c r="AR44" i="9"/>
  <c r="K44" i="9"/>
  <c r="AR43" i="9"/>
  <c r="K43" i="9"/>
  <c r="L44" i="9"/>
  <c r="M44" i="9"/>
  <c r="C44" i="9"/>
  <c r="BK43" i="9"/>
  <c r="BJ43" i="9"/>
  <c r="AS43" i="9"/>
  <c r="AR42" i="9"/>
  <c r="K42" i="9"/>
  <c r="L43" i="9"/>
  <c r="M43" i="9"/>
  <c r="I43" i="9"/>
  <c r="I42" i="9"/>
  <c r="J43" i="9"/>
  <c r="H43" i="9"/>
  <c r="C43" i="9"/>
  <c r="BK42" i="9"/>
  <c r="BJ42" i="9"/>
  <c r="AS42" i="9"/>
  <c r="AR41" i="9"/>
  <c r="K41" i="9"/>
  <c r="L42" i="9"/>
  <c r="M42" i="9"/>
  <c r="C42" i="9"/>
  <c r="BK41" i="9"/>
  <c r="BJ41" i="9"/>
  <c r="AS41" i="9"/>
  <c r="I41" i="9"/>
  <c r="J42" i="9"/>
  <c r="H42" i="9"/>
  <c r="C41" i="9"/>
  <c r="BK40" i="9"/>
  <c r="BJ40" i="9"/>
  <c r="AS40" i="9"/>
  <c r="AR40" i="9"/>
  <c r="K40" i="9"/>
  <c r="I40" i="9"/>
  <c r="I39" i="9"/>
  <c r="J40" i="9"/>
  <c r="H40" i="9"/>
  <c r="C40" i="9"/>
  <c r="BK39" i="9"/>
  <c r="BJ39" i="9"/>
  <c r="AS39" i="9"/>
  <c r="AR39" i="9"/>
  <c r="K39" i="9"/>
  <c r="AR38" i="9"/>
  <c r="K38" i="9"/>
  <c r="L39" i="9"/>
  <c r="M39" i="9"/>
  <c r="I38" i="9"/>
  <c r="J39" i="9"/>
  <c r="H39" i="9"/>
  <c r="C39" i="9"/>
  <c r="BK38" i="9"/>
  <c r="BJ38" i="9"/>
  <c r="AS38" i="9"/>
  <c r="AR37" i="9"/>
  <c r="K37" i="9"/>
  <c r="L38" i="9"/>
  <c r="M38" i="9"/>
  <c r="C38" i="9"/>
  <c r="BK37" i="9"/>
  <c r="BJ37" i="9"/>
  <c r="AS37" i="9"/>
  <c r="I37" i="9"/>
  <c r="C37" i="9"/>
  <c r="BK36" i="9"/>
  <c r="BJ36" i="9"/>
  <c r="AS36" i="9"/>
  <c r="AR36" i="9"/>
  <c r="K36" i="9"/>
  <c r="I36" i="9"/>
  <c r="I35" i="9"/>
  <c r="J36" i="9"/>
  <c r="H36" i="9"/>
  <c r="C36" i="9"/>
  <c r="BK35" i="9"/>
  <c r="BJ35" i="9"/>
  <c r="AS35" i="9"/>
  <c r="AR35" i="9"/>
  <c r="K35" i="9"/>
  <c r="AR34" i="9"/>
  <c r="K34" i="9"/>
  <c r="L35" i="9"/>
  <c r="M35" i="9"/>
  <c r="I34" i="9"/>
  <c r="J35" i="9"/>
  <c r="H35" i="9"/>
  <c r="C35" i="9"/>
  <c r="BK34" i="9"/>
  <c r="BJ34" i="9"/>
  <c r="AS34" i="9"/>
  <c r="AR33" i="9"/>
  <c r="K33" i="9"/>
  <c r="L34" i="9"/>
  <c r="M34" i="9"/>
  <c r="C34" i="9"/>
  <c r="BK33" i="9"/>
  <c r="BJ33" i="9"/>
  <c r="AS33" i="9"/>
  <c r="I33" i="9"/>
  <c r="C33" i="9"/>
  <c r="BK32" i="9"/>
  <c r="BJ32" i="9"/>
  <c r="AS32" i="9"/>
  <c r="AR32" i="9"/>
  <c r="K32" i="9"/>
  <c r="I32" i="9"/>
  <c r="I31" i="9"/>
  <c r="J32" i="9"/>
  <c r="H32" i="9"/>
  <c r="C32" i="9"/>
  <c r="BK31" i="9"/>
  <c r="BJ31" i="9"/>
  <c r="AS31" i="9"/>
  <c r="AR31" i="9"/>
  <c r="K31" i="9"/>
  <c r="AR30" i="9"/>
  <c r="K30" i="9"/>
  <c r="L31" i="9"/>
  <c r="M31" i="9"/>
  <c r="I30" i="9"/>
  <c r="J31" i="9"/>
  <c r="H31" i="9"/>
  <c r="C31" i="9"/>
  <c r="BK30" i="9"/>
  <c r="BJ30" i="9"/>
  <c r="AS30" i="9"/>
  <c r="AR29" i="9"/>
  <c r="K29" i="9"/>
  <c r="L30" i="9"/>
  <c r="M30" i="9"/>
  <c r="C30" i="9"/>
  <c r="BK29" i="9"/>
  <c r="BJ29" i="9"/>
  <c r="AS29" i="9"/>
  <c r="I29" i="9"/>
  <c r="C29" i="9"/>
  <c r="BK28" i="9"/>
  <c r="BJ28" i="9"/>
  <c r="AS28" i="9"/>
  <c r="AR28" i="9"/>
  <c r="K28" i="9"/>
  <c r="AR27" i="9"/>
  <c r="K27" i="9"/>
  <c r="L28" i="9"/>
  <c r="M28" i="9"/>
  <c r="I28" i="9"/>
  <c r="I27" i="9"/>
  <c r="J28" i="9"/>
  <c r="H28" i="9"/>
  <c r="C28" i="9"/>
  <c r="BK27" i="9"/>
  <c r="BJ27" i="9"/>
  <c r="AS27" i="9"/>
  <c r="AR26" i="9"/>
  <c r="K26" i="9"/>
  <c r="L27" i="9"/>
  <c r="M27" i="9"/>
  <c r="I26" i="9"/>
  <c r="J27" i="9"/>
  <c r="H27" i="9"/>
  <c r="C27" i="9"/>
  <c r="BK26" i="9"/>
  <c r="BJ26" i="9"/>
  <c r="AS26" i="9"/>
  <c r="AR25" i="9"/>
  <c r="K25" i="9"/>
  <c r="L26" i="9"/>
  <c r="M26" i="9"/>
  <c r="C26" i="9"/>
  <c r="BK25" i="9"/>
  <c r="BJ25" i="9"/>
  <c r="AS25" i="9"/>
  <c r="I25" i="9"/>
  <c r="C25" i="9"/>
  <c r="BK24" i="9"/>
  <c r="BJ24" i="9"/>
  <c r="AS24" i="9"/>
  <c r="AR24" i="9"/>
  <c r="K24" i="9"/>
  <c r="I24" i="9"/>
  <c r="I23" i="9"/>
  <c r="J24" i="9"/>
  <c r="H24" i="9"/>
  <c r="C24" i="9"/>
  <c r="BK23" i="9"/>
  <c r="BJ23" i="9"/>
  <c r="AS23" i="9"/>
  <c r="AR23" i="9"/>
  <c r="K23" i="9"/>
  <c r="AR22" i="9"/>
  <c r="K22" i="9"/>
  <c r="L23" i="9"/>
  <c r="M23" i="9"/>
  <c r="I22" i="9"/>
  <c r="J23" i="9"/>
  <c r="H23" i="9"/>
  <c r="C23" i="9"/>
  <c r="BK22" i="9"/>
  <c r="BJ22" i="9"/>
  <c r="AS22" i="9"/>
  <c r="AR21" i="9"/>
  <c r="K21" i="9"/>
  <c r="L22" i="9"/>
  <c r="M22" i="9"/>
  <c r="C22" i="9"/>
  <c r="BK21" i="9"/>
  <c r="BJ21" i="9"/>
  <c r="AS21" i="9"/>
  <c r="I21" i="9"/>
  <c r="C21" i="9"/>
  <c r="BK20" i="9"/>
  <c r="BJ20" i="9"/>
  <c r="AS20" i="9"/>
  <c r="AR20" i="9"/>
  <c r="K20" i="9"/>
  <c r="I20" i="9"/>
  <c r="I19" i="9"/>
  <c r="J20" i="9"/>
  <c r="H20" i="9"/>
  <c r="C20" i="9"/>
  <c r="BK19" i="9"/>
  <c r="BJ19" i="9"/>
  <c r="AS19" i="9"/>
  <c r="AR19" i="9"/>
  <c r="K19" i="9"/>
  <c r="AR18" i="9"/>
  <c r="K18" i="9"/>
  <c r="L19" i="9"/>
  <c r="M19" i="9"/>
  <c r="I18" i="9"/>
  <c r="J19" i="9"/>
  <c r="H19" i="9"/>
  <c r="C19" i="9"/>
  <c r="BK18" i="9"/>
  <c r="BJ18" i="9"/>
  <c r="AS18" i="9"/>
  <c r="AR17" i="9"/>
  <c r="K17" i="9"/>
  <c r="L18" i="9"/>
  <c r="M18" i="9"/>
  <c r="C18" i="9"/>
  <c r="BK17" i="9"/>
  <c r="BJ17" i="9"/>
  <c r="AS17" i="9"/>
  <c r="I17" i="9"/>
  <c r="C17" i="9"/>
  <c r="BK16" i="9"/>
  <c r="BJ16" i="9"/>
  <c r="AS16" i="9"/>
  <c r="AR16" i="9"/>
  <c r="K16" i="9"/>
  <c r="I16" i="9"/>
  <c r="I15" i="9"/>
  <c r="J16" i="9"/>
  <c r="H16" i="9"/>
  <c r="C16" i="9"/>
  <c r="BK15" i="9"/>
  <c r="BJ15" i="9"/>
  <c r="AS15" i="9"/>
  <c r="AR15" i="9"/>
  <c r="K15" i="9"/>
  <c r="AR14" i="9"/>
  <c r="K14" i="9"/>
  <c r="L15" i="9"/>
  <c r="M15" i="9"/>
  <c r="I14" i="9"/>
  <c r="J15" i="9"/>
  <c r="H15" i="9"/>
  <c r="C15" i="9"/>
  <c r="BK14" i="9"/>
  <c r="BJ14" i="9"/>
  <c r="AS14" i="9"/>
  <c r="AR13" i="9"/>
  <c r="K13" i="9"/>
  <c r="L14" i="9"/>
  <c r="M14" i="9"/>
  <c r="C14" i="9"/>
  <c r="BK13" i="9"/>
  <c r="BJ13" i="9"/>
  <c r="AS13" i="9"/>
  <c r="AR12" i="9"/>
  <c r="K12" i="9"/>
  <c r="L13" i="9"/>
  <c r="M13" i="9"/>
  <c r="I13" i="9"/>
  <c r="C13" i="9"/>
  <c r="BK12" i="9"/>
  <c r="BJ12" i="9"/>
  <c r="AS12" i="9"/>
  <c r="AR11" i="9"/>
  <c r="K11" i="9"/>
  <c r="L12" i="9"/>
  <c r="M12" i="9"/>
  <c r="I12" i="9"/>
  <c r="I11" i="9"/>
  <c r="J12" i="9"/>
  <c r="H12" i="9"/>
  <c r="C12" i="9"/>
  <c r="BK11" i="9"/>
  <c r="BJ11" i="9"/>
  <c r="AS11" i="9"/>
  <c r="AR10" i="9"/>
  <c r="K10" i="9"/>
  <c r="L11" i="9"/>
  <c r="M11" i="9"/>
  <c r="I10" i="9"/>
  <c r="J11" i="9"/>
  <c r="H11" i="9"/>
  <c r="C11" i="9"/>
  <c r="BK10" i="9"/>
  <c r="BJ10" i="9"/>
  <c r="AS10" i="9"/>
  <c r="AR9" i="9"/>
  <c r="K9" i="9"/>
  <c r="L10" i="9"/>
  <c r="M10" i="9"/>
  <c r="C10" i="9"/>
  <c r="BK9" i="9"/>
  <c r="BJ9" i="9"/>
  <c r="AS9" i="9"/>
  <c r="I9" i="9"/>
  <c r="C9" i="9"/>
  <c r="BK8" i="9"/>
  <c r="BJ8" i="9"/>
  <c r="AS8" i="9"/>
  <c r="AR8" i="9"/>
  <c r="K8" i="9"/>
  <c r="L9" i="9"/>
  <c r="M9" i="9"/>
  <c r="I8" i="9"/>
  <c r="I7" i="9"/>
  <c r="J8" i="9"/>
  <c r="H8" i="9"/>
  <c r="C8" i="9"/>
  <c r="BK7" i="9"/>
  <c r="BJ7" i="9"/>
  <c r="AS7" i="9"/>
  <c r="AR7" i="9"/>
  <c r="K7" i="9"/>
  <c r="AR6" i="9"/>
  <c r="K6" i="9"/>
  <c r="L7" i="9"/>
  <c r="M7" i="9"/>
  <c r="I6" i="9"/>
  <c r="J7" i="9"/>
  <c r="H7" i="9"/>
  <c r="C7" i="9"/>
  <c r="BK6" i="9"/>
  <c r="BJ6" i="9"/>
  <c r="AS6" i="9"/>
  <c r="AR5" i="9"/>
  <c r="K5" i="9"/>
  <c r="L6" i="9"/>
  <c r="M6" i="9"/>
  <c r="I5" i="9"/>
  <c r="J6" i="9"/>
  <c r="H6" i="9"/>
  <c r="C6" i="9"/>
  <c r="E6" i="9"/>
  <c r="AS5" i="9"/>
  <c r="C5" i="9"/>
  <c r="L8" i="9"/>
  <c r="M8" i="9"/>
  <c r="J9" i="9"/>
  <c r="H9" i="9"/>
  <c r="J10" i="9"/>
  <c r="H10" i="9"/>
  <c r="L16" i="9"/>
  <c r="M16" i="9"/>
  <c r="L17" i="9"/>
  <c r="M17" i="9"/>
  <c r="J25" i="9"/>
  <c r="H25" i="9"/>
  <c r="J26" i="9"/>
  <c r="H26" i="9"/>
  <c r="L40" i="9"/>
  <c r="M40" i="9"/>
  <c r="L45" i="9"/>
  <c r="M45" i="9"/>
  <c r="L46" i="9"/>
  <c r="M46" i="9"/>
  <c r="L61" i="9"/>
  <c r="M61" i="9"/>
  <c r="L62" i="9"/>
  <c r="M62" i="9"/>
  <c r="J21" i="9"/>
  <c r="H21" i="9"/>
  <c r="J22" i="9"/>
  <c r="H22" i="9"/>
  <c r="L29" i="9"/>
  <c r="M29" i="9"/>
  <c r="L32" i="9"/>
  <c r="M32" i="9"/>
  <c r="L33" i="9"/>
  <c r="M33" i="9"/>
  <c r="L36" i="9"/>
  <c r="M36" i="9"/>
  <c r="L37" i="9"/>
  <c r="M37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J17" i="9"/>
  <c r="H17" i="9"/>
  <c r="J18" i="9"/>
  <c r="H18" i="9"/>
  <c r="L24" i="9"/>
  <c r="M24" i="9"/>
  <c r="L25" i="9"/>
  <c r="M25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J13" i="9"/>
  <c r="H13" i="9"/>
  <c r="J14" i="9"/>
  <c r="H14" i="9"/>
  <c r="L20" i="9"/>
  <c r="M20" i="9"/>
  <c r="L21" i="9"/>
  <c r="M21" i="9"/>
  <c r="J29" i="9"/>
  <c r="H29" i="9"/>
  <c r="J30" i="9"/>
  <c r="H30" i="9"/>
  <c r="J33" i="9"/>
  <c r="H33" i="9"/>
  <c r="J37" i="9"/>
  <c r="H37" i="9"/>
  <c r="L50" i="9"/>
  <c r="M50" i="9"/>
  <c r="J34" i="9"/>
  <c r="H34" i="9"/>
  <c r="J38" i="9"/>
  <c r="H38" i="9"/>
  <c r="J51" i="9"/>
  <c r="H51" i="9"/>
  <c r="L65" i="9"/>
  <c r="M65" i="9"/>
  <c r="J71" i="9"/>
  <c r="H71" i="9"/>
  <c r="L76" i="9"/>
  <c r="M76" i="9"/>
  <c r="J41" i="9"/>
  <c r="H41" i="9"/>
  <c r="J46" i="9"/>
  <c r="H46" i="9"/>
  <c r="L53" i="9"/>
  <c r="M53" i="9"/>
  <c r="J55" i="9"/>
  <c r="H55" i="9"/>
  <c r="J62" i="9"/>
  <c r="H62" i="9"/>
  <c r="J67" i="9"/>
  <c r="H67" i="9"/>
  <c r="L74" i="9"/>
  <c r="M74" i="9"/>
  <c r="L41" i="9"/>
  <c r="M41" i="9"/>
  <c r="L51" i="9"/>
  <c r="M51" i="9"/>
  <c r="J56" i="9"/>
  <c r="H56" i="9"/>
  <c r="L57" i="9"/>
  <c r="M57" i="9"/>
  <c r="L73" i="9"/>
  <c r="M73" i="9"/>
  <c r="J44" i="9"/>
  <c r="H44" i="9"/>
  <c r="J47" i="9"/>
  <c r="H47" i="9"/>
  <c r="J60" i="9"/>
  <c r="H60" i="9"/>
  <c r="J63" i="9"/>
  <c r="H63" i="9"/>
  <c r="L66" i="9"/>
  <c r="M66" i="9"/>
  <c r="L69" i="9"/>
  <c r="M69" i="9"/>
  <c r="J75" i="9"/>
  <c r="H75" i="9"/>
  <c r="L78" i="9"/>
  <c r="M78" i="9"/>
  <c r="L80" i="9"/>
  <c r="M80" i="9"/>
  <c r="L83" i="9"/>
  <c r="M83" i="9"/>
  <c r="L86" i="9"/>
  <c r="M86" i="9"/>
  <c r="L88" i="9"/>
  <c r="M88" i="9"/>
  <c r="C3" i="4"/>
  <c r="C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2" i="1"/>
  <c r="B1" i="19"/>
</calcChain>
</file>

<file path=xl/sharedStrings.xml><?xml version="1.0" encoding="utf-8"?>
<sst xmlns="http://schemas.openxmlformats.org/spreadsheetml/2006/main" count="8441" uniqueCount="153">
  <si>
    <t>p</t>
  </si>
  <si>
    <t>expenditure</t>
  </si>
  <si>
    <t>number</t>
  </si>
  <si>
    <t>platinum</t>
  </si>
  <si>
    <t>gold</t>
  </si>
  <si>
    <t>silver</t>
  </si>
  <si>
    <t>bronze</t>
  </si>
  <si>
    <t>healthy</t>
  </si>
  <si>
    <t>overall</t>
  </si>
  <si>
    <t>unhealthy</t>
  </si>
  <si>
    <t>Up To</t>
  </si>
  <si>
    <t>Unlimited</t>
  </si>
  <si>
    <t>Avg. Cost per Enrollee (Bucket)</t>
  </si>
  <si>
    <t xml:space="preserve">. </t>
  </si>
  <si>
    <t>D</t>
  </si>
  <si>
    <t>p_D</t>
  </si>
  <si>
    <t>M</t>
  </si>
  <si>
    <t>p_M</t>
  </si>
  <si>
    <t>Gold Plans, All Claims</t>
  </si>
  <si>
    <t>Continuance Table</t>
  </si>
  <si>
    <t>Number of Enrollees</t>
  </si>
  <si>
    <t>Avg. Cost per Enrollee (Max'd)</t>
  </si>
  <si>
    <t>Fraction of drug spending</t>
  </si>
  <si>
    <t>Total drug spending</t>
  </si>
  <si>
    <t>Avg. drug spending in this bucket</t>
  </si>
  <si>
    <t>sum of all columns</t>
  </si>
  <si>
    <t>should be close to E</t>
  </si>
  <si>
    <t>diff from E</t>
  </si>
  <si>
    <t>ER</t>
  </si>
  <si>
    <t>Avg. ER Freq</t>
  </si>
  <si>
    <t>IP</t>
  </si>
  <si>
    <t>Avg. IP Freq</t>
  </si>
  <si>
    <t>Primary Care</t>
  </si>
  <si>
    <t>Avg. Primary Care Freq</t>
  </si>
  <si>
    <t>Specialist</t>
  </si>
  <si>
    <t>Avg. Specialist Freq</t>
  </si>
  <si>
    <t>Mental Health and Sub. Abuse</t>
  </si>
  <si>
    <t>Mental Health and Sub. Abuse Freq.</t>
  </si>
  <si>
    <t>-</t>
  </si>
  <si>
    <t>Imaging</t>
  </si>
  <si>
    <t>Avg. Imaging Freq</t>
  </si>
  <si>
    <t>Speech Therapy</t>
  </si>
  <si>
    <t>Avg. Speech Therapy Freq</t>
  </si>
  <si>
    <t>Occ. + Physical Therapy</t>
  </si>
  <si>
    <t>Occ. + Physical Therapy Freq</t>
  </si>
  <si>
    <t>Well Baby (Combined)</t>
  </si>
  <si>
    <t>Avg. Well Baby Freq (Combined)</t>
  </si>
  <si>
    <t>Well Baby (Unclass.)</t>
  </si>
  <si>
    <t>Avg. Well Baby Freq (Unclass.)</t>
  </si>
  <si>
    <t>Preventive (Combined)</t>
  </si>
  <si>
    <t>Avg. Prev. Freq (Combined)</t>
  </si>
  <si>
    <t>Laboratory</t>
  </si>
  <si>
    <t>Avg. Laboratory Freq</t>
  </si>
  <si>
    <t>X-rays (Combined)</t>
  </si>
  <si>
    <t>Avg. X-ray Freq (Combined)</t>
  </si>
  <si>
    <t>X-rays (Specialist)</t>
  </si>
  <si>
    <t>Avg. X-rays Freq (Specialist)</t>
  </si>
  <si>
    <t>X-rays (Primary)</t>
  </si>
  <si>
    <t>Avg. X-rays Freq (Primary)</t>
  </si>
  <si>
    <t>X-rays (Unclass.)</t>
  </si>
  <si>
    <t>Avg. X-rays Freq (Unclass.)</t>
  </si>
  <si>
    <t>SNF</t>
  </si>
  <si>
    <t>Avg. SNF Freq.</t>
  </si>
  <si>
    <t>Unclassified</t>
  </si>
  <si>
    <t>Avg. Unclassified Freq</t>
  </si>
  <si>
    <t>Avg. IP Days</t>
  </si>
  <si>
    <t>Avg. SNF Days</t>
  </si>
  <si>
    <t>Generics</t>
  </si>
  <si>
    <t>Avg. Generics Prescriptions</t>
  </si>
  <si>
    <t>Preferred Brand</t>
  </si>
  <si>
    <t>Avg. Pref. Brand Prescriptions</t>
  </si>
  <si>
    <t>Non-Preferred Brand</t>
  </si>
  <si>
    <t>Avg. Non-Pref. Brand Prescriptions</t>
  </si>
  <si>
    <t>Specialty High-Cost</t>
  </si>
  <si>
    <t>Avg. Spec. Prescriptions</t>
  </si>
  <si>
    <t>Chronic Maintenance</t>
  </si>
  <si>
    <t>Avg. Chronic Maintenance</t>
  </si>
  <si>
    <t>Avg. Unclassified Prescriptions</t>
  </si>
  <si>
    <t>Mental Health - OP Facility</t>
  </si>
  <si>
    <t>Avg. Mental Health - OP Facility Freq</t>
  </si>
  <si>
    <t>Mental Health - OP Prof.</t>
  </si>
  <si>
    <t>Avg. Mental Health - OP Prof. Freq</t>
  </si>
  <si>
    <t>Sub. Abuse - OP Facility</t>
  </si>
  <si>
    <t>Avg. Sub. Abuse - OP Facility Freq</t>
  </si>
  <si>
    <t>Sub. Abuse - OP Prof.</t>
  </si>
  <si>
    <t>Avg. Sub. Abuse - OP Prof. Freq</t>
  </si>
  <si>
    <t>Imaging - OP Facility</t>
  </si>
  <si>
    <t>Avg. Imaging - OP Facility Freq</t>
  </si>
  <si>
    <t>Imaging - OP Prof.</t>
  </si>
  <si>
    <t>Avg. Imaging - OP Prof. Freq</t>
  </si>
  <si>
    <t>Speech Therapy - OP Facility</t>
  </si>
  <si>
    <t>Avg. Speech Therapy - OP Facility Freq</t>
  </si>
  <si>
    <t>Speech Therapy - OP Prof.</t>
  </si>
  <si>
    <t>Avg. Speech Therapy - OP Prof. Freq</t>
  </si>
  <si>
    <t>Occupational Therapy - OP Facility</t>
  </si>
  <si>
    <t>Avg. Occ. Therapy - OP Facility Freq</t>
  </si>
  <si>
    <t>Occupational Therapy - OP Prof.</t>
  </si>
  <si>
    <t>Avg. Occ. Therapy - OP Prof. Freq</t>
  </si>
  <si>
    <t>Laboratory - OP Facility</t>
  </si>
  <si>
    <t>Avg. Lab - OP Facility Freq</t>
  </si>
  <si>
    <t>Laboratory - OP Prof.</t>
  </si>
  <si>
    <t>Avg. Lab - OP Prof. Freq</t>
  </si>
  <si>
    <t>Unclassified - OP Facility</t>
  </si>
  <si>
    <t>Avg. Unclass. - OP Facility Freq</t>
  </si>
  <si>
    <t>Unclassified - OP Prof</t>
  </si>
  <si>
    <t>Avg. Unclass. - OP Prof Freq</t>
  </si>
  <si>
    <t>IP Max Days - 1</t>
  </si>
  <si>
    <t>IP Max Days - 2</t>
  </si>
  <si>
    <t>IP Max Days - 3</t>
  </si>
  <si>
    <t>IP Max Days - 4</t>
  </si>
  <si>
    <t>IP Max Days - 5</t>
  </si>
  <si>
    <t>IP Max Days - 6</t>
  </si>
  <si>
    <t>IP Max Days - 7</t>
  </si>
  <si>
    <t>IP Max Days - 8</t>
  </si>
  <si>
    <t>IP Max Days - 9</t>
  </si>
  <si>
    <t>IP Max Days - 10</t>
  </si>
  <si>
    <t>Primary Care &gt;1 Visit</t>
  </si>
  <si>
    <t>Primary Care &gt;1 Visit Freq.</t>
  </si>
  <si>
    <t>Primary Care &gt;2 Visits</t>
  </si>
  <si>
    <t>Primary Care &gt;2 Visits Freq.</t>
  </si>
  <si>
    <t>Primary Care &gt;3 Visits</t>
  </si>
  <si>
    <t>Primary Care &gt;3 Visits Freq.</t>
  </si>
  <si>
    <t>Primary Care &gt;4 Visits</t>
  </si>
  <si>
    <t>Primary Care &gt;4 Visits Freq.</t>
  </si>
  <si>
    <t>Primary Care &gt;5 Visits</t>
  </si>
  <si>
    <t>Primary Care &gt;5 Visits Freq.</t>
  </si>
  <si>
    <t>Primary Care &gt;6 Visits</t>
  </si>
  <si>
    <t>Primary Care &gt;6 Visits Freq.</t>
  </si>
  <si>
    <t>Primary Care &gt;7 Visits</t>
  </si>
  <si>
    <t>Primary Care &gt;7 Visits Freq.</t>
  </si>
  <si>
    <t>Primary Care &gt;8 Visits</t>
  </si>
  <si>
    <t>Primary Care &gt;8 Visits Freq.</t>
  </si>
  <si>
    <t>Primary Care &gt;9 Visits</t>
  </si>
  <si>
    <t>Primary Care &gt;9 Visits Freq.</t>
  </si>
  <si>
    <t>Primary Care &gt;10 Visits</t>
  </si>
  <si>
    <t>Primary Care &gt;10 Visits Freq.</t>
  </si>
  <si>
    <t>.</t>
  </si>
  <si>
    <t>T</t>
  </si>
  <si>
    <t>Fraction of primary care</t>
  </si>
  <si>
    <t>cost per bucket</t>
  </si>
  <si>
    <t>frequence per bucket</t>
  </si>
  <si>
    <t>Fraction of specialist</t>
  </si>
  <si>
    <t>Fraction of generics</t>
  </si>
  <si>
    <t>cost per buckt</t>
  </si>
  <si>
    <t>Fraction of preferred brand</t>
  </si>
  <si>
    <t>Fraction of non-preferred brand</t>
  </si>
  <si>
    <t>Fraction of Specialty drugs</t>
  </si>
  <si>
    <t>Platinum Plans, All Claims</t>
  </si>
  <si>
    <t>Silver Plans, All Claims</t>
  </si>
  <si>
    <t>Bronze Plans, All Claims</t>
  </si>
  <si>
    <t>weighted average per primary office visit cost</t>
  </si>
  <si>
    <t>reweighted probability</t>
  </si>
  <si>
    <t>cost per office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</si>
</sst>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&quot;$&quot;#,##0.00"/>
    <numFmt numFmtId="165" formatCode="&quot;$&quot;#,##0"/>
    <numFmt numFmtId="166" formatCode="#,##0.000"/>
    <numFmt numFmtId="167" formatCode="0.000"/>
    <numFmt numFmtId="168" formatCode="0.0%"/>
    <numFmt numFmtId="169" formatCode="#,##0.000_);\(#,##0.0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BE5F2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Protection="0">
      <alignment vertical="top"/>
    </xf>
    <xf numFmtId="9" fontId="2" fillId="0" borderId="0" applyFont="0" applyFill="0" applyBorder="0" applyAlignment="0" applyProtection="0"/>
  </cellStyleXfs>
  <cellXfs count="106">
    <xf numFmtId="0" fontId="0" fillId="0" borderId="0" xfId="0"/>
    <xf numFmtId="0" fontId="0" fillId="2" borderId="0" xfId="0" applyFill="1"/>
    <xf numFmtId="3" fontId="0" fillId="2" borderId="0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Font="1"/>
    <xf numFmtId="0" fontId="0" fillId="0" borderId="0" xfId="0" applyNumberForma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1" xfId="0" applyNumberFormat="1" applyFill="1" applyBorder="1" applyAlignment="1">
      <alignment horizontal="right"/>
    </xf>
    <xf numFmtId="0" fontId="0" fillId="0" borderId="0" xfId="0" applyFill="1" applyAlignment="1">
      <alignment horizontal="left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166" fontId="0" fillId="2" borderId="0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0" fontId="1" fillId="2" borderId="0" xfId="0" applyFont="1" applyFill="1"/>
    <xf numFmtId="164" fontId="0" fillId="2" borderId="0" xfId="0" applyNumberFormat="1" applyFill="1"/>
    <xf numFmtId="164" fontId="1" fillId="2" borderId="0" xfId="0" applyNumberFormat="1" applyFont="1" applyFill="1"/>
    <xf numFmtId="16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164" fontId="0" fillId="2" borderId="3" xfId="0" applyNumberFormat="1" applyFill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167" fontId="0" fillId="2" borderId="0" xfId="0" applyNumberFormat="1" applyFill="1" applyBorder="1" applyAlignment="1">
      <alignment horizontal="center"/>
    </xf>
    <xf numFmtId="9" fontId="0" fillId="2" borderId="0" xfId="3" applyFont="1" applyFill="1" applyBorder="1" applyAlignment="1">
      <alignment horizontal="center"/>
    </xf>
    <xf numFmtId="2" fontId="0" fillId="2" borderId="0" xfId="3" applyNumberFormat="1" applyFont="1" applyFill="1" applyBorder="1" applyAlignment="1">
      <alignment horizontal="center"/>
    </xf>
    <xf numFmtId="164" fontId="0" fillId="2" borderId="0" xfId="3" applyNumberFormat="1" applyFont="1" applyFill="1" applyBorder="1" applyAlignment="1">
      <alignment horizontal="center"/>
    </xf>
    <xf numFmtId="167" fontId="0" fillId="2" borderId="0" xfId="3" applyNumberFormat="1" applyFont="1" applyFill="1" applyBorder="1" applyAlignment="1">
      <alignment horizontal="center"/>
    </xf>
    <xf numFmtId="167" fontId="0" fillId="2" borderId="8" xfId="0" applyNumberFormat="1" applyFill="1" applyBorder="1" applyAlignment="1">
      <alignment horizontal="center"/>
    </xf>
    <xf numFmtId="168" fontId="0" fillId="2" borderId="0" xfId="3" applyNumberFormat="1" applyFont="1" applyFill="1" applyBorder="1" applyAlignment="1">
      <alignment horizontal="center"/>
    </xf>
    <xf numFmtId="168" fontId="0" fillId="2" borderId="3" xfId="3" applyNumberFormat="1" applyFont="1" applyFill="1" applyBorder="1" applyAlignment="1">
      <alignment horizontal="center"/>
    </xf>
    <xf numFmtId="2" fontId="0" fillId="2" borderId="8" xfId="3" applyNumberFormat="1" applyFont="1" applyFill="1" applyBorder="1" applyAlignment="1">
      <alignment horizontal="center"/>
    </xf>
    <xf numFmtId="169" fontId="0" fillId="2" borderId="3" xfId="1" applyNumberFormat="1" applyFont="1" applyFill="1" applyBorder="1" applyAlignment="1">
      <alignment horizontal="center"/>
    </xf>
    <xf numFmtId="169" fontId="0" fillId="2" borderId="0" xfId="1" applyNumberFormat="1" applyFont="1" applyFill="1" applyBorder="1" applyAlignment="1">
      <alignment horizontal="center"/>
    </xf>
    <xf numFmtId="169" fontId="0" fillId="2" borderId="8" xfId="1" applyNumberFormat="1" applyFont="1" applyFill="1" applyBorder="1" applyAlignment="1">
      <alignment horizontal="center"/>
    </xf>
    <xf numFmtId="164" fontId="0" fillId="2" borderId="3" xfId="3" applyNumberFormat="1" applyFon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9" fontId="0" fillId="2" borderId="1" xfId="3" applyFont="1" applyFill="1" applyBorder="1" applyAlignment="1">
      <alignment horizontal="center"/>
    </xf>
    <xf numFmtId="2" fontId="0" fillId="2" borderId="1" xfId="3" applyNumberFormat="1" applyFont="1" applyFill="1" applyBorder="1" applyAlignment="1">
      <alignment horizontal="center"/>
    </xf>
    <xf numFmtId="164" fontId="0" fillId="2" borderId="1" xfId="3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0" fillId="2" borderId="9" xfId="0" applyNumberFormat="1" applyFill="1" applyBorder="1" applyAlignment="1">
      <alignment horizontal="center"/>
    </xf>
    <xf numFmtId="169" fontId="0" fillId="2" borderId="4" xfId="1" applyNumberFormat="1" applyFont="1" applyFill="1" applyBorder="1" applyAlignment="1">
      <alignment horizontal="center"/>
    </xf>
    <xf numFmtId="169" fontId="0" fillId="2" borderId="1" xfId="1" applyNumberFormat="1" applyFont="1" applyFill="1" applyBorder="1" applyAlignment="1">
      <alignment horizontal="center"/>
    </xf>
    <xf numFmtId="169" fontId="0" fillId="2" borderId="9" xfId="1" applyNumberFormat="1" applyFont="1" applyFill="1" applyBorder="1" applyAlignment="1">
      <alignment horizontal="center"/>
    </xf>
    <xf numFmtId="164" fontId="0" fillId="2" borderId="4" xfId="3" applyNumberFormat="1" applyFont="1" applyFill="1" applyBorder="1" applyAlignment="1">
      <alignment horizontal="center"/>
    </xf>
    <xf numFmtId="2" fontId="0" fillId="2" borderId="9" xfId="3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64" fontId="0" fillId="0" borderId="0" xfId="0" applyNumberFormat="1" applyFill="1" applyBorder="1" applyAlignment="1"/>
    <xf numFmtId="0" fontId="0" fillId="0" borderId="0" xfId="0" applyFill="1" applyBorder="1" applyAlignment="1"/>
    <xf numFmtId="165" fontId="0" fillId="3" borderId="2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horizont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wrapText="1"/>
    </xf>
    <xf numFmtId="0" fontId="0" fillId="4" borderId="13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4" borderId="15" xfId="0" applyFont="1" applyFill="1" applyBorder="1" applyAlignment="1">
      <alignment horizontal="center" vertical="center" wrapText="1"/>
    </xf>
    <xf numFmtId="0" fontId="0" fillId="4" borderId="16" xfId="0" applyFont="1" applyFill="1" applyBorder="1" applyAlignment="1">
      <alignment horizontal="center" vertical="center" wrapText="1"/>
    </xf>
    <xf numFmtId="0" fontId="0" fillId="3" borderId="2" xfId="0" applyNumberFormat="1" applyFont="1" applyFill="1" applyBorder="1" applyAlignment="1">
      <alignment horizontal="center" vertical="center" wrapText="1"/>
    </xf>
    <xf numFmtId="0" fontId="0" fillId="4" borderId="5" xfId="0" applyNumberFormat="1" applyFont="1" applyFill="1" applyBorder="1" applyAlignment="1">
      <alignment horizontal="center" vertical="center" wrapText="1"/>
    </xf>
    <xf numFmtId="0" fontId="0" fillId="3" borderId="5" xfId="0" applyNumberFormat="1" applyFont="1" applyFill="1" applyBorder="1" applyAlignment="1">
      <alignment horizontal="center" vertical="center" wrapText="1"/>
    </xf>
    <xf numFmtId="0" fontId="0" fillId="4" borderId="2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Alignment="1">
      <alignment vertical="center" wrapText="1"/>
    </xf>
    <xf numFmtId="0" fontId="0" fillId="2" borderId="3" xfId="0" applyNumberFormat="1" applyFill="1" applyBorder="1" applyAlignment="1">
      <alignment horizontal="center"/>
    </xf>
    <xf numFmtId="0" fontId="0" fillId="2" borderId="0" xfId="3" applyNumberFormat="1" applyFont="1" applyFill="1" applyBorder="1" applyAlignment="1">
      <alignment horizontal="center"/>
    </xf>
    <xf numFmtId="0" fontId="0" fillId="2" borderId="0" xfId="0" applyNumberFormat="1" applyFill="1"/>
    <xf numFmtId="0" fontId="0" fillId="2" borderId="4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2" borderId="3" xfId="0" applyNumberFormat="1" applyFill="1" applyBorder="1"/>
    <xf numFmtId="0" fontId="0" fillId="2" borderId="0" xfId="0" applyNumberFormat="1" applyFill="1" applyBorder="1"/>
    <xf numFmtId="0" fontId="1" fillId="2" borderId="0" xfId="0" applyNumberFormat="1" applyFont="1" applyFill="1"/>
    <xf numFmtId="0" fontId="1" fillId="3" borderId="2" xfId="0" applyNumberFormat="1" applyFont="1" applyFill="1" applyBorder="1" applyAlignment="1">
      <alignment horizontal="center" vertical="center" wrapText="1"/>
    </xf>
    <xf numFmtId="0" fontId="1" fillId="3" borderId="5" xfId="0" applyNumberFormat="1" applyFont="1" applyFill="1" applyBorder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0" fontId="0" fillId="2" borderId="0" xfId="0" applyNumberFormat="1" applyFill="1" applyAlignment="1">
      <alignment vertical="center" wrapText="1"/>
    </xf>
    <xf numFmtId="0" fontId="0" fillId="2" borderId="8" xfId="0" applyNumberFormat="1" applyFill="1" applyBorder="1" applyAlignment="1">
      <alignment horizontal="center"/>
    </xf>
    <xf numFmtId="0" fontId="0" fillId="2" borderId="3" xfId="3" applyNumberFormat="1" applyFont="1" applyFill="1" applyBorder="1" applyAlignment="1">
      <alignment horizontal="center"/>
    </xf>
    <xf numFmtId="0" fontId="0" fillId="2" borderId="8" xfId="3" applyNumberFormat="1" applyFont="1" applyFill="1" applyBorder="1" applyAlignment="1">
      <alignment horizontal="center"/>
    </xf>
    <xf numFmtId="0" fontId="0" fillId="2" borderId="3" xfId="1" applyNumberFormat="1" applyFont="1" applyFill="1" applyBorder="1" applyAlignment="1">
      <alignment horizontal="center"/>
    </xf>
    <xf numFmtId="0" fontId="0" fillId="2" borderId="0" xfId="1" applyNumberFormat="1" applyFont="1" applyFill="1" applyBorder="1" applyAlignment="1">
      <alignment horizontal="center"/>
    </xf>
    <xf numFmtId="0" fontId="0" fillId="2" borderId="8" xfId="1" applyNumberFormat="1" applyFont="1" applyFill="1" applyBorder="1" applyAlignment="1">
      <alignment horizontal="center"/>
    </xf>
    <xf numFmtId="0" fontId="0" fillId="2" borderId="1" xfId="3" applyNumberFormat="1" applyFont="1" applyFill="1" applyBorder="1" applyAlignment="1">
      <alignment horizontal="center"/>
    </xf>
    <xf numFmtId="0" fontId="0" fillId="2" borderId="9" xfId="0" applyNumberFormat="1" applyFill="1" applyBorder="1" applyAlignment="1">
      <alignment horizontal="center"/>
    </xf>
    <xf numFmtId="0" fontId="0" fillId="2" borderId="4" xfId="1" applyNumberFormat="1" applyFont="1" applyFill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2" borderId="9" xfId="1" applyNumberFormat="1" applyFont="1" applyFill="1" applyBorder="1" applyAlignment="1">
      <alignment horizontal="center"/>
    </xf>
    <xf numFmtId="0" fontId="0" fillId="2" borderId="4" xfId="3" applyNumberFormat="1" applyFont="1" applyFill="1" applyBorder="1" applyAlignment="1">
      <alignment horizontal="center"/>
    </xf>
    <xf numFmtId="0" fontId="0" fillId="2" borderId="9" xfId="3" applyNumberFormat="1" applyFont="1" applyFill="1" applyBorder="1" applyAlignment="1">
      <alignment horizontal="center"/>
    </xf>
    <xf numFmtId="11" fontId="0" fillId="0" borderId="0" xfId="0" applyNumberFormat="1"/>
  </cellXfs>
  <cellStyles count="4">
    <cellStyle name="Comma" xfId="1" builtinId="3"/>
    <cellStyle name="Normal" xfId="0" builtinId="0"/>
    <cellStyle name="Normal 2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styles" Target="styles.xml"/><Relationship Id="rId21" Type="http://schemas.openxmlformats.org/officeDocument/2006/relationships/sharedStrings" Target="sharedStrings.xml"/><Relationship Id="rId22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H85"/>
  <sheetViews>
    <sheetView workbookViewId="0">
      <selection activeCell="D85" sqref="D85"/>
    </sheetView>
  </sheetViews>
  <sheetFormatPr baseColWidth="10" defaultColWidth="8.83203125" defaultRowHeight="15" x14ac:dyDescent="0.2"/>
  <cols>
    <col min="1" max="1" width="12" style="8" customWidth="1"/>
  </cols>
  <sheetData>
    <row r="1" spans="1:8" x14ac:dyDescent="0.2">
      <c r="A1" s="10" t="s">
        <v>3</v>
      </c>
      <c r="B1" t="s">
        <v>0</v>
      </c>
      <c r="C1" t="s">
        <v>4</v>
      </c>
      <c r="D1" t="s">
        <v>0</v>
      </c>
      <c r="E1" t="s">
        <v>5</v>
      </c>
      <c r="F1" t="s">
        <v>0</v>
      </c>
      <c r="G1" t="s">
        <v>6</v>
      </c>
      <c r="H1" t="s">
        <v>0</v>
      </c>
    </row>
    <row r="2" spans="1:8" x14ac:dyDescent="0.2">
      <c r="A2" s="7">
        <v>0</v>
      </c>
      <c r="B2">
        <v>8.5821747412468036E-2</v>
      </c>
      <c r="C2">
        <v>0</v>
      </c>
      <c r="D2">
        <v>0.12345437606565365</v>
      </c>
      <c r="E2">
        <v>0</v>
      </c>
      <c r="F2">
        <v>0.13019500522644464</v>
      </c>
      <c r="G2">
        <v>0</v>
      </c>
      <c r="H2">
        <v>0.15747596140352846</v>
      </c>
    </row>
    <row r="3" spans="1:8" x14ac:dyDescent="0.2">
      <c r="A3" s="7">
        <v>44.565396358000001</v>
      </c>
      <c r="B3">
        <v>1.9199955587785252E-2</v>
      </c>
      <c r="C3">
        <v>46.92172901</v>
      </c>
      <c r="D3">
        <v>2.4886413895184575E-2</v>
      </c>
      <c r="E3">
        <v>47.089636204999998</v>
      </c>
      <c r="F3">
        <v>2.8617380409024097E-2</v>
      </c>
      <c r="G3">
        <v>48.124674517000003</v>
      </c>
      <c r="H3">
        <v>3.7855527052893335E-2</v>
      </c>
    </row>
    <row r="4" spans="1:8" x14ac:dyDescent="0.2">
      <c r="A4" s="7">
        <v>151.2473181</v>
      </c>
      <c r="B4">
        <v>2.7478669992956499E-2</v>
      </c>
      <c r="C4">
        <v>151.36886636</v>
      </c>
      <c r="D4">
        <v>3.8005001159081266E-2</v>
      </c>
      <c r="E4">
        <v>151.13764803000001</v>
      </c>
      <c r="F4">
        <v>4.0376304015247833E-2</v>
      </c>
      <c r="G4">
        <v>151.66748422000001</v>
      </c>
      <c r="H4">
        <v>4.9342973095856883E-2</v>
      </c>
    </row>
    <row r="5" spans="1:8" x14ac:dyDescent="0.2">
      <c r="A5" s="7">
        <v>249.25362744</v>
      </c>
      <c r="B5">
        <v>2.7260078623498919E-2</v>
      </c>
      <c r="C5">
        <v>248.86385594999999</v>
      </c>
      <c r="D5">
        <v>3.6609987035270804E-2</v>
      </c>
      <c r="E5">
        <v>248.66010456000001</v>
      </c>
      <c r="F5">
        <v>3.8528011666624361E-2</v>
      </c>
      <c r="G5">
        <v>248.57160586000001</v>
      </c>
      <c r="H5">
        <v>4.6351129098349153E-2</v>
      </c>
    </row>
    <row r="6" spans="1:8" x14ac:dyDescent="0.2">
      <c r="A6" s="7">
        <v>349.86338820999998</v>
      </c>
      <c r="B6">
        <v>2.5417665652356449E-2</v>
      </c>
      <c r="C6">
        <v>349.52035983000002</v>
      </c>
      <c r="D6">
        <v>3.3082314838375704E-2</v>
      </c>
      <c r="E6">
        <v>349.29363812999998</v>
      </c>
      <c r="F6">
        <v>3.4859116742390506E-2</v>
      </c>
      <c r="G6">
        <v>348.91788566000002</v>
      </c>
      <c r="H6">
        <v>4.0597582949295823E-2</v>
      </c>
    </row>
    <row r="7" spans="1:8" x14ac:dyDescent="0.2">
      <c r="A7" s="7">
        <v>449.62819292</v>
      </c>
      <c r="B7">
        <v>2.4424636288249153E-2</v>
      </c>
      <c r="C7">
        <v>449.46035351</v>
      </c>
      <c r="D7">
        <v>3.0885849405884017E-2</v>
      </c>
      <c r="E7">
        <v>449.29162219</v>
      </c>
      <c r="F7">
        <v>3.18640062948084E-2</v>
      </c>
      <c r="G7">
        <v>449.16747269000001</v>
      </c>
      <c r="H7">
        <v>3.6104203737279052E-2</v>
      </c>
    </row>
    <row r="8" spans="1:8" x14ac:dyDescent="0.2">
      <c r="A8" s="7">
        <v>549.62643854999999</v>
      </c>
      <c r="B8">
        <v>2.3264367177985419E-2</v>
      </c>
      <c r="C8">
        <v>549.31201269999997</v>
      </c>
      <c r="D8">
        <v>2.864615963314885E-2</v>
      </c>
      <c r="E8">
        <v>549.09284333000005</v>
      </c>
      <c r="F8">
        <v>2.9572677577975555E-2</v>
      </c>
      <c r="G8">
        <v>549.05989440999997</v>
      </c>
      <c r="H8">
        <v>3.2096367688084826E-2</v>
      </c>
    </row>
    <row r="9" spans="1:8" x14ac:dyDescent="0.2">
      <c r="A9" s="7">
        <v>649.56473409</v>
      </c>
      <c r="B9">
        <v>2.2297707566384117E-2</v>
      </c>
      <c r="C9">
        <v>649.39123333999999</v>
      </c>
      <c r="D9">
        <v>2.6431684058889047E-2</v>
      </c>
      <c r="E9">
        <v>649.18306278</v>
      </c>
      <c r="F9">
        <v>2.7336728407168883E-2</v>
      </c>
      <c r="G9">
        <v>649.22110848</v>
      </c>
      <c r="H9">
        <v>2.9236434260823684E-2</v>
      </c>
    </row>
    <row r="10" spans="1:8" x14ac:dyDescent="0.2">
      <c r="A10" s="7">
        <v>749.69570052999995</v>
      </c>
      <c r="B10">
        <v>2.1199199192252844E-2</v>
      </c>
      <c r="C10">
        <v>749.38020757000004</v>
      </c>
      <c r="D10">
        <v>2.4525439196603598E-2</v>
      </c>
      <c r="E10">
        <v>749.57965303000003</v>
      </c>
      <c r="F10">
        <v>2.5225383214921095E-2</v>
      </c>
      <c r="G10">
        <v>748.62744021000003</v>
      </c>
      <c r="H10">
        <v>2.6530864266829823E-2</v>
      </c>
    </row>
    <row r="11" spans="1:8" x14ac:dyDescent="0.2">
      <c r="A11" s="7">
        <v>849.81306943000004</v>
      </c>
      <c r="B11">
        <v>1.9916796491435036E-2</v>
      </c>
      <c r="C11">
        <v>849.39854988000002</v>
      </c>
      <c r="D11">
        <v>2.2392266548039868E-2</v>
      </c>
      <c r="E11">
        <v>849.18827595000005</v>
      </c>
      <c r="F11">
        <v>2.2721766238321263E-2</v>
      </c>
      <c r="G11">
        <v>848.66474832999995</v>
      </c>
      <c r="H11">
        <v>2.3755129075896289E-2</v>
      </c>
    </row>
    <row r="12" spans="1:8" x14ac:dyDescent="0.2">
      <c r="A12" s="7">
        <v>949.95641472</v>
      </c>
      <c r="B12">
        <v>1.8624678618641335E-2</v>
      </c>
      <c r="C12">
        <v>949.40443490999996</v>
      </c>
      <c r="D12">
        <v>2.085908890809399E-2</v>
      </c>
      <c r="E12">
        <v>949.15743914999996</v>
      </c>
      <c r="F12">
        <v>2.1217288571276936E-2</v>
      </c>
      <c r="G12">
        <v>949.80544294000003</v>
      </c>
      <c r="H12">
        <v>2.2015032191792357E-2</v>
      </c>
    </row>
    <row r="13" spans="1:8" x14ac:dyDescent="0.2">
      <c r="A13" s="7">
        <v>1049.7185950000001</v>
      </c>
      <c r="B13">
        <v>1.7675367528425551E-2</v>
      </c>
      <c r="C13">
        <v>1049.4570045999999</v>
      </c>
      <c r="D13">
        <v>1.9127285133219731E-2</v>
      </c>
      <c r="E13">
        <v>1049.451431</v>
      </c>
      <c r="F13">
        <v>1.941976080651079E-2</v>
      </c>
      <c r="G13">
        <v>1049.1212513999999</v>
      </c>
      <c r="H13">
        <v>1.9882010204826241E-2</v>
      </c>
    </row>
    <row r="14" spans="1:8" x14ac:dyDescent="0.2">
      <c r="A14" s="7">
        <v>1149.6736409</v>
      </c>
      <c r="B14">
        <v>1.6753120131571188E-2</v>
      </c>
      <c r="C14">
        <v>1149.4592817</v>
      </c>
      <c r="D14">
        <v>1.79473635596685E-2</v>
      </c>
      <c r="E14">
        <v>1149.4492313000001</v>
      </c>
      <c r="F14">
        <v>1.8358319507675837E-2</v>
      </c>
      <c r="G14">
        <v>1149.7510745</v>
      </c>
      <c r="H14">
        <v>1.8445026971501705E-2</v>
      </c>
    </row>
    <row r="15" spans="1:8" x14ac:dyDescent="0.2">
      <c r="A15" s="7">
        <v>1249.6256057999999</v>
      </c>
      <c r="B15">
        <v>1.5831566675572242E-2</v>
      </c>
      <c r="C15">
        <v>1249.5687576</v>
      </c>
      <c r="D15">
        <v>1.6726275947790144E-2</v>
      </c>
      <c r="E15">
        <v>1250.0924898999999</v>
      </c>
      <c r="F15">
        <v>1.7278418360165491E-2</v>
      </c>
      <c r="G15">
        <v>1249.9136281999999</v>
      </c>
      <c r="H15">
        <v>1.7302737565323797E-2</v>
      </c>
    </row>
    <row r="16" spans="1:8" x14ac:dyDescent="0.2">
      <c r="A16" s="7">
        <v>1349.9348284</v>
      </c>
      <c r="B16">
        <v>1.5145953110416398E-2</v>
      </c>
      <c r="C16">
        <v>1349.4916181999999</v>
      </c>
      <c r="D16">
        <v>1.5847381029506016E-2</v>
      </c>
      <c r="E16">
        <v>1348.8471201</v>
      </c>
      <c r="F16">
        <v>1.6207747136992846E-2</v>
      </c>
      <c r="G16">
        <v>1349.2716677000001</v>
      </c>
      <c r="H16">
        <v>1.5756296624773368E-2</v>
      </c>
    </row>
    <row r="17" spans="1:8" x14ac:dyDescent="0.2">
      <c r="A17" s="7">
        <v>1449.7961092999999</v>
      </c>
      <c r="B17">
        <v>1.4688646086694032E-2</v>
      </c>
      <c r="C17">
        <v>1449.7236034</v>
      </c>
      <c r="D17">
        <v>1.4985467102031826E-2</v>
      </c>
      <c r="E17">
        <v>1448.6294673</v>
      </c>
      <c r="F17">
        <v>1.5328596843827372E-2</v>
      </c>
      <c r="G17">
        <v>1449.1222981999999</v>
      </c>
      <c r="H17">
        <v>1.4271601057529849E-2</v>
      </c>
    </row>
    <row r="18" spans="1:8" x14ac:dyDescent="0.2">
      <c r="A18" s="7">
        <v>1549.5649264000001</v>
      </c>
      <c r="B18">
        <v>1.3943353607971993E-2</v>
      </c>
      <c r="C18">
        <v>1549.5973337</v>
      </c>
      <c r="D18">
        <v>1.4176811736643357E-2</v>
      </c>
      <c r="E18">
        <v>1549.6792144999999</v>
      </c>
      <c r="F18">
        <v>1.4590202896811753E-2</v>
      </c>
      <c r="G18">
        <v>1549.7320672000001</v>
      </c>
      <c r="H18">
        <v>1.3707472874134864E-2</v>
      </c>
    </row>
    <row r="19" spans="1:8" x14ac:dyDescent="0.2">
      <c r="A19" s="7">
        <v>1649.5070595</v>
      </c>
      <c r="B19">
        <v>1.3331991714346186E-2</v>
      </c>
      <c r="C19">
        <v>1649.6160325000001</v>
      </c>
      <c r="D19">
        <v>1.3273217195362955E-2</v>
      </c>
      <c r="E19">
        <v>1649.3533520000001</v>
      </c>
      <c r="F19">
        <v>1.3507994268216986E-2</v>
      </c>
      <c r="G19">
        <v>1649.1714399</v>
      </c>
      <c r="H19">
        <v>1.2829004608450136E-2</v>
      </c>
    </row>
    <row r="20" spans="1:8" x14ac:dyDescent="0.2">
      <c r="A20" s="7">
        <v>1749.4850610000001</v>
      </c>
      <c r="B20">
        <v>1.2715078293877012E-2</v>
      </c>
      <c r="C20">
        <v>1749.3510424000001</v>
      </c>
      <c r="D20">
        <v>1.2602982633849444E-2</v>
      </c>
      <c r="E20">
        <v>1749.4978020000001</v>
      </c>
      <c r="F20">
        <v>1.2649611304811329E-2</v>
      </c>
      <c r="G20">
        <v>1750.1581077999999</v>
      </c>
      <c r="H20">
        <v>1.1944923127010234E-2</v>
      </c>
    </row>
    <row r="21" spans="1:8" x14ac:dyDescent="0.2">
      <c r="A21" s="7">
        <v>1850.0144057</v>
      </c>
      <c r="B21">
        <v>1.2188377184612555E-2</v>
      </c>
      <c r="C21">
        <v>1849.8108511</v>
      </c>
      <c r="D21">
        <v>1.1947928048969061E-2</v>
      </c>
      <c r="E21">
        <v>1849.7063842</v>
      </c>
      <c r="F21">
        <v>1.2506547477577052E-2</v>
      </c>
      <c r="G21">
        <v>1849.2602664999999</v>
      </c>
      <c r="H21">
        <v>1.1363955296349726E-2</v>
      </c>
    </row>
    <row r="22" spans="1:8" x14ac:dyDescent="0.2">
      <c r="A22" s="7">
        <v>1949.5198978999999</v>
      </c>
      <c r="B22">
        <v>1.1862918923420156E-2</v>
      </c>
      <c r="C22">
        <v>1949.5553837</v>
      </c>
      <c r="D22">
        <v>1.1421002758381855E-2</v>
      </c>
      <c r="E22">
        <v>1949.3977113999999</v>
      </c>
      <c r="F22">
        <v>1.1302042351507823E-2</v>
      </c>
      <c r="G22">
        <v>1949.1799559999999</v>
      </c>
      <c r="H22">
        <v>1.069878922936161E-2</v>
      </c>
    </row>
    <row r="23" spans="1:8" x14ac:dyDescent="0.2">
      <c r="A23" s="7">
        <v>2049.5413963000001</v>
      </c>
      <c r="B23">
        <v>1.1341075400143646E-2</v>
      </c>
      <c r="C23">
        <v>2049.5770287999999</v>
      </c>
      <c r="D23">
        <v>1.0950680770494449E-2</v>
      </c>
      <c r="E23">
        <v>2048.9020986</v>
      </c>
      <c r="F23">
        <v>1.094899774559098E-2</v>
      </c>
      <c r="G23">
        <v>2050.2726244999999</v>
      </c>
      <c r="H23">
        <v>1.0098175143557993E-2</v>
      </c>
    </row>
    <row r="24" spans="1:8" x14ac:dyDescent="0.2">
      <c r="A24" s="7">
        <v>2149.3183153999998</v>
      </c>
      <c r="B24">
        <v>1.0796331828638246E-2</v>
      </c>
      <c r="C24">
        <v>2149.5936998000002</v>
      </c>
      <c r="D24">
        <v>1.0373584370696059E-2</v>
      </c>
      <c r="E24">
        <v>2150.3656194999999</v>
      </c>
      <c r="F24">
        <v>1.057980077208317E-2</v>
      </c>
      <c r="G24">
        <v>2149.8219782000001</v>
      </c>
      <c r="H24">
        <v>9.5817592940819866E-3</v>
      </c>
    </row>
    <row r="25" spans="1:8" x14ac:dyDescent="0.2">
      <c r="A25" s="7">
        <v>2249.4706289999999</v>
      </c>
      <c r="B25">
        <v>1.0381355197096551E-2</v>
      </c>
      <c r="C25">
        <v>2249.5779269999998</v>
      </c>
      <c r="D25">
        <v>1.0085164814666637E-2</v>
      </c>
      <c r="E25">
        <v>2249.9627549000002</v>
      </c>
      <c r="F25">
        <v>1.0014467906399337E-2</v>
      </c>
      <c r="G25">
        <v>2249.3412239999998</v>
      </c>
      <c r="H25">
        <v>8.9193998349714563E-3</v>
      </c>
    </row>
    <row r="26" spans="1:8" x14ac:dyDescent="0.2">
      <c r="A26" s="7">
        <v>2349.2462685999999</v>
      </c>
      <c r="B26">
        <v>1.0167621413626917E-2</v>
      </c>
      <c r="C26">
        <v>2349.7073338999999</v>
      </c>
      <c r="D26">
        <v>9.5152724715754939E-3</v>
      </c>
      <c r="E26">
        <v>2349.5238214000001</v>
      </c>
      <c r="F26">
        <v>9.8275619385610087E-3</v>
      </c>
      <c r="G26">
        <v>2351.1537398</v>
      </c>
      <c r="H26">
        <v>8.5601540266403223E-3</v>
      </c>
    </row>
    <row r="27" spans="1:8" x14ac:dyDescent="0.2">
      <c r="A27" s="7">
        <v>2450.0428523999999</v>
      </c>
      <c r="B27">
        <v>9.7866478840008472E-3</v>
      </c>
      <c r="C27">
        <v>2449.6569696000001</v>
      </c>
      <c r="D27">
        <v>9.3452052757365574E-3</v>
      </c>
      <c r="E27">
        <v>2449.0350827000002</v>
      </c>
      <c r="F27">
        <v>8.9830238616618943E-3</v>
      </c>
      <c r="G27">
        <v>2449.3045836000001</v>
      </c>
      <c r="H27">
        <v>7.9427002935711834E-3</v>
      </c>
    </row>
    <row r="28" spans="1:8" x14ac:dyDescent="0.2">
      <c r="A28" s="7">
        <v>2549.9037954</v>
      </c>
      <c r="B28">
        <v>9.7255810887238083E-3</v>
      </c>
      <c r="C28">
        <v>2549.5381465999999</v>
      </c>
      <c r="D28">
        <v>8.7539580502632181E-3</v>
      </c>
      <c r="E28">
        <v>2549.7226528000001</v>
      </c>
      <c r="F28">
        <v>8.906876985875908E-3</v>
      </c>
      <c r="G28">
        <v>2549.3462218</v>
      </c>
      <c r="H28">
        <v>7.53574215132107E-3</v>
      </c>
    </row>
    <row r="29" spans="1:8" x14ac:dyDescent="0.2">
      <c r="A29" s="7">
        <v>2649.7600634999999</v>
      </c>
      <c r="B29">
        <v>9.3293408602784789E-3</v>
      </c>
      <c r="C29">
        <v>2649.6702249999998</v>
      </c>
      <c r="D29">
        <v>8.5164814666636134E-3</v>
      </c>
      <c r="E29">
        <v>2649.9477480999999</v>
      </c>
      <c r="F29">
        <v>8.2907795363347508E-3</v>
      </c>
      <c r="G29">
        <v>2648.8978960999998</v>
      </c>
      <c r="H29">
        <v>7.2522747556847842E-3</v>
      </c>
    </row>
    <row r="30" spans="1:8" x14ac:dyDescent="0.2">
      <c r="A30" s="7">
        <v>2749.5662358</v>
      </c>
      <c r="B30">
        <v>8.9442036855198834E-3</v>
      </c>
      <c r="C30">
        <v>2749.6393896999998</v>
      </c>
      <c r="D30">
        <v>8.1447006830217619E-3</v>
      </c>
      <c r="E30">
        <v>2749.7443622999999</v>
      </c>
      <c r="F30">
        <v>8.1823279253668314E-3</v>
      </c>
      <c r="G30">
        <v>2748.8338594000002</v>
      </c>
      <c r="H30">
        <v>7.0165196939674769E-3</v>
      </c>
    </row>
    <row r="31" spans="1:8" x14ac:dyDescent="0.2">
      <c r="A31" s="7">
        <v>2849.7503250999998</v>
      </c>
      <c r="B31">
        <v>8.6076423706407511E-3</v>
      </c>
      <c r="C31">
        <v>2849.764068</v>
      </c>
      <c r="D31">
        <v>7.8784078725931701E-3</v>
      </c>
      <c r="E31">
        <v>2850.3496627999998</v>
      </c>
      <c r="F31">
        <v>7.7185242273976459E-3</v>
      </c>
      <c r="G31">
        <v>2849.8492124999998</v>
      </c>
      <c r="H31">
        <v>6.665693709269103E-3</v>
      </c>
    </row>
    <row r="32" spans="1:8" x14ac:dyDescent="0.2">
      <c r="A32" s="7">
        <v>2949.8913481</v>
      </c>
      <c r="B32">
        <v>8.4258298665204762E-3</v>
      </c>
      <c r="C32">
        <v>2949.5261225999998</v>
      </c>
      <c r="D32">
        <v>7.6391302748167536E-3</v>
      </c>
      <c r="E32">
        <v>2949.5941343999998</v>
      </c>
      <c r="F32">
        <v>7.5593080325724029E-3</v>
      </c>
      <c r="G32">
        <v>2949.4399377999998</v>
      </c>
      <c r="H32">
        <v>6.486070805103536E-3</v>
      </c>
    </row>
    <row r="33" spans="1:8" x14ac:dyDescent="0.2">
      <c r="A33" s="7">
        <v>3049.7424939000002</v>
      </c>
      <c r="B33">
        <v>8.3016144534001374E-3</v>
      </c>
      <c r="C33">
        <v>3049.4758221000002</v>
      </c>
      <c r="D33">
        <v>7.2773837130171385E-3</v>
      </c>
      <c r="E33">
        <v>3051.0646581999999</v>
      </c>
      <c r="F33">
        <v>7.1670362482203556E-3</v>
      </c>
      <c r="G33">
        <v>3049.4674565</v>
      </c>
      <c r="H33">
        <v>5.9247492295861374E-3</v>
      </c>
    </row>
    <row r="34" spans="1:8" x14ac:dyDescent="0.2">
      <c r="A34" s="7">
        <v>3149.7777961000002</v>
      </c>
      <c r="B34">
        <v>7.9130075743644376E-3</v>
      </c>
      <c r="C34">
        <v>3149.7135216000001</v>
      </c>
      <c r="D34">
        <v>6.9668374113868864E-3</v>
      </c>
      <c r="E34">
        <v>3149.4454857000001</v>
      </c>
      <c r="F34">
        <v>6.9224432532714311E-3</v>
      </c>
      <c r="G34">
        <v>3150.7328518999998</v>
      </c>
      <c r="H34">
        <v>5.8068716987274838E-3</v>
      </c>
    </row>
    <row r="35" spans="1:8" x14ac:dyDescent="0.2">
      <c r="A35" s="7">
        <v>3249.6141643000001</v>
      </c>
      <c r="B35">
        <v>7.5445249801359433E-3</v>
      </c>
      <c r="C35">
        <v>3249.4981059000002</v>
      </c>
      <c r="D35">
        <v>6.7116079737587087E-3</v>
      </c>
      <c r="E35">
        <v>3249.2853875000001</v>
      </c>
      <c r="F35">
        <v>6.631700636634031E-3</v>
      </c>
      <c r="G35">
        <v>3249.9592287999999</v>
      </c>
      <c r="H35">
        <v>5.6777677363584822E-3</v>
      </c>
    </row>
    <row r="36" spans="1:8" x14ac:dyDescent="0.2">
      <c r="A36" s="7">
        <v>3349.3341721000002</v>
      </c>
      <c r="B36">
        <v>7.601428130280456E-3</v>
      </c>
      <c r="C36">
        <v>3349.7696627999999</v>
      </c>
      <c r="D36">
        <v>6.6194989630017657E-3</v>
      </c>
      <c r="E36">
        <v>3350.5373814999998</v>
      </c>
      <c r="F36">
        <v>6.3317280956589356E-3</v>
      </c>
      <c r="G36">
        <v>3351.3813180000002</v>
      </c>
      <c r="H36">
        <v>5.3157153201497604E-3</v>
      </c>
    </row>
    <row r="37" spans="1:8" x14ac:dyDescent="0.2">
      <c r="A37" s="7">
        <v>3449.7297183999999</v>
      </c>
      <c r="B37">
        <v>7.3536912448951977E-3</v>
      </c>
      <c r="C37">
        <v>3449.8662257999999</v>
      </c>
      <c r="D37">
        <v>6.3207878973905616E-3</v>
      </c>
      <c r="E37">
        <v>3449.9445821999998</v>
      </c>
      <c r="F37">
        <v>6.1563595332427262E-3</v>
      </c>
      <c r="G37">
        <v>3450.8216425999999</v>
      </c>
      <c r="H37">
        <v>4.9536629039410385E-3</v>
      </c>
    </row>
    <row r="38" spans="1:8" x14ac:dyDescent="0.2">
      <c r="A38" s="7">
        <v>3549.9143669</v>
      </c>
      <c r="B38">
        <v>6.8838932857752536E-3</v>
      </c>
      <c r="C38">
        <v>3549.7953802000002</v>
      </c>
      <c r="D38">
        <v>6.1818525180365137E-3</v>
      </c>
      <c r="E38">
        <v>3550.6738734999999</v>
      </c>
      <c r="F38">
        <v>5.8425421057610883E-3</v>
      </c>
      <c r="G38">
        <v>3549.7987773999998</v>
      </c>
      <c r="H38">
        <v>4.8161391179392761E-3</v>
      </c>
    </row>
    <row r="39" spans="1:8" x14ac:dyDescent="0.2">
      <c r="A39" s="7">
        <v>3649.4160367999998</v>
      </c>
      <c r="B39">
        <v>6.7825779208838029E-3</v>
      </c>
      <c r="C39">
        <v>3649.6508484000001</v>
      </c>
      <c r="D39">
        <v>5.8898309336534683E-3</v>
      </c>
      <c r="E39">
        <v>3650.4423744000001</v>
      </c>
      <c r="F39">
        <v>5.5218022350261783E-3</v>
      </c>
      <c r="G39">
        <v>3649.8917603999998</v>
      </c>
      <c r="H39">
        <v>4.9284034330427558E-3</v>
      </c>
    </row>
    <row r="40" spans="1:8" x14ac:dyDescent="0.2">
      <c r="A40" s="7">
        <v>3749.9411071999998</v>
      </c>
      <c r="B40">
        <v>6.4876530573299241E-3</v>
      </c>
      <c r="C40">
        <v>3749.8355793000001</v>
      </c>
      <c r="D40">
        <v>5.7161617094609075E-3</v>
      </c>
      <c r="E40">
        <v>3749.5175072000002</v>
      </c>
      <c r="F40">
        <v>5.5033423863507878E-3</v>
      </c>
      <c r="G40">
        <v>3750.4634409</v>
      </c>
      <c r="H40">
        <v>4.4428602702202063E-3</v>
      </c>
    </row>
    <row r="41" spans="1:8" x14ac:dyDescent="0.2">
      <c r="A41" s="7">
        <v>3849.4666763999999</v>
      </c>
      <c r="B41">
        <v>6.42242261692036E-3</v>
      </c>
      <c r="C41">
        <v>3849.6253585999998</v>
      </c>
      <c r="D41">
        <v>5.5134189706998148E-3</v>
      </c>
      <c r="E41">
        <v>3849.9196010000001</v>
      </c>
      <c r="F41">
        <v>5.2125997697133877E-3</v>
      </c>
      <c r="G41">
        <v>3850.9541377999999</v>
      </c>
      <c r="H41">
        <v>4.4821527805064239E-3</v>
      </c>
    </row>
    <row r="42" spans="1:8" x14ac:dyDescent="0.2">
      <c r="A42" s="7">
        <v>3949.4584844000001</v>
      </c>
      <c r="B42">
        <v>6.2822465641253393E-3</v>
      </c>
      <c r="C42">
        <v>3949.8122156999998</v>
      </c>
      <c r="D42">
        <v>5.3528714212240256E-3</v>
      </c>
      <c r="E42">
        <v>3950.3901605000001</v>
      </c>
      <c r="F42">
        <v>5.1341454128429782E-3</v>
      </c>
      <c r="G42">
        <v>3950.1041420000001</v>
      </c>
      <c r="H42">
        <v>4.0443219516028538E-3</v>
      </c>
    </row>
    <row r="43" spans="1:8" x14ac:dyDescent="0.2">
      <c r="A43" s="7">
        <v>4049.8446926000001</v>
      </c>
      <c r="B43">
        <v>6.0692067215111258E-3</v>
      </c>
      <c r="C43">
        <v>4049.8220792000002</v>
      </c>
      <c r="D43">
        <v>5.2059601219440971E-3</v>
      </c>
      <c r="E43">
        <v>4049.4295284999998</v>
      </c>
      <c r="F43">
        <v>4.9426244828358022E-3</v>
      </c>
      <c r="G43">
        <v>4049.8321882999999</v>
      </c>
      <c r="H43">
        <v>4.2239448557684208E-3</v>
      </c>
    </row>
    <row r="44" spans="1:8" x14ac:dyDescent="0.2">
      <c r="A44" s="7">
        <v>4150.1403159000001</v>
      </c>
      <c r="B44">
        <v>5.9769125877401465E-3</v>
      </c>
      <c r="C44">
        <v>4149.3660362999999</v>
      </c>
      <c r="D44">
        <v>5.039752242198328E-3</v>
      </c>
      <c r="E44">
        <v>4148.8022394999998</v>
      </c>
      <c r="F44">
        <v>4.7141838554778451E-3</v>
      </c>
      <c r="G44">
        <v>4149.5939802000003</v>
      </c>
      <c r="H44">
        <v>3.9039915577235044E-3</v>
      </c>
    </row>
    <row r="45" spans="1:8" x14ac:dyDescent="0.2">
      <c r="A45" s="7">
        <v>4249.7327548000003</v>
      </c>
      <c r="B45">
        <v>5.7215423529452586E-3</v>
      </c>
      <c r="C45">
        <v>4250.1688647000001</v>
      </c>
      <c r="D45">
        <v>4.8431844091863041E-3</v>
      </c>
      <c r="E45">
        <v>4249.6449472000004</v>
      </c>
      <c r="F45">
        <v>4.5595826228214493E-3</v>
      </c>
      <c r="G45">
        <v>4249.8399978999996</v>
      </c>
      <c r="H45">
        <v>3.6149109463320442E-3</v>
      </c>
    </row>
    <row r="46" spans="1:8" x14ac:dyDescent="0.2">
      <c r="A46" s="7">
        <v>4349.5593583</v>
      </c>
      <c r="B46">
        <v>5.6826816650416886E-3</v>
      </c>
      <c r="C46">
        <v>4349.8288124000001</v>
      </c>
      <c r="D46">
        <v>4.7029625911345335E-3</v>
      </c>
      <c r="E46">
        <v>4349.9021565000003</v>
      </c>
      <c r="F46">
        <v>4.4580534551068021E-3</v>
      </c>
      <c r="G46">
        <v>4348.9012500999997</v>
      </c>
      <c r="H46">
        <v>3.7355950850682849E-3</v>
      </c>
    </row>
    <row r="47" spans="1:8" x14ac:dyDescent="0.2">
      <c r="A47" s="7">
        <v>4449.2447675000003</v>
      </c>
      <c r="B47">
        <v>5.475193349270842E-3</v>
      </c>
      <c r="C47">
        <v>4449.9582344999999</v>
      </c>
      <c r="D47">
        <v>4.5704594052690985E-3</v>
      </c>
      <c r="E47">
        <v>4448.4126453999997</v>
      </c>
      <c r="F47">
        <v>4.4834357470354639E-3</v>
      </c>
      <c r="G47">
        <v>4450.6624996999999</v>
      </c>
      <c r="H47">
        <v>3.4914201997182166E-3</v>
      </c>
    </row>
    <row r="48" spans="1:8" x14ac:dyDescent="0.2">
      <c r="A48" s="7">
        <v>4550.0467645999997</v>
      </c>
      <c r="B48">
        <v>5.5154419188852537E-3</v>
      </c>
      <c r="C48">
        <v>4549.7896828000003</v>
      </c>
      <c r="D48">
        <v>4.4333250400918622E-3</v>
      </c>
      <c r="E48">
        <v>4550.3793402000001</v>
      </c>
      <c r="F48">
        <v>4.3934439847429351E-3</v>
      </c>
      <c r="G48">
        <v>4549.8322399999997</v>
      </c>
      <c r="H48">
        <v>3.37634927673715E-3</v>
      </c>
    </row>
    <row r="49" spans="1:8" x14ac:dyDescent="0.2">
      <c r="A49" s="7">
        <v>4649.9303509000001</v>
      </c>
      <c r="B49">
        <v>5.1885957759820129E-3</v>
      </c>
      <c r="C49">
        <v>4649.8572821999996</v>
      </c>
      <c r="D49">
        <v>4.3152299676409208E-3</v>
      </c>
      <c r="E49">
        <v>4649.0467294999999</v>
      </c>
      <c r="F49">
        <v>4.0288619734039728E-3</v>
      </c>
      <c r="G49">
        <v>4650.2216734000003</v>
      </c>
      <c r="H49">
        <v>3.3791558846147369E-3</v>
      </c>
    </row>
    <row r="50" spans="1:8" x14ac:dyDescent="0.2">
      <c r="A50" s="7">
        <v>4749.2588760999997</v>
      </c>
      <c r="B50">
        <v>4.9450225357292798E-3</v>
      </c>
      <c r="C50">
        <v>4749.7428129999998</v>
      </c>
      <c r="D50">
        <v>4.176037300547328E-3</v>
      </c>
      <c r="E50">
        <v>4750.5691666000002</v>
      </c>
      <c r="F50">
        <v>3.9204103624360543E-3</v>
      </c>
      <c r="G50">
        <v>4750.8114686999998</v>
      </c>
      <c r="H50">
        <v>3.1939197646939955E-3</v>
      </c>
    </row>
    <row r="51" spans="1:8" x14ac:dyDescent="0.2">
      <c r="A51" s="7">
        <v>4849.2738304000004</v>
      </c>
      <c r="B51">
        <v>5.0005378041629509E-3</v>
      </c>
      <c r="C51">
        <v>4849.2001688999999</v>
      </c>
      <c r="D51">
        <v>4.1405315924901822E-3</v>
      </c>
      <c r="E51">
        <v>4850.3676888</v>
      </c>
      <c r="F51">
        <v>3.8834906650852732E-3</v>
      </c>
      <c r="G51">
        <v>4850.3349803000001</v>
      </c>
      <c r="H51">
        <v>3.0479761550594722E-3</v>
      </c>
    </row>
    <row r="52" spans="1:8" x14ac:dyDescent="0.2">
      <c r="A52" s="7">
        <v>4949.7801396000004</v>
      </c>
      <c r="B52">
        <v>4.96098317540396E-3</v>
      </c>
      <c r="C52">
        <v>4949.4575961999999</v>
      </c>
      <c r="D52">
        <v>3.9946494441684315E-3</v>
      </c>
      <c r="E52">
        <v>4951.0721470999997</v>
      </c>
      <c r="F52">
        <v>3.860415854241035E-3</v>
      </c>
      <c r="G52">
        <v>4948.9812167</v>
      </c>
      <c r="H52">
        <v>3.1237545677543208E-3</v>
      </c>
    </row>
    <row r="53" spans="1:8" x14ac:dyDescent="0.2">
      <c r="A53" s="7">
        <v>5049.9749576000004</v>
      </c>
      <c r="B53">
        <v>4.6931220052114963E-3</v>
      </c>
      <c r="C53">
        <v>5049.5342657000001</v>
      </c>
      <c r="D53">
        <v>3.8804136878106588E-3</v>
      </c>
      <c r="E53">
        <v>5050.2130493000004</v>
      </c>
      <c r="F53">
        <v>3.604285453869992E-3</v>
      </c>
      <c r="G53">
        <v>5050.2316661000004</v>
      </c>
      <c r="H53">
        <v>2.8487069957507955E-3</v>
      </c>
    </row>
    <row r="54" spans="1:8" x14ac:dyDescent="0.2">
      <c r="A54" s="7">
        <v>5149.9576890999997</v>
      </c>
      <c r="B54">
        <v>4.7187978168620687E-3</v>
      </c>
      <c r="C54">
        <v>5149.819281</v>
      </c>
      <c r="D54">
        <v>3.7924212808864285E-3</v>
      </c>
      <c r="E54">
        <v>5150.4565726000001</v>
      </c>
      <c r="F54">
        <v>3.6112078971232632E-3</v>
      </c>
      <c r="G54">
        <v>5150.0295051000003</v>
      </c>
      <c r="H54">
        <v>2.8066078775869909E-3</v>
      </c>
    </row>
    <row r="55" spans="1:8" x14ac:dyDescent="0.2">
      <c r="A55" s="7">
        <v>5250.1140722999999</v>
      </c>
      <c r="B55">
        <v>4.4627336412117599E-3</v>
      </c>
      <c r="C55">
        <v>5249.8320856</v>
      </c>
      <c r="D55">
        <v>3.6714960433004975E-3</v>
      </c>
      <c r="E55">
        <v>5250.8333086000002</v>
      </c>
      <c r="F55">
        <v>3.6435126323051967E-3</v>
      </c>
      <c r="G55">
        <v>5249.4066450999999</v>
      </c>
      <c r="H55">
        <v>2.6915369546059243E-3</v>
      </c>
    </row>
    <row r="56" spans="1:8" x14ac:dyDescent="0.2">
      <c r="A56" s="7">
        <v>5349.6385902000002</v>
      </c>
      <c r="B56">
        <v>4.4141577813322968E-3</v>
      </c>
      <c r="C56">
        <v>5349.6850807999999</v>
      </c>
      <c r="D56">
        <v>3.585561938292623E-3</v>
      </c>
      <c r="E56">
        <v>5349.1631235000004</v>
      </c>
      <c r="F56">
        <v>3.1243293883098395E-3</v>
      </c>
      <c r="G56">
        <v>5349.2038549999997</v>
      </c>
      <c r="H56">
        <v>2.6887303467283373E-3</v>
      </c>
    </row>
    <row r="57" spans="1:8" x14ac:dyDescent="0.2">
      <c r="A57" s="7">
        <v>5449.8635181</v>
      </c>
      <c r="B57">
        <v>4.3433758140793664E-3</v>
      </c>
      <c r="C57">
        <v>5449.7602567000004</v>
      </c>
      <c r="D57">
        <v>3.5088901919083522E-3</v>
      </c>
      <c r="E57">
        <v>5450.2750245999996</v>
      </c>
      <c r="F57">
        <v>3.2858530642195061E-3</v>
      </c>
      <c r="G57">
        <v>5448.9789754000003</v>
      </c>
      <c r="H57">
        <v>2.5596263843593358E-3</v>
      </c>
    </row>
    <row r="58" spans="1:8" x14ac:dyDescent="0.2">
      <c r="A58" s="7">
        <v>5550.3558100999999</v>
      </c>
      <c r="B58">
        <v>4.240672567477074E-3</v>
      </c>
      <c r="C58">
        <v>5549.5926741000003</v>
      </c>
      <c r="D58">
        <v>3.3702121002938483E-3</v>
      </c>
      <c r="E58">
        <v>5548.4280036999999</v>
      </c>
      <c r="F58">
        <v>3.0551049557771249E-3</v>
      </c>
      <c r="G58">
        <v>5550.8726180000003</v>
      </c>
      <c r="H58">
        <v>2.5203338740731177E-3</v>
      </c>
    </row>
    <row r="59" spans="1:8" x14ac:dyDescent="0.2">
      <c r="A59" s="7">
        <v>5650.0707818000001</v>
      </c>
      <c r="B59">
        <v>4.1976482344409788E-3</v>
      </c>
      <c r="C59">
        <v>5650.1906062999997</v>
      </c>
      <c r="D59">
        <v>3.3354782554553364E-3</v>
      </c>
      <c r="E59">
        <v>5649.7016814999997</v>
      </c>
      <c r="F59">
        <v>3.089717172043482E-3</v>
      </c>
      <c r="G59">
        <v>5649.9284704000002</v>
      </c>
      <c r="H59">
        <v>2.3800034801937683E-3</v>
      </c>
    </row>
    <row r="60" spans="1:8" x14ac:dyDescent="0.2">
      <c r="A60" s="7">
        <v>5750.0162872000001</v>
      </c>
      <c r="B60">
        <v>4.035960015127911E-3</v>
      </c>
      <c r="C60">
        <v>5749.9995791000001</v>
      </c>
      <c r="D60">
        <v>3.2526316033219963E-3</v>
      </c>
      <c r="E60">
        <v>5749.6727296999998</v>
      </c>
      <c r="F60">
        <v>2.9489608258936296E-3</v>
      </c>
      <c r="G60">
        <v>5751.4176117999996</v>
      </c>
      <c r="H60">
        <v>2.5736594237472706E-3</v>
      </c>
    </row>
    <row r="61" spans="1:8" x14ac:dyDescent="0.2">
      <c r="A61" s="7">
        <v>5850.4743870000002</v>
      </c>
      <c r="B61">
        <v>3.9054991343087831E-3</v>
      </c>
      <c r="C61">
        <v>5849.8157031000001</v>
      </c>
      <c r="D61">
        <v>3.1957710128826546E-3</v>
      </c>
      <c r="E61">
        <v>5850.1760253000002</v>
      </c>
      <c r="F61">
        <v>2.995110447582106E-3</v>
      </c>
      <c r="G61">
        <v>5852.0820199999998</v>
      </c>
      <c r="H61">
        <v>2.3884233038265292E-3</v>
      </c>
    </row>
    <row r="62" spans="1:8" x14ac:dyDescent="0.2">
      <c r="A62" s="7">
        <v>5949.7028376999997</v>
      </c>
      <c r="B62">
        <v>3.8194504682365921E-3</v>
      </c>
      <c r="C62">
        <v>5949.7955181999996</v>
      </c>
      <c r="D62">
        <v>3.0370244775836772E-3</v>
      </c>
      <c r="E62">
        <v>5950.9490945999996</v>
      </c>
      <c r="F62">
        <v>2.7459024904643342E-3</v>
      </c>
      <c r="G62">
        <v>5950.5354557999999</v>
      </c>
      <c r="H62">
        <v>2.2368664784368315E-3</v>
      </c>
    </row>
    <row r="63" spans="1:8" x14ac:dyDescent="0.2">
      <c r="A63" s="7">
        <v>6049.5981496000004</v>
      </c>
      <c r="B63">
        <v>3.6813562380078346E-3</v>
      </c>
      <c r="C63">
        <v>6049.5534015000003</v>
      </c>
      <c r="D63">
        <v>3.0218445009505494E-3</v>
      </c>
      <c r="E63">
        <v>6050.8005989000003</v>
      </c>
      <c r="F63">
        <v>2.8705064690232201E-3</v>
      </c>
      <c r="G63">
        <v>6049.4730186999996</v>
      </c>
      <c r="H63">
        <v>2.2340598705592445E-3</v>
      </c>
    </row>
    <row r="64" spans="1:8" x14ac:dyDescent="0.2">
      <c r="A64" s="7">
        <v>6150.4423917000004</v>
      </c>
      <c r="B64">
        <v>3.7299320978872973E-3</v>
      </c>
      <c r="C64">
        <v>6149.9152456000002</v>
      </c>
      <c r="D64">
        <v>2.8808508196801448E-3</v>
      </c>
      <c r="E64">
        <v>6151.0076786</v>
      </c>
      <c r="F64">
        <v>2.7551324148020295E-3</v>
      </c>
      <c r="G64">
        <v>6148.2151744000003</v>
      </c>
      <c r="H64">
        <v>2.1161823397005909E-3</v>
      </c>
    </row>
    <row r="65" spans="1:8" x14ac:dyDescent="0.2">
      <c r="A65" s="7">
        <v>6250.2495617000004</v>
      </c>
      <c r="B65">
        <v>3.5828166365380679E-3</v>
      </c>
      <c r="C65">
        <v>6249.5734666999997</v>
      </c>
      <c r="D65">
        <v>2.807523813909953E-3</v>
      </c>
      <c r="E65">
        <v>6249.9791716</v>
      </c>
      <c r="F65">
        <v>2.6051461443144818E-3</v>
      </c>
      <c r="G65">
        <v>6250.7662974000004</v>
      </c>
      <c r="H65">
        <v>2.0796964372919603E-3</v>
      </c>
    </row>
    <row r="66" spans="1:8" x14ac:dyDescent="0.2">
      <c r="A66" s="7">
        <v>6349.8355481999997</v>
      </c>
      <c r="B66">
        <v>3.5883681633814349E-3</v>
      </c>
      <c r="C66">
        <v>6349.5611363999997</v>
      </c>
      <c r="D66">
        <v>2.7087253219248517E-3</v>
      </c>
      <c r="E66">
        <v>6350.4031514999997</v>
      </c>
      <c r="F66">
        <v>2.7435950093799106E-3</v>
      </c>
      <c r="G66">
        <v>6350.5168708000001</v>
      </c>
      <c r="H66">
        <v>2.0768898294143733E-3</v>
      </c>
    </row>
    <row r="67" spans="1:8" x14ac:dyDescent="0.2">
      <c r="A67" s="7">
        <v>6449.8783393000003</v>
      </c>
      <c r="B67">
        <v>3.407943540972003E-3</v>
      </c>
      <c r="C67">
        <v>6449.8851083</v>
      </c>
      <c r="D67">
        <v>2.7347113836188497E-3</v>
      </c>
      <c r="E67">
        <v>6450.0282871999998</v>
      </c>
      <c r="F67">
        <v>2.5705339280481247E-3</v>
      </c>
      <c r="G67">
        <v>6451.0197909999997</v>
      </c>
      <c r="H67">
        <v>2.0179510639850465E-3</v>
      </c>
    </row>
    <row r="68" spans="1:8" x14ac:dyDescent="0.2">
      <c r="A68" s="7">
        <v>6980.9563999000002</v>
      </c>
      <c r="B68">
        <v>3.0764479943374425E-2</v>
      </c>
      <c r="C68">
        <v>6982.1209214</v>
      </c>
      <c r="D68">
        <v>2.3824844681823831E-2</v>
      </c>
      <c r="E68">
        <v>6976.3724479000002</v>
      </c>
      <c r="F68">
        <v>2.2077979015767017E-2</v>
      </c>
      <c r="G68">
        <v>6982.5665533000001</v>
      </c>
      <c r="H68">
        <v>1.7827573238432565E-2</v>
      </c>
    </row>
    <row r="69" spans="1:8" x14ac:dyDescent="0.2">
      <c r="A69" s="7">
        <v>8654.5340166000005</v>
      </c>
      <c r="B69">
        <v>5.5266143666575299E-2</v>
      </c>
      <c r="C69">
        <v>8654.5769748000002</v>
      </c>
      <c r="D69">
        <v>4.2034899023567301E-2</v>
      </c>
      <c r="E69">
        <v>8640.7759650000007</v>
      </c>
      <c r="F69">
        <v>3.8412637612403169E-2</v>
      </c>
      <c r="G69">
        <v>8660.5293345999999</v>
      </c>
      <c r="H69">
        <v>3.1593984877996757E-2</v>
      </c>
    </row>
    <row r="70" spans="1:8" x14ac:dyDescent="0.2">
      <c r="A70" s="7">
        <v>12217.556102</v>
      </c>
      <c r="B70">
        <v>6.3759285796071596E-2</v>
      </c>
      <c r="C70">
        <v>12213.66762</v>
      </c>
      <c r="D70">
        <v>4.7443859172012035E-2</v>
      </c>
      <c r="E70">
        <v>12222.952622000001</v>
      </c>
      <c r="F70">
        <v>4.2965297791971349E-2</v>
      </c>
      <c r="G70">
        <v>12240.307278</v>
      </c>
      <c r="H70">
        <v>3.6685171567939559E-2</v>
      </c>
    </row>
    <row r="71" spans="1:8" x14ac:dyDescent="0.2">
      <c r="A71" s="7">
        <v>17260.787833999999</v>
      </c>
      <c r="B71">
        <v>3.3988529157659896E-2</v>
      </c>
      <c r="C71">
        <v>17271.077359999999</v>
      </c>
      <c r="D71">
        <v>2.5286239042436782E-2</v>
      </c>
      <c r="E71">
        <v>17241.654481000001</v>
      </c>
      <c r="F71">
        <v>2.2975589157607879E-2</v>
      </c>
      <c r="G71">
        <v>17274.568265000002</v>
      </c>
      <c r="H71">
        <v>1.9966208441153852E-2</v>
      </c>
    </row>
    <row r="72" spans="1:8" x14ac:dyDescent="0.2">
      <c r="A72" s="7">
        <v>22294.298853</v>
      </c>
      <c r="B72">
        <v>1.9846708465037523E-2</v>
      </c>
      <c r="C72">
        <v>22286.980856999999</v>
      </c>
      <c r="D72">
        <v>1.4671833347527041E-2</v>
      </c>
      <c r="E72">
        <v>22286.390788000001</v>
      </c>
      <c r="F72">
        <v>1.3277246159774604E-2</v>
      </c>
      <c r="G72">
        <v>22299.277086999999</v>
      </c>
      <c r="H72">
        <v>1.2104899776032692E-2</v>
      </c>
    </row>
    <row r="73" spans="1:8" x14ac:dyDescent="0.2">
      <c r="A73" s="7">
        <v>27331.015030999999</v>
      </c>
      <c r="B73">
        <v>1.2379210919853301E-2</v>
      </c>
      <c r="C73">
        <v>27326.440060000001</v>
      </c>
      <c r="D73">
        <v>9.2446057695746448E-3</v>
      </c>
      <c r="E73">
        <v>27325.495792999998</v>
      </c>
      <c r="F73">
        <v>8.3530815256141946E-3</v>
      </c>
      <c r="G73">
        <v>27313.066568999999</v>
      </c>
      <c r="H73">
        <v>7.5553884064641788E-3</v>
      </c>
    </row>
    <row r="74" spans="1:8" x14ac:dyDescent="0.2">
      <c r="A74" s="7">
        <v>32335.722333000002</v>
      </c>
      <c r="B74">
        <v>8.4015419365807455E-3</v>
      </c>
      <c r="C74">
        <v>32359.214279</v>
      </c>
      <c r="D74">
        <v>6.3274773786187195E-3</v>
      </c>
      <c r="E74">
        <v>32372.598871999999</v>
      </c>
      <c r="F74">
        <v>5.7640877488906788E-3</v>
      </c>
      <c r="G74">
        <v>32337.410104999999</v>
      </c>
      <c r="H74">
        <v>5.1220593765962585E-3</v>
      </c>
    </row>
    <row r="75" spans="1:8" x14ac:dyDescent="0.2">
      <c r="A75" s="7">
        <v>37342.760550999999</v>
      </c>
      <c r="B75">
        <v>5.9560943620775202E-3</v>
      </c>
      <c r="C75">
        <v>37367.143090999998</v>
      </c>
      <c r="D75">
        <v>4.4760348048562548E-3</v>
      </c>
      <c r="E75">
        <v>37389.659845000002</v>
      </c>
      <c r="F75">
        <v>4.0334769355728209E-3</v>
      </c>
      <c r="G75">
        <v>37357.561143999999</v>
      </c>
      <c r="H75">
        <v>3.5952646911889354E-3</v>
      </c>
    </row>
    <row r="76" spans="1:8" x14ac:dyDescent="0.2">
      <c r="A76" s="7">
        <v>42364.661598999999</v>
      </c>
      <c r="B76">
        <v>4.3364364055251568E-3</v>
      </c>
      <c r="C76">
        <v>42376.995106000002</v>
      </c>
      <c r="D76">
        <v>3.2871081604209638E-3</v>
      </c>
      <c r="E76">
        <v>42448.412929999999</v>
      </c>
      <c r="F76">
        <v>3.1012545774656013E-3</v>
      </c>
      <c r="G76">
        <v>41546.011773999999</v>
      </c>
      <c r="H76">
        <v>1.838328159819479E-3</v>
      </c>
    </row>
    <row r="77" spans="1:8" x14ac:dyDescent="0.2">
      <c r="A77" s="7">
        <v>47400.987287000004</v>
      </c>
      <c r="B77">
        <v>3.3538161542491732E-3</v>
      </c>
      <c r="C77">
        <v>47409.342155999999</v>
      </c>
      <c r="D77">
        <v>2.6027227732325041E-3</v>
      </c>
      <c r="E77">
        <v>47395.202388999998</v>
      </c>
      <c r="F77">
        <v>2.5128469009375294E-3</v>
      </c>
      <c r="G77">
        <v>47395.202388999998</v>
      </c>
      <c r="H77">
        <v>2.1274087712109392E-3</v>
      </c>
    </row>
    <row r="78" spans="1:8" x14ac:dyDescent="0.2">
      <c r="A78" s="7">
        <v>67371.902222000004</v>
      </c>
      <c r="B78">
        <v>1.3149485269370492E-2</v>
      </c>
      <c r="C78">
        <v>67790.064784000002</v>
      </c>
      <c r="D78">
        <v>1.0226415783676585E-2</v>
      </c>
      <c r="E78">
        <v>67427.634216000006</v>
      </c>
      <c r="F78">
        <v>9.8344843818142808E-3</v>
      </c>
      <c r="G78">
        <v>67427.634216000006</v>
      </c>
      <c r="H78">
        <v>8.3131725334126671E-3</v>
      </c>
    </row>
    <row r="79" spans="1:8" x14ac:dyDescent="0.2">
      <c r="A79" s="7">
        <v>135121.95542000001</v>
      </c>
      <c r="B79">
        <v>3.8777415000919471E-3</v>
      </c>
      <c r="C79">
        <v>135528.84332000001</v>
      </c>
      <c r="D79">
        <v>3.4219269359422998E-3</v>
      </c>
      <c r="E79">
        <v>135619.77780000001</v>
      </c>
      <c r="F79">
        <v>3.3666149021743396E-3</v>
      </c>
      <c r="G79">
        <v>135619.77780000001</v>
      </c>
      <c r="H79">
        <v>2.8178343090973388E-3</v>
      </c>
    </row>
    <row r="80" spans="1:8" x14ac:dyDescent="0.2">
      <c r="A80" s="7">
        <v>240693.24307</v>
      </c>
      <c r="B80">
        <v>8.2023809110749486E-4</v>
      </c>
      <c r="C80">
        <v>239942.79032</v>
      </c>
      <c r="D80">
        <v>7.8961607266217428E-4</v>
      </c>
      <c r="E80">
        <v>241382.6819</v>
      </c>
      <c r="F80">
        <v>7.383939470156193E-4</v>
      </c>
      <c r="G80">
        <v>241382.6819</v>
      </c>
      <c r="H80">
        <v>6.1745373306913796E-4</v>
      </c>
    </row>
    <row r="81" spans="1:8" x14ac:dyDescent="0.2">
      <c r="A81" s="7">
        <v>342937.21435000002</v>
      </c>
      <c r="B81">
        <v>3.2198855691529409E-4</v>
      </c>
      <c r="C81">
        <v>342869.84759000002</v>
      </c>
      <c r="D81">
        <v>2.6269078207496902E-4</v>
      </c>
      <c r="E81">
        <v>343073.24959000002</v>
      </c>
      <c r="F81">
        <v>2.6536032470873822E-4</v>
      </c>
      <c r="G81">
        <v>343073.24959000002</v>
      </c>
      <c r="H81">
        <v>2.2733523808454625E-4</v>
      </c>
    </row>
    <row r="82" spans="1:8" x14ac:dyDescent="0.2">
      <c r="A82" s="7">
        <v>447308.48184999998</v>
      </c>
      <c r="B82">
        <v>1.2768511739744422E-4</v>
      </c>
      <c r="C82">
        <v>443571.48762999999</v>
      </c>
      <c r="D82">
        <v>1.2298353950228715E-4</v>
      </c>
      <c r="E82">
        <v>444733.24984</v>
      </c>
      <c r="F82">
        <v>1.1306657313676672E-4</v>
      </c>
      <c r="G82">
        <v>444733.24984</v>
      </c>
      <c r="H82">
        <v>1.0384449147071866E-4</v>
      </c>
    </row>
    <row r="83" spans="1:8" x14ac:dyDescent="0.2">
      <c r="A83" s="7">
        <v>639642.38392000005</v>
      </c>
      <c r="B83">
        <v>1.4850334306007099E-4</v>
      </c>
      <c r="C83">
        <v>648500.43969000003</v>
      </c>
      <c r="D83">
        <v>1.5385806824763122E-4</v>
      </c>
      <c r="E83">
        <v>668431.99795999995</v>
      </c>
      <c r="F83">
        <v>1.753685624162096E-4</v>
      </c>
      <c r="G83">
        <v>668431.99795999995</v>
      </c>
      <c r="H83">
        <v>1.4594360963452352E-4</v>
      </c>
    </row>
    <row r="84" spans="1:8" x14ac:dyDescent="0.2">
      <c r="A84" s="7">
        <v>1276174.2006999999</v>
      </c>
      <c r="B84">
        <v>2.2206107373468559E-5</v>
      </c>
      <c r="C84">
        <v>1343127.7834000001</v>
      </c>
      <c r="D84">
        <v>2.7015212652176048E-5</v>
      </c>
      <c r="E84">
        <v>1351186.1129000001</v>
      </c>
      <c r="F84">
        <v>3.4612216266357158E-5</v>
      </c>
      <c r="G84">
        <v>1351186.1129000001</v>
      </c>
      <c r="H84">
        <v>3.0872686653456898E-5</v>
      </c>
    </row>
    <row r="85" spans="1:8" x14ac:dyDescent="0.2">
      <c r="A85" s="9">
        <v>2600012.7618</v>
      </c>
      <c r="B85">
        <v>1.387881710841785E-6</v>
      </c>
      <c r="C85">
        <v>2694283.6702999999</v>
      </c>
      <c r="D85">
        <v>3.0874528745344058E-6</v>
      </c>
      <c r="E85">
        <v>2759955.0177000002</v>
      </c>
      <c r="F85">
        <v>6.9224432532714309E-6</v>
      </c>
      <c r="G85">
        <v>2759955.0177000002</v>
      </c>
      <c r="H85">
        <v>2.8066078775869909E-6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C85"/>
  <sheetViews>
    <sheetView workbookViewId="0">
      <selection activeCell="D84" sqref="D84"/>
    </sheetView>
  </sheetViews>
  <sheetFormatPr baseColWidth="10" defaultColWidth="8.83203125" defaultRowHeight="15" x14ac:dyDescent="0.2"/>
  <cols>
    <col min="1" max="1" width="12.5" style="1" customWidth="1"/>
    <col min="2" max="2" width="15.1640625" style="1" customWidth="1"/>
  </cols>
  <sheetData>
    <row r="1" spans="1:3" s="6" customFormat="1" x14ac:dyDescent="0.2">
      <c r="A1" s="4" t="s">
        <v>2</v>
      </c>
      <c r="B1" s="4" t="s">
        <v>1</v>
      </c>
      <c r="C1" s="4" t="s">
        <v>0</v>
      </c>
    </row>
    <row r="2" spans="1:3" x14ac:dyDescent="0.2">
      <c r="A2" s="2">
        <v>479830</v>
      </c>
      <c r="B2" s="4">
        <v>0</v>
      </c>
      <c r="C2">
        <f>A2/SUM($A$2:$A$85)</f>
        <v>0.12345437606565365</v>
      </c>
    </row>
    <row r="3" spans="1:3" x14ac:dyDescent="0.2">
      <c r="A3" s="2">
        <v>96726</v>
      </c>
      <c r="B3" s="4">
        <v>46.92172901</v>
      </c>
      <c r="C3">
        <f t="shared" ref="C3:C66" si="0">A3/SUM($A$2:$A$85)</f>
        <v>2.4886413895184575E-2</v>
      </c>
    </row>
    <row r="4" spans="1:3" x14ac:dyDescent="0.2">
      <c r="A4" s="2">
        <v>147714</v>
      </c>
      <c r="B4" s="4">
        <v>151.36886636</v>
      </c>
      <c r="C4">
        <f t="shared" si="0"/>
        <v>3.8005001159081266E-2</v>
      </c>
    </row>
    <row r="5" spans="1:3" x14ac:dyDescent="0.2">
      <c r="A5" s="2">
        <v>142292</v>
      </c>
      <c r="B5" s="4">
        <v>248.86385594999999</v>
      </c>
      <c r="C5">
        <f t="shared" si="0"/>
        <v>3.6609987035270804E-2</v>
      </c>
    </row>
    <row r="6" spans="1:3" x14ac:dyDescent="0.2">
      <c r="A6" s="2">
        <v>128581</v>
      </c>
      <c r="B6" s="4">
        <v>349.52035983000002</v>
      </c>
      <c r="C6">
        <f t="shared" si="0"/>
        <v>3.3082314838375704E-2</v>
      </c>
    </row>
    <row r="7" spans="1:3" x14ac:dyDescent="0.2">
      <c r="A7" s="2">
        <v>120044</v>
      </c>
      <c r="B7" s="4">
        <v>449.46035351</v>
      </c>
      <c r="C7">
        <f t="shared" si="0"/>
        <v>3.0885849405884017E-2</v>
      </c>
    </row>
    <row r="8" spans="1:3" x14ac:dyDescent="0.2">
      <c r="A8" s="2">
        <v>111339</v>
      </c>
      <c r="B8" s="4">
        <v>549.31201269999997</v>
      </c>
      <c r="C8">
        <f t="shared" si="0"/>
        <v>2.864615963314885E-2</v>
      </c>
    </row>
    <row r="9" spans="1:3" x14ac:dyDescent="0.2">
      <c r="A9" s="2">
        <v>102732</v>
      </c>
      <c r="B9" s="4">
        <v>649.39123333999999</v>
      </c>
      <c r="C9">
        <f t="shared" si="0"/>
        <v>2.6431684058889047E-2</v>
      </c>
    </row>
    <row r="10" spans="1:3" x14ac:dyDescent="0.2">
      <c r="A10" s="2">
        <v>95323</v>
      </c>
      <c r="B10" s="4">
        <v>749.38020757000004</v>
      </c>
      <c r="C10">
        <f t="shared" si="0"/>
        <v>2.4525439196603598E-2</v>
      </c>
    </row>
    <row r="11" spans="1:3" x14ac:dyDescent="0.2">
      <c r="A11" s="2">
        <v>87032</v>
      </c>
      <c r="B11" s="4">
        <v>849.39854988000002</v>
      </c>
      <c r="C11">
        <f t="shared" si="0"/>
        <v>2.2392266548039868E-2</v>
      </c>
    </row>
    <row r="12" spans="1:3" x14ac:dyDescent="0.2">
      <c r="A12" s="2">
        <v>81073</v>
      </c>
      <c r="B12" s="4">
        <v>949.40443490999996</v>
      </c>
      <c r="C12">
        <f t="shared" si="0"/>
        <v>2.085908890809399E-2</v>
      </c>
    </row>
    <row r="13" spans="1:3" x14ac:dyDescent="0.2">
      <c r="A13" s="2">
        <v>74342</v>
      </c>
      <c r="B13" s="4">
        <v>1049.4570045999999</v>
      </c>
      <c r="C13">
        <f t="shared" si="0"/>
        <v>1.9127285133219731E-2</v>
      </c>
    </row>
    <row r="14" spans="1:3" x14ac:dyDescent="0.2">
      <c r="A14" s="2">
        <v>69756</v>
      </c>
      <c r="B14" s="4">
        <v>1149.4592817</v>
      </c>
      <c r="C14">
        <f t="shared" si="0"/>
        <v>1.79473635596685E-2</v>
      </c>
    </row>
    <row r="15" spans="1:3" x14ac:dyDescent="0.2">
      <c r="A15" s="2">
        <v>65010</v>
      </c>
      <c r="B15" s="4">
        <v>1249.5687576</v>
      </c>
      <c r="C15">
        <f t="shared" si="0"/>
        <v>1.6726275947790144E-2</v>
      </c>
    </row>
    <row r="16" spans="1:3" x14ac:dyDescent="0.2">
      <c r="A16" s="2">
        <v>61594</v>
      </c>
      <c r="B16" s="4">
        <v>1349.4916181999999</v>
      </c>
      <c r="C16">
        <f t="shared" si="0"/>
        <v>1.5847381029506016E-2</v>
      </c>
    </row>
    <row r="17" spans="1:3" x14ac:dyDescent="0.2">
      <c r="A17" s="2">
        <v>58244</v>
      </c>
      <c r="B17" s="4">
        <v>1449.7236034</v>
      </c>
      <c r="C17">
        <f t="shared" si="0"/>
        <v>1.4985467102031826E-2</v>
      </c>
    </row>
    <row r="18" spans="1:3" x14ac:dyDescent="0.2">
      <c r="A18" s="2">
        <v>55101</v>
      </c>
      <c r="B18" s="4">
        <v>1549.5973337</v>
      </c>
      <c r="C18">
        <f t="shared" si="0"/>
        <v>1.4176811736643357E-2</v>
      </c>
    </row>
    <row r="19" spans="1:3" x14ac:dyDescent="0.2">
      <c r="A19" s="2">
        <v>51589</v>
      </c>
      <c r="B19" s="4">
        <v>1649.6160325000001</v>
      </c>
      <c r="C19">
        <f t="shared" si="0"/>
        <v>1.3273217195362955E-2</v>
      </c>
    </row>
    <row r="20" spans="1:3" x14ac:dyDescent="0.2">
      <c r="A20" s="2">
        <v>48984</v>
      </c>
      <c r="B20" s="4">
        <v>1749.3510424000001</v>
      </c>
      <c r="C20">
        <f t="shared" si="0"/>
        <v>1.2602982633849444E-2</v>
      </c>
    </row>
    <row r="21" spans="1:3" x14ac:dyDescent="0.2">
      <c r="A21" s="2">
        <v>46438</v>
      </c>
      <c r="B21" s="4">
        <v>1849.8108511</v>
      </c>
      <c r="C21">
        <f t="shared" si="0"/>
        <v>1.1947928048969061E-2</v>
      </c>
    </row>
    <row r="22" spans="1:3" x14ac:dyDescent="0.2">
      <c r="A22" s="2">
        <v>44390</v>
      </c>
      <c r="B22" s="4">
        <v>1949.5553837</v>
      </c>
      <c r="C22">
        <f t="shared" si="0"/>
        <v>1.1421002758381855E-2</v>
      </c>
    </row>
    <row r="23" spans="1:3" x14ac:dyDescent="0.2">
      <c r="A23" s="2">
        <v>42562</v>
      </c>
      <c r="B23" s="4">
        <v>2049.5770287999999</v>
      </c>
      <c r="C23">
        <f t="shared" si="0"/>
        <v>1.0950680770494449E-2</v>
      </c>
    </row>
    <row r="24" spans="1:3" x14ac:dyDescent="0.2">
      <c r="A24" s="2">
        <v>40319</v>
      </c>
      <c r="B24" s="4">
        <v>2149.5936998000002</v>
      </c>
      <c r="C24">
        <f t="shared" si="0"/>
        <v>1.0373584370696059E-2</v>
      </c>
    </row>
    <row r="25" spans="1:3" x14ac:dyDescent="0.2">
      <c r="A25" s="2">
        <v>39198</v>
      </c>
      <c r="B25" s="4">
        <v>2249.5779269999998</v>
      </c>
      <c r="C25">
        <f t="shared" si="0"/>
        <v>1.0085164814666637E-2</v>
      </c>
    </row>
    <row r="26" spans="1:3" x14ac:dyDescent="0.2">
      <c r="A26" s="2">
        <v>36983</v>
      </c>
      <c r="B26" s="4">
        <v>2349.7073338999999</v>
      </c>
      <c r="C26">
        <f t="shared" si="0"/>
        <v>9.5152724715754939E-3</v>
      </c>
    </row>
    <row r="27" spans="1:3" x14ac:dyDescent="0.2">
      <c r="A27" s="2">
        <v>36322</v>
      </c>
      <c r="B27" s="4">
        <v>2449.6569696000001</v>
      </c>
      <c r="C27">
        <f t="shared" si="0"/>
        <v>9.3452052757365574E-3</v>
      </c>
    </row>
    <row r="28" spans="1:3" x14ac:dyDescent="0.2">
      <c r="A28" s="2">
        <v>34024</v>
      </c>
      <c r="B28" s="4">
        <v>2549.5381465999999</v>
      </c>
      <c r="C28">
        <f t="shared" si="0"/>
        <v>8.7539580502632181E-3</v>
      </c>
    </row>
    <row r="29" spans="1:3" x14ac:dyDescent="0.2">
      <c r="A29" s="2">
        <v>33101</v>
      </c>
      <c r="B29" s="4">
        <v>2649.6702249999998</v>
      </c>
      <c r="C29">
        <f t="shared" si="0"/>
        <v>8.5164814666636134E-3</v>
      </c>
    </row>
    <row r="30" spans="1:3" x14ac:dyDescent="0.2">
      <c r="A30" s="2">
        <v>31656</v>
      </c>
      <c r="B30" s="4">
        <v>2749.6393896999998</v>
      </c>
      <c r="C30">
        <f t="shared" si="0"/>
        <v>8.1447006830217619E-3</v>
      </c>
    </row>
    <row r="31" spans="1:3" x14ac:dyDescent="0.2">
      <c r="A31" s="2">
        <v>30621</v>
      </c>
      <c r="B31" s="4">
        <v>2849.764068</v>
      </c>
      <c r="C31">
        <f t="shared" si="0"/>
        <v>7.8784078725931701E-3</v>
      </c>
    </row>
    <row r="32" spans="1:3" x14ac:dyDescent="0.2">
      <c r="A32" s="2">
        <v>29691</v>
      </c>
      <c r="B32" s="4">
        <v>2949.5261225999998</v>
      </c>
      <c r="C32">
        <f t="shared" si="0"/>
        <v>7.6391302748167536E-3</v>
      </c>
    </row>
    <row r="33" spans="1:3" x14ac:dyDescent="0.2">
      <c r="A33" s="2">
        <v>28285</v>
      </c>
      <c r="B33" s="4">
        <v>3049.4758221000002</v>
      </c>
      <c r="C33">
        <f t="shared" si="0"/>
        <v>7.2773837130171385E-3</v>
      </c>
    </row>
    <row r="34" spans="1:3" x14ac:dyDescent="0.2">
      <c r="A34" s="2">
        <v>27078</v>
      </c>
      <c r="B34" s="4">
        <v>3149.7135216000001</v>
      </c>
      <c r="C34">
        <f t="shared" si="0"/>
        <v>6.9668374113868864E-3</v>
      </c>
    </row>
    <row r="35" spans="1:3" x14ac:dyDescent="0.2">
      <c r="A35" s="2">
        <v>26086</v>
      </c>
      <c r="B35" s="4">
        <v>3249.4981059000002</v>
      </c>
      <c r="C35">
        <f t="shared" si="0"/>
        <v>6.7116079737587087E-3</v>
      </c>
    </row>
    <row r="36" spans="1:3" x14ac:dyDescent="0.2">
      <c r="A36" s="2">
        <v>25728</v>
      </c>
      <c r="B36" s="4">
        <v>3349.7696627999999</v>
      </c>
      <c r="C36">
        <f t="shared" si="0"/>
        <v>6.6194989630017657E-3</v>
      </c>
    </row>
    <row r="37" spans="1:3" x14ac:dyDescent="0.2">
      <c r="A37" s="2">
        <v>24567</v>
      </c>
      <c r="B37" s="4">
        <v>3449.8662257999999</v>
      </c>
      <c r="C37">
        <f t="shared" si="0"/>
        <v>6.3207878973905616E-3</v>
      </c>
    </row>
    <row r="38" spans="1:3" x14ac:dyDescent="0.2">
      <c r="A38" s="2">
        <v>24027</v>
      </c>
      <c r="B38" s="4">
        <v>3549.7953802000002</v>
      </c>
      <c r="C38">
        <f t="shared" si="0"/>
        <v>6.1818525180365137E-3</v>
      </c>
    </row>
    <row r="39" spans="1:3" x14ac:dyDescent="0.2">
      <c r="A39" s="2">
        <v>22892</v>
      </c>
      <c r="B39" s="4">
        <v>3649.6508484000001</v>
      </c>
      <c r="C39">
        <f t="shared" si="0"/>
        <v>5.8898309336534683E-3</v>
      </c>
    </row>
    <row r="40" spans="1:3" x14ac:dyDescent="0.2">
      <c r="A40" s="2">
        <v>22217</v>
      </c>
      <c r="B40" s="4">
        <v>3749.8355793000001</v>
      </c>
      <c r="C40">
        <f t="shared" si="0"/>
        <v>5.7161617094609075E-3</v>
      </c>
    </row>
    <row r="41" spans="1:3" x14ac:dyDescent="0.2">
      <c r="A41" s="2">
        <v>21429</v>
      </c>
      <c r="B41" s="4">
        <v>3849.6253585999998</v>
      </c>
      <c r="C41">
        <f t="shared" si="0"/>
        <v>5.5134189706998148E-3</v>
      </c>
    </row>
    <row r="42" spans="1:3" x14ac:dyDescent="0.2">
      <c r="A42" s="2">
        <v>20805</v>
      </c>
      <c r="B42" s="4">
        <v>3949.8122156999998</v>
      </c>
      <c r="C42">
        <f t="shared" si="0"/>
        <v>5.3528714212240256E-3</v>
      </c>
    </row>
    <row r="43" spans="1:3" x14ac:dyDescent="0.2">
      <c r="A43" s="2">
        <v>20234</v>
      </c>
      <c r="B43" s="4">
        <v>4049.8220792000002</v>
      </c>
      <c r="C43">
        <f t="shared" si="0"/>
        <v>5.2059601219440971E-3</v>
      </c>
    </row>
    <row r="44" spans="1:3" x14ac:dyDescent="0.2">
      <c r="A44" s="2">
        <v>19588</v>
      </c>
      <c r="B44" s="4">
        <v>4149.3660362999999</v>
      </c>
      <c r="C44">
        <f t="shared" si="0"/>
        <v>5.039752242198328E-3</v>
      </c>
    </row>
    <row r="45" spans="1:3" x14ac:dyDescent="0.2">
      <c r="A45" s="2">
        <v>18824</v>
      </c>
      <c r="B45" s="4">
        <v>4250.1688647000001</v>
      </c>
      <c r="C45">
        <f t="shared" si="0"/>
        <v>4.8431844091863041E-3</v>
      </c>
    </row>
    <row r="46" spans="1:3" x14ac:dyDescent="0.2">
      <c r="A46" s="2">
        <v>18279</v>
      </c>
      <c r="B46" s="4">
        <v>4349.8288124000001</v>
      </c>
      <c r="C46">
        <f t="shared" si="0"/>
        <v>4.7029625911345335E-3</v>
      </c>
    </row>
    <row r="47" spans="1:3" x14ac:dyDescent="0.2">
      <c r="A47" s="2">
        <v>17764</v>
      </c>
      <c r="B47" s="4">
        <v>4449.9582344999999</v>
      </c>
      <c r="C47">
        <f t="shared" si="0"/>
        <v>4.5704594052690985E-3</v>
      </c>
    </row>
    <row r="48" spans="1:3" x14ac:dyDescent="0.2">
      <c r="A48" s="2">
        <v>17231</v>
      </c>
      <c r="B48" s="4">
        <v>4549.7896828000003</v>
      </c>
      <c r="C48">
        <f t="shared" si="0"/>
        <v>4.4333250400918622E-3</v>
      </c>
    </row>
    <row r="49" spans="1:3" x14ac:dyDescent="0.2">
      <c r="A49" s="2">
        <v>16772</v>
      </c>
      <c r="B49" s="4">
        <v>4649.8572821999996</v>
      </c>
      <c r="C49">
        <f t="shared" si="0"/>
        <v>4.3152299676409208E-3</v>
      </c>
    </row>
    <row r="50" spans="1:3" x14ac:dyDescent="0.2">
      <c r="A50" s="2">
        <v>16231</v>
      </c>
      <c r="B50" s="4">
        <v>4749.7428129999998</v>
      </c>
      <c r="C50">
        <f t="shared" si="0"/>
        <v>4.176037300547328E-3</v>
      </c>
    </row>
    <row r="51" spans="1:3" x14ac:dyDescent="0.2">
      <c r="A51" s="2">
        <v>16093</v>
      </c>
      <c r="B51" s="4">
        <v>4849.2001688999999</v>
      </c>
      <c r="C51">
        <f t="shared" si="0"/>
        <v>4.1405315924901822E-3</v>
      </c>
    </row>
    <row r="52" spans="1:3" x14ac:dyDescent="0.2">
      <c r="A52" s="2">
        <v>15526</v>
      </c>
      <c r="B52" s="4">
        <v>4949.4575961999999</v>
      </c>
      <c r="C52">
        <f t="shared" si="0"/>
        <v>3.9946494441684315E-3</v>
      </c>
    </row>
    <row r="53" spans="1:3" x14ac:dyDescent="0.2">
      <c r="A53" s="2">
        <v>15082</v>
      </c>
      <c r="B53" s="4">
        <v>5049.5342657000001</v>
      </c>
      <c r="C53">
        <f t="shared" si="0"/>
        <v>3.8804136878106588E-3</v>
      </c>
    </row>
    <row r="54" spans="1:3" x14ac:dyDescent="0.2">
      <c r="A54" s="2">
        <v>14740</v>
      </c>
      <c r="B54" s="4">
        <v>5149.819281</v>
      </c>
      <c r="C54">
        <f t="shared" si="0"/>
        <v>3.7924212808864285E-3</v>
      </c>
    </row>
    <row r="55" spans="1:3" x14ac:dyDescent="0.2">
      <c r="A55" s="2">
        <v>14270</v>
      </c>
      <c r="B55" s="4">
        <v>5249.8320856</v>
      </c>
      <c r="C55">
        <f t="shared" si="0"/>
        <v>3.6714960433004975E-3</v>
      </c>
    </row>
    <row r="56" spans="1:3" x14ac:dyDescent="0.2">
      <c r="A56" s="2">
        <v>13936</v>
      </c>
      <c r="B56" s="4">
        <v>5349.6850807999999</v>
      </c>
      <c r="C56">
        <f t="shared" si="0"/>
        <v>3.585561938292623E-3</v>
      </c>
    </row>
    <row r="57" spans="1:3" x14ac:dyDescent="0.2">
      <c r="A57" s="2">
        <v>13638</v>
      </c>
      <c r="B57" s="4">
        <v>5449.7602567000004</v>
      </c>
      <c r="C57">
        <f t="shared" si="0"/>
        <v>3.5088901919083522E-3</v>
      </c>
    </row>
    <row r="58" spans="1:3" x14ac:dyDescent="0.2">
      <c r="A58" s="2">
        <v>13099</v>
      </c>
      <c r="B58" s="4">
        <v>5549.5926741000003</v>
      </c>
      <c r="C58">
        <f t="shared" si="0"/>
        <v>3.3702121002938483E-3</v>
      </c>
    </row>
    <row r="59" spans="1:3" x14ac:dyDescent="0.2">
      <c r="A59" s="2">
        <v>12964</v>
      </c>
      <c r="B59" s="4">
        <v>5650.1906062999997</v>
      </c>
      <c r="C59">
        <f t="shared" si="0"/>
        <v>3.3354782554553364E-3</v>
      </c>
    </row>
    <row r="60" spans="1:3" x14ac:dyDescent="0.2">
      <c r="A60" s="2">
        <v>12642</v>
      </c>
      <c r="B60" s="4">
        <v>5749.9995791000001</v>
      </c>
      <c r="C60">
        <f t="shared" si="0"/>
        <v>3.2526316033219963E-3</v>
      </c>
    </row>
    <row r="61" spans="1:3" x14ac:dyDescent="0.2">
      <c r="A61" s="2">
        <v>12421</v>
      </c>
      <c r="B61" s="4">
        <v>5849.8157031000001</v>
      </c>
      <c r="C61">
        <f t="shared" si="0"/>
        <v>3.1957710128826546E-3</v>
      </c>
    </row>
    <row r="62" spans="1:3" x14ac:dyDescent="0.2">
      <c r="A62" s="2">
        <v>11804</v>
      </c>
      <c r="B62" s="4">
        <v>5949.7955181999996</v>
      </c>
      <c r="C62">
        <f t="shared" si="0"/>
        <v>3.0370244775836772E-3</v>
      </c>
    </row>
    <row r="63" spans="1:3" x14ac:dyDescent="0.2">
      <c r="A63" s="2">
        <v>11745</v>
      </c>
      <c r="B63" s="4">
        <v>6049.5534015000003</v>
      </c>
      <c r="C63">
        <f t="shared" si="0"/>
        <v>3.0218445009505494E-3</v>
      </c>
    </row>
    <row r="64" spans="1:3" x14ac:dyDescent="0.2">
      <c r="A64" s="2">
        <v>11197</v>
      </c>
      <c r="B64" s="4">
        <v>6149.9152456000002</v>
      </c>
      <c r="C64">
        <f t="shared" si="0"/>
        <v>2.8808508196801448E-3</v>
      </c>
    </row>
    <row r="65" spans="1:3" x14ac:dyDescent="0.2">
      <c r="A65" s="2">
        <v>10912</v>
      </c>
      <c r="B65" s="4">
        <v>6249.5734666999997</v>
      </c>
      <c r="C65">
        <f t="shared" si="0"/>
        <v>2.807523813909953E-3</v>
      </c>
    </row>
    <row r="66" spans="1:3" x14ac:dyDescent="0.2">
      <c r="A66" s="2">
        <v>10528</v>
      </c>
      <c r="B66" s="4">
        <v>6349.5611363999997</v>
      </c>
      <c r="C66">
        <f t="shared" si="0"/>
        <v>2.7087253219248517E-3</v>
      </c>
    </row>
    <row r="67" spans="1:3" x14ac:dyDescent="0.2">
      <c r="A67" s="2">
        <v>10629</v>
      </c>
      <c r="B67" s="4">
        <v>6449.8851083</v>
      </c>
      <c r="C67">
        <f t="shared" ref="C67:C85" si="1">A67/SUM($A$2:$A$85)</f>
        <v>2.7347113836188497E-3</v>
      </c>
    </row>
    <row r="68" spans="1:3" x14ac:dyDescent="0.2">
      <c r="A68" s="2">
        <v>92600</v>
      </c>
      <c r="B68" s="4">
        <v>6982.1209214</v>
      </c>
      <c r="C68">
        <f t="shared" si="1"/>
        <v>2.3824844681823831E-2</v>
      </c>
    </row>
    <row r="69" spans="1:3" x14ac:dyDescent="0.2">
      <c r="A69" s="2">
        <v>163377</v>
      </c>
      <c r="B69" s="4">
        <v>8654.5769748000002</v>
      </c>
      <c r="C69">
        <f t="shared" si="1"/>
        <v>4.2034899023567301E-2</v>
      </c>
    </row>
    <row r="70" spans="1:3" x14ac:dyDescent="0.2">
      <c r="A70" s="2">
        <v>184400</v>
      </c>
      <c r="B70" s="4">
        <v>12213.66762</v>
      </c>
      <c r="C70">
        <f t="shared" si="1"/>
        <v>4.7443859172012035E-2</v>
      </c>
    </row>
    <row r="71" spans="1:3" x14ac:dyDescent="0.2">
      <c r="A71" s="2">
        <v>98280</v>
      </c>
      <c r="B71" s="4">
        <v>17271.077359999999</v>
      </c>
      <c r="C71">
        <f t="shared" si="1"/>
        <v>2.5286239042436782E-2</v>
      </c>
    </row>
    <row r="72" spans="1:3" x14ac:dyDescent="0.2">
      <c r="A72" s="2">
        <v>57025</v>
      </c>
      <c r="B72" s="4">
        <v>22286.980856999999</v>
      </c>
      <c r="C72">
        <f t="shared" si="1"/>
        <v>1.4671833347527041E-2</v>
      </c>
    </row>
    <row r="73" spans="1:3" x14ac:dyDescent="0.2">
      <c r="A73" s="2">
        <v>35931</v>
      </c>
      <c r="B73" s="4">
        <v>27326.440060000001</v>
      </c>
      <c r="C73">
        <f t="shared" si="1"/>
        <v>9.2446057695746448E-3</v>
      </c>
    </row>
    <row r="74" spans="1:3" x14ac:dyDescent="0.2">
      <c r="A74" s="2">
        <v>24593</v>
      </c>
      <c r="B74" s="4">
        <v>32359.214279</v>
      </c>
      <c r="C74">
        <f t="shared" si="1"/>
        <v>6.3274773786187195E-3</v>
      </c>
    </row>
    <row r="75" spans="1:3" x14ac:dyDescent="0.2">
      <c r="A75" s="2">
        <v>17397</v>
      </c>
      <c r="B75" s="4">
        <v>37367.143090999998</v>
      </c>
      <c r="C75">
        <f t="shared" si="1"/>
        <v>4.4760348048562548E-3</v>
      </c>
    </row>
    <row r="76" spans="1:3" x14ac:dyDescent="0.2">
      <c r="A76" s="2">
        <v>12776</v>
      </c>
      <c r="B76" s="4">
        <v>42376.995106000002</v>
      </c>
      <c r="C76">
        <f t="shared" si="1"/>
        <v>3.2871081604209638E-3</v>
      </c>
    </row>
    <row r="77" spans="1:3" x14ac:dyDescent="0.2">
      <c r="A77" s="2">
        <v>10116</v>
      </c>
      <c r="B77" s="4">
        <v>47409.342155999999</v>
      </c>
      <c r="C77">
        <f t="shared" si="1"/>
        <v>2.6027227732325041E-3</v>
      </c>
    </row>
    <row r="78" spans="1:3" x14ac:dyDescent="0.2">
      <c r="A78" s="2">
        <v>39747</v>
      </c>
      <c r="B78" s="4">
        <v>67790.064784000002</v>
      </c>
      <c r="C78">
        <f t="shared" si="1"/>
        <v>1.0226415783676585E-2</v>
      </c>
    </row>
    <row r="79" spans="1:3" x14ac:dyDescent="0.2">
      <c r="A79" s="2">
        <v>13300</v>
      </c>
      <c r="B79" s="4">
        <v>135528.84332000001</v>
      </c>
      <c r="C79">
        <f t="shared" si="1"/>
        <v>3.4219269359422998E-3</v>
      </c>
    </row>
    <row r="80" spans="1:3" x14ac:dyDescent="0.2">
      <c r="A80" s="2">
        <v>3069</v>
      </c>
      <c r="B80" s="4">
        <v>239942.79032</v>
      </c>
      <c r="C80">
        <f t="shared" si="1"/>
        <v>7.8961607266217428E-4</v>
      </c>
    </row>
    <row r="81" spans="1:3" x14ac:dyDescent="0.2">
      <c r="A81" s="2">
        <v>1021</v>
      </c>
      <c r="B81" s="4">
        <v>342869.84759000002</v>
      </c>
      <c r="C81">
        <f t="shared" si="1"/>
        <v>2.6269078207496902E-4</v>
      </c>
    </row>
    <row r="82" spans="1:3" x14ac:dyDescent="0.2">
      <c r="A82" s="2">
        <v>478</v>
      </c>
      <c r="B82" s="4">
        <v>443571.48762999999</v>
      </c>
      <c r="C82">
        <f t="shared" si="1"/>
        <v>1.2298353950228715E-4</v>
      </c>
    </row>
    <row r="83" spans="1:3" x14ac:dyDescent="0.2">
      <c r="A83" s="2">
        <v>598</v>
      </c>
      <c r="B83" s="4">
        <v>648500.43969000003</v>
      </c>
      <c r="C83">
        <f t="shared" si="1"/>
        <v>1.5385806824763122E-4</v>
      </c>
    </row>
    <row r="84" spans="1:3" x14ac:dyDescent="0.2">
      <c r="A84" s="2">
        <v>105</v>
      </c>
      <c r="B84" s="4">
        <v>1343127.7834000001</v>
      </c>
      <c r="C84">
        <f t="shared" si="1"/>
        <v>2.7015212652176048E-5</v>
      </c>
    </row>
    <row r="85" spans="1:3" x14ac:dyDescent="0.2">
      <c r="A85" s="3">
        <v>12</v>
      </c>
      <c r="B85" s="5">
        <v>2694283.6702999999</v>
      </c>
      <c r="C85">
        <f t="shared" si="1"/>
        <v>3.0874528745344058E-6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2:C85"/>
  <sheetViews>
    <sheetView workbookViewId="0">
      <selection activeCell="D84" sqref="D84"/>
    </sheetView>
  </sheetViews>
  <sheetFormatPr baseColWidth="10" defaultColWidth="8.83203125" defaultRowHeight="15" x14ac:dyDescent="0.2"/>
  <cols>
    <col min="1" max="1" width="12.5" style="1" customWidth="1"/>
    <col min="2" max="2" width="15.1640625" style="1" customWidth="1"/>
  </cols>
  <sheetData>
    <row r="2" spans="1:3" x14ac:dyDescent="0.2">
      <c r="A2" s="2">
        <v>56423</v>
      </c>
      <c r="B2" s="4">
        <v>0</v>
      </c>
      <c r="C2">
        <f>A2/SUM($A$2:$A$85)</f>
        <v>0.13019500522644464</v>
      </c>
    </row>
    <row r="3" spans="1:3" x14ac:dyDescent="0.2">
      <c r="A3" s="2">
        <v>12402</v>
      </c>
      <c r="B3" s="4">
        <v>47.089636204999998</v>
      </c>
      <c r="C3">
        <f t="shared" ref="C3:C66" si="0">A3/SUM($A$2:$A$85)</f>
        <v>2.8617380409024097E-2</v>
      </c>
    </row>
    <row r="4" spans="1:3" x14ac:dyDescent="0.2">
      <c r="A4" s="2">
        <v>17498</v>
      </c>
      <c r="B4" s="4">
        <v>151.13764803000001</v>
      </c>
      <c r="C4">
        <f t="shared" si="0"/>
        <v>4.0376304015247833E-2</v>
      </c>
    </row>
    <row r="5" spans="1:3" x14ac:dyDescent="0.2">
      <c r="A5" s="2">
        <v>16697</v>
      </c>
      <c r="B5" s="4">
        <v>248.66010456000001</v>
      </c>
      <c r="C5">
        <f t="shared" si="0"/>
        <v>3.8528011666624361E-2</v>
      </c>
    </row>
    <row r="6" spans="1:3" x14ac:dyDescent="0.2">
      <c r="A6" s="2">
        <v>15107</v>
      </c>
      <c r="B6" s="4">
        <v>349.29363812999998</v>
      </c>
      <c r="C6">
        <f t="shared" si="0"/>
        <v>3.4859116742390506E-2</v>
      </c>
    </row>
    <row r="7" spans="1:3" x14ac:dyDescent="0.2">
      <c r="A7" s="2">
        <v>13809</v>
      </c>
      <c r="B7" s="4">
        <v>449.29162219</v>
      </c>
      <c r="C7">
        <f t="shared" si="0"/>
        <v>3.18640062948084E-2</v>
      </c>
    </row>
    <row r="8" spans="1:3" x14ac:dyDescent="0.2">
      <c r="A8" s="2">
        <v>12816</v>
      </c>
      <c r="B8" s="4">
        <v>549.09284333000005</v>
      </c>
      <c r="C8">
        <f t="shared" si="0"/>
        <v>2.9572677577975555E-2</v>
      </c>
    </row>
    <row r="9" spans="1:3" x14ac:dyDescent="0.2">
      <c r="A9" s="2">
        <v>11847</v>
      </c>
      <c r="B9" s="4">
        <v>649.18306278</v>
      </c>
      <c r="C9">
        <f t="shared" si="0"/>
        <v>2.7336728407168883E-2</v>
      </c>
    </row>
    <row r="10" spans="1:3" x14ac:dyDescent="0.2">
      <c r="A10" s="2">
        <v>10932</v>
      </c>
      <c r="B10" s="4">
        <v>749.57965303000003</v>
      </c>
      <c r="C10">
        <f t="shared" si="0"/>
        <v>2.5225383214921095E-2</v>
      </c>
    </row>
    <row r="11" spans="1:3" x14ac:dyDescent="0.2">
      <c r="A11" s="2">
        <v>9847</v>
      </c>
      <c r="B11" s="4">
        <v>849.18827595000005</v>
      </c>
      <c r="C11">
        <f t="shared" si="0"/>
        <v>2.2721766238321263E-2</v>
      </c>
    </row>
    <row r="12" spans="1:3" x14ac:dyDescent="0.2">
      <c r="A12" s="2">
        <v>9195</v>
      </c>
      <c r="B12" s="4">
        <v>949.15743914999996</v>
      </c>
      <c r="C12">
        <f t="shared" si="0"/>
        <v>2.1217288571276936E-2</v>
      </c>
    </row>
    <row r="13" spans="1:3" x14ac:dyDescent="0.2">
      <c r="A13" s="2">
        <v>8416</v>
      </c>
      <c r="B13" s="4">
        <v>1049.451431</v>
      </c>
      <c r="C13">
        <f t="shared" si="0"/>
        <v>1.941976080651079E-2</v>
      </c>
    </row>
    <row r="14" spans="1:3" x14ac:dyDescent="0.2">
      <c r="A14" s="2">
        <v>7956</v>
      </c>
      <c r="B14" s="4">
        <v>1149.4492313000001</v>
      </c>
      <c r="C14">
        <f t="shared" si="0"/>
        <v>1.8358319507675837E-2</v>
      </c>
    </row>
    <row r="15" spans="1:3" x14ac:dyDescent="0.2">
      <c r="A15" s="2">
        <v>7488</v>
      </c>
      <c r="B15" s="4">
        <v>1250.0924898999999</v>
      </c>
      <c r="C15">
        <f t="shared" si="0"/>
        <v>1.7278418360165491E-2</v>
      </c>
    </row>
    <row r="16" spans="1:3" x14ac:dyDescent="0.2">
      <c r="A16" s="2">
        <v>7024</v>
      </c>
      <c r="B16" s="4">
        <v>1348.8471201</v>
      </c>
      <c r="C16">
        <f t="shared" si="0"/>
        <v>1.6207747136992846E-2</v>
      </c>
    </row>
    <row r="17" spans="1:3" x14ac:dyDescent="0.2">
      <c r="A17" s="2">
        <v>6643</v>
      </c>
      <c r="B17" s="4">
        <v>1448.6294673</v>
      </c>
      <c r="C17">
        <f t="shared" si="0"/>
        <v>1.5328596843827372E-2</v>
      </c>
    </row>
    <row r="18" spans="1:3" x14ac:dyDescent="0.2">
      <c r="A18" s="2">
        <v>6323</v>
      </c>
      <c r="B18" s="4">
        <v>1549.6792144999999</v>
      </c>
      <c r="C18">
        <f t="shared" si="0"/>
        <v>1.4590202896811753E-2</v>
      </c>
    </row>
    <row r="19" spans="1:3" x14ac:dyDescent="0.2">
      <c r="A19" s="2">
        <v>5854</v>
      </c>
      <c r="B19" s="4">
        <v>1649.3533520000001</v>
      </c>
      <c r="C19">
        <f t="shared" si="0"/>
        <v>1.3507994268216986E-2</v>
      </c>
    </row>
    <row r="20" spans="1:3" x14ac:dyDescent="0.2">
      <c r="A20" s="2">
        <v>5482</v>
      </c>
      <c r="B20" s="4">
        <v>1749.4978020000001</v>
      </c>
      <c r="C20">
        <f t="shared" si="0"/>
        <v>1.2649611304811329E-2</v>
      </c>
    </row>
    <row r="21" spans="1:3" x14ac:dyDescent="0.2">
      <c r="A21" s="2">
        <v>5420</v>
      </c>
      <c r="B21" s="4">
        <v>1849.7063842</v>
      </c>
      <c r="C21">
        <f t="shared" si="0"/>
        <v>1.2506547477577052E-2</v>
      </c>
    </row>
    <row r="22" spans="1:3" x14ac:dyDescent="0.2">
      <c r="A22" s="2">
        <v>4898</v>
      </c>
      <c r="B22" s="4">
        <v>1949.3977113999999</v>
      </c>
      <c r="C22">
        <f t="shared" si="0"/>
        <v>1.1302042351507823E-2</v>
      </c>
    </row>
    <row r="23" spans="1:3" x14ac:dyDescent="0.2">
      <c r="A23" s="2">
        <v>4745</v>
      </c>
      <c r="B23" s="4">
        <v>2048.9020986</v>
      </c>
      <c r="C23">
        <f t="shared" si="0"/>
        <v>1.094899774559098E-2</v>
      </c>
    </row>
    <row r="24" spans="1:3" x14ac:dyDescent="0.2">
      <c r="A24" s="2">
        <v>4585</v>
      </c>
      <c r="B24" s="4">
        <v>2150.3656194999999</v>
      </c>
      <c r="C24">
        <f t="shared" si="0"/>
        <v>1.057980077208317E-2</v>
      </c>
    </row>
    <row r="25" spans="1:3" x14ac:dyDescent="0.2">
      <c r="A25" s="2">
        <v>4340</v>
      </c>
      <c r="B25" s="4">
        <v>2249.9627549000002</v>
      </c>
      <c r="C25">
        <f t="shared" si="0"/>
        <v>1.0014467906399337E-2</v>
      </c>
    </row>
    <row r="26" spans="1:3" x14ac:dyDescent="0.2">
      <c r="A26" s="2">
        <v>4259</v>
      </c>
      <c r="B26" s="4">
        <v>2349.5238214000001</v>
      </c>
      <c r="C26">
        <f t="shared" si="0"/>
        <v>9.8275619385610087E-3</v>
      </c>
    </row>
    <row r="27" spans="1:3" x14ac:dyDescent="0.2">
      <c r="A27" s="2">
        <v>3893</v>
      </c>
      <c r="B27" s="4">
        <v>2449.0350827000002</v>
      </c>
      <c r="C27">
        <f t="shared" si="0"/>
        <v>8.9830238616618943E-3</v>
      </c>
    </row>
    <row r="28" spans="1:3" x14ac:dyDescent="0.2">
      <c r="A28" s="2">
        <v>3860</v>
      </c>
      <c r="B28" s="4">
        <v>2549.7226528000001</v>
      </c>
      <c r="C28">
        <f t="shared" si="0"/>
        <v>8.906876985875908E-3</v>
      </c>
    </row>
    <row r="29" spans="1:3" x14ac:dyDescent="0.2">
      <c r="A29" s="2">
        <v>3593</v>
      </c>
      <c r="B29" s="4">
        <v>2649.9477480999999</v>
      </c>
      <c r="C29">
        <f t="shared" si="0"/>
        <v>8.2907795363347508E-3</v>
      </c>
    </row>
    <row r="30" spans="1:3" x14ac:dyDescent="0.2">
      <c r="A30" s="2">
        <v>3546</v>
      </c>
      <c r="B30" s="4">
        <v>2749.7443622999999</v>
      </c>
      <c r="C30">
        <f t="shared" si="0"/>
        <v>8.1823279253668314E-3</v>
      </c>
    </row>
    <row r="31" spans="1:3" x14ac:dyDescent="0.2">
      <c r="A31" s="2">
        <v>3345</v>
      </c>
      <c r="B31" s="4">
        <v>2850.3496627999998</v>
      </c>
      <c r="C31">
        <f t="shared" si="0"/>
        <v>7.7185242273976459E-3</v>
      </c>
    </row>
    <row r="32" spans="1:3" x14ac:dyDescent="0.2">
      <c r="A32" s="2">
        <v>3276</v>
      </c>
      <c r="B32" s="4">
        <v>2949.5941343999998</v>
      </c>
      <c r="C32">
        <f t="shared" si="0"/>
        <v>7.5593080325724029E-3</v>
      </c>
    </row>
    <row r="33" spans="1:3" x14ac:dyDescent="0.2">
      <c r="A33" s="2">
        <v>3106</v>
      </c>
      <c r="B33" s="4">
        <v>3051.0646581999999</v>
      </c>
      <c r="C33">
        <f t="shared" si="0"/>
        <v>7.1670362482203556E-3</v>
      </c>
    </row>
    <row r="34" spans="1:3" x14ac:dyDescent="0.2">
      <c r="A34" s="2">
        <v>3000</v>
      </c>
      <c r="B34" s="4">
        <v>3149.4454857000001</v>
      </c>
      <c r="C34">
        <f t="shared" si="0"/>
        <v>6.9224432532714311E-3</v>
      </c>
    </row>
    <row r="35" spans="1:3" x14ac:dyDescent="0.2">
      <c r="A35" s="2">
        <v>2874</v>
      </c>
      <c r="B35" s="4">
        <v>3249.2853875000001</v>
      </c>
      <c r="C35">
        <f t="shared" si="0"/>
        <v>6.631700636634031E-3</v>
      </c>
    </row>
    <row r="36" spans="1:3" x14ac:dyDescent="0.2">
      <c r="A36" s="2">
        <v>2744</v>
      </c>
      <c r="B36" s="4">
        <v>3350.5373814999998</v>
      </c>
      <c r="C36">
        <f t="shared" si="0"/>
        <v>6.3317280956589356E-3</v>
      </c>
    </row>
    <row r="37" spans="1:3" x14ac:dyDescent="0.2">
      <c r="A37" s="2">
        <v>2668</v>
      </c>
      <c r="B37" s="4">
        <v>3449.9445821999998</v>
      </c>
      <c r="C37">
        <f t="shared" si="0"/>
        <v>6.1563595332427262E-3</v>
      </c>
    </row>
    <row r="38" spans="1:3" x14ac:dyDescent="0.2">
      <c r="A38" s="2">
        <v>2532</v>
      </c>
      <c r="B38" s="4">
        <v>3550.6738734999999</v>
      </c>
      <c r="C38">
        <f t="shared" si="0"/>
        <v>5.8425421057610883E-3</v>
      </c>
    </row>
    <row r="39" spans="1:3" x14ac:dyDescent="0.2">
      <c r="A39" s="2">
        <v>2393</v>
      </c>
      <c r="B39" s="4">
        <v>3650.4423744000001</v>
      </c>
      <c r="C39">
        <f t="shared" si="0"/>
        <v>5.5218022350261783E-3</v>
      </c>
    </row>
    <row r="40" spans="1:3" x14ac:dyDescent="0.2">
      <c r="A40" s="2">
        <v>2385</v>
      </c>
      <c r="B40" s="4">
        <v>3749.5175072000002</v>
      </c>
      <c r="C40">
        <f t="shared" si="0"/>
        <v>5.5033423863507878E-3</v>
      </c>
    </row>
    <row r="41" spans="1:3" x14ac:dyDescent="0.2">
      <c r="A41" s="2">
        <v>2259</v>
      </c>
      <c r="B41" s="4">
        <v>3849.9196010000001</v>
      </c>
      <c r="C41">
        <f t="shared" si="0"/>
        <v>5.2125997697133877E-3</v>
      </c>
    </row>
    <row r="42" spans="1:3" x14ac:dyDescent="0.2">
      <c r="A42" s="2">
        <v>2225</v>
      </c>
      <c r="B42" s="4">
        <v>3950.3901605000001</v>
      </c>
      <c r="C42">
        <f t="shared" si="0"/>
        <v>5.1341454128429782E-3</v>
      </c>
    </row>
    <row r="43" spans="1:3" x14ac:dyDescent="0.2">
      <c r="A43" s="2">
        <v>2142</v>
      </c>
      <c r="B43" s="4">
        <v>4049.4295284999998</v>
      </c>
      <c r="C43">
        <f t="shared" si="0"/>
        <v>4.9426244828358022E-3</v>
      </c>
    </row>
    <row r="44" spans="1:3" x14ac:dyDescent="0.2">
      <c r="A44" s="2">
        <v>2043</v>
      </c>
      <c r="B44" s="4">
        <v>4148.8022394999998</v>
      </c>
      <c r="C44">
        <f t="shared" si="0"/>
        <v>4.7141838554778451E-3</v>
      </c>
    </row>
    <row r="45" spans="1:3" x14ac:dyDescent="0.2">
      <c r="A45" s="2">
        <v>1976</v>
      </c>
      <c r="B45" s="4">
        <v>4249.6449472000004</v>
      </c>
      <c r="C45">
        <f t="shared" si="0"/>
        <v>4.5595826228214493E-3</v>
      </c>
    </row>
    <row r="46" spans="1:3" x14ac:dyDescent="0.2">
      <c r="A46" s="2">
        <v>1932</v>
      </c>
      <c r="B46" s="4">
        <v>4349.9021565000003</v>
      </c>
      <c r="C46">
        <f t="shared" si="0"/>
        <v>4.4580534551068021E-3</v>
      </c>
    </row>
    <row r="47" spans="1:3" x14ac:dyDescent="0.2">
      <c r="A47" s="2">
        <v>1943</v>
      </c>
      <c r="B47" s="4">
        <v>4448.4126453999997</v>
      </c>
      <c r="C47">
        <f t="shared" si="0"/>
        <v>4.4834357470354639E-3</v>
      </c>
    </row>
    <row r="48" spans="1:3" x14ac:dyDescent="0.2">
      <c r="A48" s="2">
        <v>1904</v>
      </c>
      <c r="B48" s="4">
        <v>4550.3793402000001</v>
      </c>
      <c r="C48">
        <f t="shared" si="0"/>
        <v>4.3934439847429351E-3</v>
      </c>
    </row>
    <row r="49" spans="1:3" x14ac:dyDescent="0.2">
      <c r="A49" s="2">
        <v>1746</v>
      </c>
      <c r="B49" s="4">
        <v>4649.0467294999999</v>
      </c>
      <c r="C49">
        <f t="shared" si="0"/>
        <v>4.0288619734039728E-3</v>
      </c>
    </row>
    <row r="50" spans="1:3" x14ac:dyDescent="0.2">
      <c r="A50" s="2">
        <v>1699</v>
      </c>
      <c r="B50" s="4">
        <v>4750.5691666000002</v>
      </c>
      <c r="C50">
        <f t="shared" si="0"/>
        <v>3.9204103624360543E-3</v>
      </c>
    </row>
    <row r="51" spans="1:3" x14ac:dyDescent="0.2">
      <c r="A51" s="2">
        <v>1683</v>
      </c>
      <c r="B51" s="4">
        <v>4850.3676888</v>
      </c>
      <c r="C51">
        <f t="shared" si="0"/>
        <v>3.8834906650852732E-3</v>
      </c>
    </row>
    <row r="52" spans="1:3" x14ac:dyDescent="0.2">
      <c r="A52" s="2">
        <v>1673</v>
      </c>
      <c r="B52" s="4">
        <v>4951.0721470999997</v>
      </c>
      <c r="C52">
        <f t="shared" si="0"/>
        <v>3.860415854241035E-3</v>
      </c>
    </row>
    <row r="53" spans="1:3" x14ac:dyDescent="0.2">
      <c r="A53" s="2">
        <v>1562</v>
      </c>
      <c r="B53" s="4">
        <v>5050.2130493000004</v>
      </c>
      <c r="C53">
        <f t="shared" si="0"/>
        <v>3.604285453869992E-3</v>
      </c>
    </row>
    <row r="54" spans="1:3" x14ac:dyDescent="0.2">
      <c r="A54" s="2">
        <v>1565</v>
      </c>
      <c r="B54" s="4">
        <v>5150.4565726000001</v>
      </c>
      <c r="C54">
        <f t="shared" si="0"/>
        <v>3.6112078971232632E-3</v>
      </c>
    </row>
    <row r="55" spans="1:3" x14ac:dyDescent="0.2">
      <c r="A55" s="2">
        <v>1579</v>
      </c>
      <c r="B55" s="4">
        <v>5250.8333086000002</v>
      </c>
      <c r="C55">
        <f t="shared" si="0"/>
        <v>3.6435126323051967E-3</v>
      </c>
    </row>
    <row r="56" spans="1:3" x14ac:dyDescent="0.2">
      <c r="A56" s="2">
        <v>1354</v>
      </c>
      <c r="B56" s="4">
        <v>5349.1631235000004</v>
      </c>
      <c r="C56">
        <f t="shared" si="0"/>
        <v>3.1243293883098395E-3</v>
      </c>
    </row>
    <row r="57" spans="1:3" x14ac:dyDescent="0.2">
      <c r="A57" s="2">
        <v>1424</v>
      </c>
      <c r="B57" s="4">
        <v>5450.2750245999996</v>
      </c>
      <c r="C57">
        <f t="shared" si="0"/>
        <v>3.2858530642195061E-3</v>
      </c>
    </row>
    <row r="58" spans="1:3" x14ac:dyDescent="0.2">
      <c r="A58" s="2">
        <v>1324</v>
      </c>
      <c r="B58" s="4">
        <v>5548.4280036999999</v>
      </c>
      <c r="C58">
        <f t="shared" si="0"/>
        <v>3.0551049557771249E-3</v>
      </c>
    </row>
    <row r="59" spans="1:3" x14ac:dyDescent="0.2">
      <c r="A59" s="2">
        <v>1339</v>
      </c>
      <c r="B59" s="4">
        <v>5649.7016814999997</v>
      </c>
      <c r="C59">
        <f t="shared" si="0"/>
        <v>3.089717172043482E-3</v>
      </c>
    </row>
    <row r="60" spans="1:3" x14ac:dyDescent="0.2">
      <c r="A60" s="2">
        <v>1278</v>
      </c>
      <c r="B60" s="4">
        <v>5749.6727296999998</v>
      </c>
      <c r="C60">
        <f t="shared" si="0"/>
        <v>2.9489608258936296E-3</v>
      </c>
    </row>
    <row r="61" spans="1:3" x14ac:dyDescent="0.2">
      <c r="A61" s="2">
        <v>1298</v>
      </c>
      <c r="B61" s="4">
        <v>5850.1760253000002</v>
      </c>
      <c r="C61">
        <f t="shared" si="0"/>
        <v>2.995110447582106E-3</v>
      </c>
    </row>
    <row r="62" spans="1:3" x14ac:dyDescent="0.2">
      <c r="A62" s="2">
        <v>1190</v>
      </c>
      <c r="B62" s="4">
        <v>5950.9490945999996</v>
      </c>
      <c r="C62">
        <f t="shared" si="0"/>
        <v>2.7459024904643342E-3</v>
      </c>
    </row>
    <row r="63" spans="1:3" x14ac:dyDescent="0.2">
      <c r="A63" s="2">
        <v>1244</v>
      </c>
      <c r="B63" s="4">
        <v>6050.8005989000003</v>
      </c>
      <c r="C63">
        <f t="shared" si="0"/>
        <v>2.8705064690232201E-3</v>
      </c>
    </row>
    <row r="64" spans="1:3" x14ac:dyDescent="0.2">
      <c r="A64" s="2">
        <v>1194</v>
      </c>
      <c r="B64" s="4">
        <v>6151.0076786</v>
      </c>
      <c r="C64">
        <f t="shared" si="0"/>
        <v>2.7551324148020295E-3</v>
      </c>
    </row>
    <row r="65" spans="1:3" x14ac:dyDescent="0.2">
      <c r="A65" s="2">
        <v>1129</v>
      </c>
      <c r="B65" s="4">
        <v>6249.9791716</v>
      </c>
      <c r="C65">
        <f t="shared" si="0"/>
        <v>2.6051461443144818E-3</v>
      </c>
    </row>
    <row r="66" spans="1:3" x14ac:dyDescent="0.2">
      <c r="A66" s="2">
        <v>1189</v>
      </c>
      <c r="B66" s="4">
        <v>6350.4031514999997</v>
      </c>
      <c r="C66">
        <f t="shared" si="0"/>
        <v>2.7435950093799106E-3</v>
      </c>
    </row>
    <row r="67" spans="1:3" x14ac:dyDescent="0.2">
      <c r="A67" s="2">
        <v>1114</v>
      </c>
      <c r="B67" s="4">
        <v>6450.0282871999998</v>
      </c>
      <c r="C67">
        <f t="shared" ref="C67:C85" si="1">A67/SUM($A$2:$A$85)</f>
        <v>2.5705339280481247E-3</v>
      </c>
    </row>
    <row r="68" spans="1:3" x14ac:dyDescent="0.2">
      <c r="A68" s="2">
        <v>9568</v>
      </c>
      <c r="B68" s="4">
        <v>6976.3724479000002</v>
      </c>
      <c r="C68">
        <f t="shared" si="1"/>
        <v>2.2077979015767017E-2</v>
      </c>
    </row>
    <row r="69" spans="1:3" x14ac:dyDescent="0.2">
      <c r="A69" s="2">
        <v>16647</v>
      </c>
      <c r="B69" s="4">
        <v>8640.7759650000007</v>
      </c>
      <c r="C69">
        <f t="shared" si="1"/>
        <v>3.8412637612403169E-2</v>
      </c>
    </row>
    <row r="70" spans="1:3" x14ac:dyDescent="0.2">
      <c r="A70" s="2">
        <v>18620</v>
      </c>
      <c r="B70" s="4">
        <v>12222.952622000001</v>
      </c>
      <c r="C70">
        <f t="shared" si="1"/>
        <v>4.2965297791971349E-2</v>
      </c>
    </row>
    <row r="71" spans="1:3" x14ac:dyDescent="0.2">
      <c r="A71" s="2">
        <v>9957</v>
      </c>
      <c r="B71" s="4">
        <v>17241.654481000001</v>
      </c>
      <c r="C71">
        <f t="shared" si="1"/>
        <v>2.2975589157607879E-2</v>
      </c>
    </row>
    <row r="72" spans="1:3" x14ac:dyDescent="0.2">
      <c r="A72" s="2">
        <v>5754</v>
      </c>
      <c r="B72" s="4">
        <v>22286.390788000001</v>
      </c>
      <c r="C72">
        <f t="shared" si="1"/>
        <v>1.3277246159774604E-2</v>
      </c>
    </row>
    <row r="73" spans="1:3" x14ac:dyDescent="0.2">
      <c r="A73" s="2">
        <v>3620</v>
      </c>
      <c r="B73" s="4">
        <v>27325.495792999998</v>
      </c>
      <c r="C73">
        <f t="shared" si="1"/>
        <v>8.3530815256141946E-3</v>
      </c>
    </row>
    <row r="74" spans="1:3" x14ac:dyDescent="0.2">
      <c r="A74" s="2">
        <v>2498</v>
      </c>
      <c r="B74" s="4">
        <v>32372.598871999999</v>
      </c>
      <c r="C74">
        <f t="shared" si="1"/>
        <v>5.7640877488906788E-3</v>
      </c>
    </row>
    <row r="75" spans="1:3" x14ac:dyDescent="0.2">
      <c r="A75" s="2">
        <v>1748</v>
      </c>
      <c r="B75" s="4">
        <v>37389.659845000002</v>
      </c>
      <c r="C75">
        <f t="shared" si="1"/>
        <v>4.0334769355728209E-3</v>
      </c>
    </row>
    <row r="76" spans="1:3" x14ac:dyDescent="0.2">
      <c r="A76" s="2">
        <v>1344</v>
      </c>
      <c r="B76" s="4">
        <v>42448.412929999999</v>
      </c>
      <c r="C76">
        <f t="shared" si="1"/>
        <v>3.1012545774656013E-3</v>
      </c>
    </row>
    <row r="77" spans="1:3" x14ac:dyDescent="0.2">
      <c r="A77" s="2">
        <v>1089</v>
      </c>
      <c r="B77" s="4">
        <v>47395.202388999998</v>
      </c>
      <c r="C77">
        <f t="shared" si="1"/>
        <v>2.5128469009375294E-3</v>
      </c>
    </row>
    <row r="78" spans="1:3" x14ac:dyDescent="0.2">
      <c r="A78" s="2">
        <v>4262</v>
      </c>
      <c r="B78" s="4">
        <v>67427.634216000006</v>
      </c>
      <c r="C78">
        <f t="shared" si="1"/>
        <v>9.8344843818142808E-3</v>
      </c>
    </row>
    <row r="79" spans="1:3" x14ac:dyDescent="0.2">
      <c r="A79" s="2">
        <v>1459</v>
      </c>
      <c r="B79" s="4">
        <v>135619.77780000001</v>
      </c>
      <c r="C79">
        <f t="shared" si="1"/>
        <v>3.3666149021743396E-3</v>
      </c>
    </row>
    <row r="80" spans="1:3" x14ac:dyDescent="0.2">
      <c r="A80" s="2">
        <v>320</v>
      </c>
      <c r="B80" s="4">
        <v>241382.6819</v>
      </c>
      <c r="C80">
        <f t="shared" si="1"/>
        <v>7.383939470156193E-4</v>
      </c>
    </row>
    <row r="81" spans="1:3" x14ac:dyDescent="0.2">
      <c r="A81" s="2">
        <v>115</v>
      </c>
      <c r="B81" s="4">
        <v>343073.24959000002</v>
      </c>
      <c r="C81">
        <f t="shared" si="1"/>
        <v>2.6536032470873822E-4</v>
      </c>
    </row>
    <row r="82" spans="1:3" x14ac:dyDescent="0.2">
      <c r="A82" s="2">
        <v>49</v>
      </c>
      <c r="B82" s="4">
        <v>444733.24984</v>
      </c>
      <c r="C82">
        <f t="shared" si="1"/>
        <v>1.1306657313676672E-4</v>
      </c>
    </row>
    <row r="83" spans="1:3" x14ac:dyDescent="0.2">
      <c r="A83" s="2">
        <v>76</v>
      </c>
      <c r="B83" s="4">
        <v>668431.99795999995</v>
      </c>
      <c r="C83">
        <f t="shared" si="1"/>
        <v>1.753685624162096E-4</v>
      </c>
    </row>
    <row r="84" spans="1:3" x14ac:dyDescent="0.2">
      <c r="A84" s="2">
        <v>15</v>
      </c>
      <c r="B84" s="4">
        <v>1351186.1129000001</v>
      </c>
      <c r="C84">
        <f t="shared" si="1"/>
        <v>3.4612216266357158E-5</v>
      </c>
    </row>
    <row r="85" spans="1:3" x14ac:dyDescent="0.2">
      <c r="A85" s="3">
        <v>3</v>
      </c>
      <c r="B85" s="5">
        <v>2759955.0177000002</v>
      </c>
      <c r="C85">
        <f t="shared" si="1"/>
        <v>6.9224432532714309E-6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/>
  <dimension ref="A2:C85"/>
  <sheetViews>
    <sheetView workbookViewId="0">
      <selection activeCell="D84" sqref="D84"/>
    </sheetView>
  </sheetViews>
  <sheetFormatPr baseColWidth="10" defaultColWidth="8.83203125" defaultRowHeight="15" x14ac:dyDescent="0.2"/>
  <cols>
    <col min="1" max="1" width="12.5" style="1" customWidth="1"/>
    <col min="2" max="2" width="15.1640625" style="1" customWidth="1"/>
  </cols>
  <sheetData>
    <row r="2" spans="1:3" x14ac:dyDescent="0.2">
      <c r="A2" s="2">
        <v>56109</v>
      </c>
      <c r="B2" s="4">
        <v>0</v>
      </c>
      <c r="C2">
        <f>A2/SUM($A$2:$A$85)</f>
        <v>0.15747596140352846</v>
      </c>
    </row>
    <row r="3" spans="1:3" x14ac:dyDescent="0.2">
      <c r="A3" s="2">
        <v>13488</v>
      </c>
      <c r="B3" s="4">
        <v>48.124674517000003</v>
      </c>
      <c r="C3">
        <f>A3/SUM($A$2:$A$85)</f>
        <v>3.7855527052893335E-2</v>
      </c>
    </row>
    <row r="4" spans="1:3" x14ac:dyDescent="0.2">
      <c r="A4" s="2">
        <v>17581</v>
      </c>
      <c r="B4" s="4">
        <v>151.66748422000001</v>
      </c>
      <c r="C4">
        <f t="shared" ref="C4:C66" si="0">A4/SUM($A$2:$A$85)</f>
        <v>4.9342973095856883E-2</v>
      </c>
    </row>
    <row r="5" spans="1:3" x14ac:dyDescent="0.2">
      <c r="A5" s="2">
        <v>16515</v>
      </c>
      <c r="B5" s="4">
        <v>248.57160586000001</v>
      </c>
      <c r="C5">
        <f t="shared" si="0"/>
        <v>4.6351129098349153E-2</v>
      </c>
    </row>
    <row r="6" spans="1:3" x14ac:dyDescent="0.2">
      <c r="A6" s="2">
        <v>14465</v>
      </c>
      <c r="B6" s="4">
        <v>348.91788566000002</v>
      </c>
      <c r="C6">
        <f t="shared" si="0"/>
        <v>4.0597582949295823E-2</v>
      </c>
    </row>
    <row r="7" spans="1:3" x14ac:dyDescent="0.2">
      <c r="A7" s="2">
        <v>12864</v>
      </c>
      <c r="B7" s="4">
        <v>449.16747269000001</v>
      </c>
      <c r="C7">
        <f t="shared" si="0"/>
        <v>3.6104203737279052E-2</v>
      </c>
    </row>
    <row r="8" spans="1:3" x14ac:dyDescent="0.2">
      <c r="A8" s="2">
        <v>11436</v>
      </c>
      <c r="B8" s="4">
        <v>549.05989440999997</v>
      </c>
      <c r="C8">
        <f t="shared" si="0"/>
        <v>3.2096367688084826E-2</v>
      </c>
    </row>
    <row r="9" spans="1:3" x14ac:dyDescent="0.2">
      <c r="A9" s="2">
        <v>10417</v>
      </c>
      <c r="B9" s="4">
        <v>649.22110848</v>
      </c>
      <c r="C9">
        <f t="shared" si="0"/>
        <v>2.9236434260823684E-2</v>
      </c>
    </row>
    <row r="10" spans="1:3" x14ac:dyDescent="0.2">
      <c r="A10" s="2">
        <v>9453</v>
      </c>
      <c r="B10" s="4">
        <v>748.62744021000003</v>
      </c>
      <c r="C10">
        <f t="shared" si="0"/>
        <v>2.6530864266829823E-2</v>
      </c>
    </row>
    <row r="11" spans="1:3" x14ac:dyDescent="0.2">
      <c r="A11" s="2">
        <v>8464</v>
      </c>
      <c r="B11" s="4">
        <v>848.66474832999995</v>
      </c>
      <c r="C11">
        <f t="shared" si="0"/>
        <v>2.3755129075896289E-2</v>
      </c>
    </row>
    <row r="12" spans="1:3" x14ac:dyDescent="0.2">
      <c r="A12" s="2">
        <v>7844</v>
      </c>
      <c r="B12" s="4">
        <v>949.80544294000003</v>
      </c>
      <c r="C12">
        <f t="shared" si="0"/>
        <v>2.2015032191792357E-2</v>
      </c>
    </row>
    <row r="13" spans="1:3" x14ac:dyDescent="0.2">
      <c r="A13" s="2">
        <v>7084</v>
      </c>
      <c r="B13" s="4">
        <v>1049.1212513999999</v>
      </c>
      <c r="C13">
        <f t="shared" si="0"/>
        <v>1.9882010204826241E-2</v>
      </c>
    </row>
    <row r="14" spans="1:3" x14ac:dyDescent="0.2">
      <c r="A14" s="2">
        <v>6572</v>
      </c>
      <c r="B14" s="4">
        <v>1149.7510745</v>
      </c>
      <c r="C14">
        <f t="shared" si="0"/>
        <v>1.8445026971501705E-2</v>
      </c>
    </row>
    <row r="15" spans="1:3" x14ac:dyDescent="0.2">
      <c r="A15" s="2">
        <v>6165</v>
      </c>
      <c r="B15" s="4">
        <v>1249.9136281999999</v>
      </c>
      <c r="C15">
        <f t="shared" si="0"/>
        <v>1.7302737565323797E-2</v>
      </c>
    </row>
    <row r="16" spans="1:3" x14ac:dyDescent="0.2">
      <c r="A16" s="2">
        <v>5614</v>
      </c>
      <c r="B16" s="4">
        <v>1349.2716677000001</v>
      </c>
      <c r="C16">
        <f t="shared" si="0"/>
        <v>1.5756296624773368E-2</v>
      </c>
    </row>
    <row r="17" spans="1:3" x14ac:dyDescent="0.2">
      <c r="A17" s="2">
        <v>5085</v>
      </c>
      <c r="B17" s="4">
        <v>1449.1222981999999</v>
      </c>
      <c r="C17">
        <f t="shared" si="0"/>
        <v>1.4271601057529849E-2</v>
      </c>
    </row>
    <row r="18" spans="1:3" x14ac:dyDescent="0.2">
      <c r="A18" s="2">
        <v>4884</v>
      </c>
      <c r="B18" s="4">
        <v>1549.7320672000001</v>
      </c>
      <c r="C18">
        <f t="shared" si="0"/>
        <v>1.3707472874134864E-2</v>
      </c>
    </row>
    <row r="19" spans="1:3" x14ac:dyDescent="0.2">
      <c r="A19" s="2">
        <v>4571</v>
      </c>
      <c r="B19" s="4">
        <v>1649.1714399</v>
      </c>
      <c r="C19">
        <f t="shared" si="0"/>
        <v>1.2829004608450136E-2</v>
      </c>
    </row>
    <row r="20" spans="1:3" x14ac:dyDescent="0.2">
      <c r="A20" s="2">
        <v>4256</v>
      </c>
      <c r="B20" s="4">
        <v>1750.1581077999999</v>
      </c>
      <c r="C20">
        <f t="shared" si="0"/>
        <v>1.1944923127010234E-2</v>
      </c>
    </row>
    <row r="21" spans="1:3" x14ac:dyDescent="0.2">
      <c r="A21" s="2">
        <v>4049</v>
      </c>
      <c r="B21" s="4">
        <v>1849.2602664999999</v>
      </c>
      <c r="C21">
        <f t="shared" si="0"/>
        <v>1.1363955296349726E-2</v>
      </c>
    </row>
    <row r="22" spans="1:3" x14ac:dyDescent="0.2">
      <c r="A22" s="2">
        <v>3812</v>
      </c>
      <c r="B22" s="4">
        <v>1949.1799559999999</v>
      </c>
      <c r="C22">
        <f t="shared" si="0"/>
        <v>1.069878922936161E-2</v>
      </c>
    </row>
    <row r="23" spans="1:3" x14ac:dyDescent="0.2">
      <c r="A23" s="2">
        <v>3598</v>
      </c>
      <c r="B23" s="4">
        <v>2050.2726244999999</v>
      </c>
      <c r="C23">
        <f t="shared" si="0"/>
        <v>1.0098175143557993E-2</v>
      </c>
    </row>
    <row r="24" spans="1:3" x14ac:dyDescent="0.2">
      <c r="A24" s="2">
        <v>3414</v>
      </c>
      <c r="B24" s="4">
        <v>2149.8219782000001</v>
      </c>
      <c r="C24">
        <f t="shared" si="0"/>
        <v>9.5817592940819866E-3</v>
      </c>
    </row>
    <row r="25" spans="1:3" x14ac:dyDescent="0.2">
      <c r="A25" s="2">
        <v>3178</v>
      </c>
      <c r="B25" s="4">
        <v>2249.3412239999998</v>
      </c>
      <c r="C25">
        <f t="shared" si="0"/>
        <v>8.9193998349714563E-3</v>
      </c>
    </row>
    <row r="26" spans="1:3" x14ac:dyDescent="0.2">
      <c r="A26" s="2">
        <v>3050</v>
      </c>
      <c r="B26" s="4">
        <v>2351.1537398</v>
      </c>
      <c r="C26">
        <f t="shared" si="0"/>
        <v>8.5601540266403223E-3</v>
      </c>
    </row>
    <row r="27" spans="1:3" x14ac:dyDescent="0.2">
      <c r="A27" s="2">
        <v>2830</v>
      </c>
      <c r="B27" s="4">
        <v>2449.3045836000001</v>
      </c>
      <c r="C27">
        <f t="shared" si="0"/>
        <v>7.9427002935711834E-3</v>
      </c>
    </row>
    <row r="28" spans="1:3" x14ac:dyDescent="0.2">
      <c r="A28" s="2">
        <v>2685</v>
      </c>
      <c r="B28" s="4">
        <v>2549.3462218</v>
      </c>
      <c r="C28">
        <f t="shared" si="0"/>
        <v>7.53574215132107E-3</v>
      </c>
    </row>
    <row r="29" spans="1:3" x14ac:dyDescent="0.2">
      <c r="A29" s="2">
        <v>2584</v>
      </c>
      <c r="B29" s="4">
        <v>2648.8978960999998</v>
      </c>
      <c r="C29">
        <f t="shared" si="0"/>
        <v>7.2522747556847842E-3</v>
      </c>
    </row>
    <row r="30" spans="1:3" x14ac:dyDescent="0.2">
      <c r="A30" s="2">
        <v>2500</v>
      </c>
      <c r="B30" s="4">
        <v>2748.8338594000002</v>
      </c>
      <c r="C30">
        <f t="shared" si="0"/>
        <v>7.0165196939674769E-3</v>
      </c>
    </row>
    <row r="31" spans="1:3" x14ac:dyDescent="0.2">
      <c r="A31" s="2">
        <v>2375</v>
      </c>
      <c r="B31" s="4">
        <v>2849.8492124999998</v>
      </c>
      <c r="C31">
        <f t="shared" si="0"/>
        <v>6.665693709269103E-3</v>
      </c>
    </row>
    <row r="32" spans="1:3" x14ac:dyDescent="0.2">
      <c r="A32" s="2">
        <v>2311</v>
      </c>
      <c r="B32" s="4">
        <v>2949.4399377999998</v>
      </c>
      <c r="C32">
        <f t="shared" si="0"/>
        <v>6.486070805103536E-3</v>
      </c>
    </row>
    <row r="33" spans="1:3" x14ac:dyDescent="0.2">
      <c r="A33" s="2">
        <v>2111</v>
      </c>
      <c r="B33" s="4">
        <v>3049.4674565</v>
      </c>
      <c r="C33">
        <f t="shared" si="0"/>
        <v>5.9247492295861374E-3</v>
      </c>
    </row>
    <row r="34" spans="1:3" x14ac:dyDescent="0.2">
      <c r="A34" s="2">
        <v>2069</v>
      </c>
      <c r="B34" s="4">
        <v>3150.7328518999998</v>
      </c>
      <c r="C34">
        <f t="shared" si="0"/>
        <v>5.8068716987274838E-3</v>
      </c>
    </row>
    <row r="35" spans="1:3" x14ac:dyDescent="0.2">
      <c r="A35" s="2">
        <v>2023</v>
      </c>
      <c r="B35" s="4">
        <v>3249.9592287999999</v>
      </c>
      <c r="C35">
        <f t="shared" si="0"/>
        <v>5.6777677363584822E-3</v>
      </c>
    </row>
    <row r="36" spans="1:3" x14ac:dyDescent="0.2">
      <c r="A36" s="2">
        <v>1894</v>
      </c>
      <c r="B36" s="4">
        <v>3351.3813180000002</v>
      </c>
      <c r="C36">
        <f t="shared" si="0"/>
        <v>5.3157153201497604E-3</v>
      </c>
    </row>
    <row r="37" spans="1:3" x14ac:dyDescent="0.2">
      <c r="A37" s="2">
        <v>1765</v>
      </c>
      <c r="B37" s="4">
        <v>3450.8216425999999</v>
      </c>
      <c r="C37">
        <f t="shared" si="0"/>
        <v>4.9536629039410385E-3</v>
      </c>
    </row>
    <row r="38" spans="1:3" x14ac:dyDescent="0.2">
      <c r="A38" s="2">
        <v>1716</v>
      </c>
      <c r="B38" s="4">
        <v>3549.7987773999998</v>
      </c>
      <c r="C38">
        <f t="shared" si="0"/>
        <v>4.8161391179392761E-3</v>
      </c>
    </row>
    <row r="39" spans="1:3" x14ac:dyDescent="0.2">
      <c r="A39" s="2">
        <v>1756</v>
      </c>
      <c r="B39" s="4">
        <v>3649.8917603999998</v>
      </c>
      <c r="C39">
        <f t="shared" si="0"/>
        <v>4.9284034330427558E-3</v>
      </c>
    </row>
    <row r="40" spans="1:3" x14ac:dyDescent="0.2">
      <c r="A40" s="2">
        <v>1583</v>
      </c>
      <c r="B40" s="4">
        <v>3750.4634409</v>
      </c>
      <c r="C40">
        <f t="shared" si="0"/>
        <v>4.4428602702202063E-3</v>
      </c>
    </row>
    <row r="41" spans="1:3" x14ac:dyDescent="0.2">
      <c r="A41" s="2">
        <v>1597</v>
      </c>
      <c r="B41" s="4">
        <v>3850.9541377999999</v>
      </c>
      <c r="C41">
        <f t="shared" si="0"/>
        <v>4.4821527805064239E-3</v>
      </c>
    </row>
    <row r="42" spans="1:3" x14ac:dyDescent="0.2">
      <c r="A42" s="2">
        <v>1441</v>
      </c>
      <c r="B42" s="4">
        <v>3950.1041420000001</v>
      </c>
      <c r="C42">
        <f t="shared" si="0"/>
        <v>4.0443219516028538E-3</v>
      </c>
    </row>
    <row r="43" spans="1:3" x14ac:dyDescent="0.2">
      <c r="A43" s="2">
        <v>1505</v>
      </c>
      <c r="B43" s="4">
        <v>4049.8321882999999</v>
      </c>
      <c r="C43">
        <f t="shared" si="0"/>
        <v>4.2239448557684208E-3</v>
      </c>
    </row>
    <row r="44" spans="1:3" x14ac:dyDescent="0.2">
      <c r="A44" s="2">
        <v>1391</v>
      </c>
      <c r="B44" s="4">
        <v>4149.5939802000003</v>
      </c>
      <c r="C44">
        <f t="shared" si="0"/>
        <v>3.9039915577235044E-3</v>
      </c>
    </row>
    <row r="45" spans="1:3" x14ac:dyDescent="0.2">
      <c r="A45" s="2">
        <v>1288</v>
      </c>
      <c r="B45" s="4">
        <v>4249.8399978999996</v>
      </c>
      <c r="C45">
        <f t="shared" si="0"/>
        <v>3.6149109463320442E-3</v>
      </c>
    </row>
    <row r="46" spans="1:3" x14ac:dyDescent="0.2">
      <c r="A46" s="2">
        <v>1331</v>
      </c>
      <c r="B46" s="4">
        <v>4348.9012500999997</v>
      </c>
      <c r="C46">
        <f t="shared" si="0"/>
        <v>3.7355950850682849E-3</v>
      </c>
    </row>
    <row r="47" spans="1:3" x14ac:dyDescent="0.2">
      <c r="A47" s="2">
        <v>1244</v>
      </c>
      <c r="B47" s="4">
        <v>4450.6624996999999</v>
      </c>
      <c r="C47">
        <f t="shared" si="0"/>
        <v>3.4914201997182166E-3</v>
      </c>
    </row>
    <row r="48" spans="1:3" x14ac:dyDescent="0.2">
      <c r="A48" s="2">
        <v>1203</v>
      </c>
      <c r="B48" s="4">
        <v>4549.8322399999997</v>
      </c>
      <c r="C48">
        <f t="shared" si="0"/>
        <v>3.37634927673715E-3</v>
      </c>
    </row>
    <row r="49" spans="1:3" x14ac:dyDescent="0.2">
      <c r="A49" s="2">
        <v>1204</v>
      </c>
      <c r="B49" s="4">
        <v>4650.2216734000003</v>
      </c>
      <c r="C49">
        <f t="shared" si="0"/>
        <v>3.3791558846147369E-3</v>
      </c>
    </row>
    <row r="50" spans="1:3" x14ac:dyDescent="0.2">
      <c r="A50" s="2">
        <v>1138</v>
      </c>
      <c r="B50" s="4">
        <v>4750.8114686999998</v>
      </c>
      <c r="C50">
        <f t="shared" si="0"/>
        <v>3.1939197646939955E-3</v>
      </c>
    </row>
    <row r="51" spans="1:3" x14ac:dyDescent="0.2">
      <c r="A51" s="2">
        <v>1086</v>
      </c>
      <c r="B51" s="4">
        <v>4850.3349803000001</v>
      </c>
      <c r="C51">
        <f t="shared" si="0"/>
        <v>3.0479761550594722E-3</v>
      </c>
    </row>
    <row r="52" spans="1:3" x14ac:dyDescent="0.2">
      <c r="A52" s="2">
        <v>1113</v>
      </c>
      <c r="B52" s="4">
        <v>4948.9812167</v>
      </c>
      <c r="C52">
        <f t="shared" si="0"/>
        <v>3.1237545677543208E-3</v>
      </c>
    </row>
    <row r="53" spans="1:3" x14ac:dyDescent="0.2">
      <c r="A53" s="2">
        <v>1015</v>
      </c>
      <c r="B53" s="4">
        <v>5050.2316661000004</v>
      </c>
      <c r="C53">
        <f t="shared" si="0"/>
        <v>2.8487069957507955E-3</v>
      </c>
    </row>
    <row r="54" spans="1:3" x14ac:dyDescent="0.2">
      <c r="A54" s="2">
        <v>1000</v>
      </c>
      <c r="B54" s="4">
        <v>5150.0295051000003</v>
      </c>
      <c r="C54">
        <f t="shared" si="0"/>
        <v>2.8066078775869909E-3</v>
      </c>
    </row>
    <row r="55" spans="1:3" x14ac:dyDescent="0.2">
      <c r="A55" s="2">
        <v>959</v>
      </c>
      <c r="B55" s="4">
        <v>5249.4066450999999</v>
      </c>
      <c r="C55">
        <f t="shared" si="0"/>
        <v>2.6915369546059243E-3</v>
      </c>
    </row>
    <row r="56" spans="1:3" x14ac:dyDescent="0.2">
      <c r="A56" s="2">
        <v>958</v>
      </c>
      <c r="B56" s="4">
        <v>5349.2038549999997</v>
      </c>
      <c r="C56">
        <f t="shared" si="0"/>
        <v>2.6887303467283373E-3</v>
      </c>
    </row>
    <row r="57" spans="1:3" x14ac:dyDescent="0.2">
      <c r="A57" s="2">
        <v>912</v>
      </c>
      <c r="B57" s="4">
        <v>5448.9789754000003</v>
      </c>
      <c r="C57">
        <f t="shared" si="0"/>
        <v>2.5596263843593358E-3</v>
      </c>
    </row>
    <row r="58" spans="1:3" x14ac:dyDescent="0.2">
      <c r="A58" s="2">
        <v>898</v>
      </c>
      <c r="B58" s="4">
        <v>5550.8726180000003</v>
      </c>
      <c r="C58">
        <f t="shared" si="0"/>
        <v>2.5203338740731177E-3</v>
      </c>
    </row>
    <row r="59" spans="1:3" x14ac:dyDescent="0.2">
      <c r="A59" s="2">
        <v>848</v>
      </c>
      <c r="B59" s="4">
        <v>5649.9284704000002</v>
      </c>
      <c r="C59">
        <f t="shared" si="0"/>
        <v>2.3800034801937683E-3</v>
      </c>
    </row>
    <row r="60" spans="1:3" x14ac:dyDescent="0.2">
      <c r="A60" s="2">
        <v>917</v>
      </c>
      <c r="B60" s="4">
        <v>5751.4176117999996</v>
      </c>
      <c r="C60">
        <f t="shared" si="0"/>
        <v>2.5736594237472706E-3</v>
      </c>
    </row>
    <row r="61" spans="1:3" x14ac:dyDescent="0.2">
      <c r="A61" s="2">
        <v>851</v>
      </c>
      <c r="B61" s="4">
        <v>5852.0820199999998</v>
      </c>
      <c r="C61">
        <f t="shared" si="0"/>
        <v>2.3884233038265292E-3</v>
      </c>
    </row>
    <row r="62" spans="1:3" x14ac:dyDescent="0.2">
      <c r="A62" s="2">
        <v>797</v>
      </c>
      <c r="B62" s="4">
        <v>5950.5354557999999</v>
      </c>
      <c r="C62">
        <f t="shared" si="0"/>
        <v>2.2368664784368315E-3</v>
      </c>
    </row>
    <row r="63" spans="1:3" x14ac:dyDescent="0.2">
      <c r="A63" s="2">
        <v>796</v>
      </c>
      <c r="B63" s="4">
        <v>6049.4730186999996</v>
      </c>
      <c r="C63">
        <f t="shared" si="0"/>
        <v>2.2340598705592445E-3</v>
      </c>
    </row>
    <row r="64" spans="1:3" x14ac:dyDescent="0.2">
      <c r="A64" s="2">
        <v>754</v>
      </c>
      <c r="B64" s="4">
        <v>6148.2151744000003</v>
      </c>
      <c r="C64">
        <f t="shared" si="0"/>
        <v>2.1161823397005909E-3</v>
      </c>
    </row>
    <row r="65" spans="1:3" x14ac:dyDescent="0.2">
      <c r="A65" s="2">
        <v>741</v>
      </c>
      <c r="B65" s="4">
        <v>6250.7662974000004</v>
      </c>
      <c r="C65">
        <f t="shared" si="0"/>
        <v>2.0796964372919603E-3</v>
      </c>
    </row>
    <row r="66" spans="1:3" x14ac:dyDescent="0.2">
      <c r="A66" s="2">
        <v>740</v>
      </c>
      <c r="B66" s="4">
        <v>6350.5168708000001</v>
      </c>
      <c r="C66">
        <f t="shared" si="0"/>
        <v>2.0768898294143733E-3</v>
      </c>
    </row>
    <row r="67" spans="1:3" x14ac:dyDescent="0.2">
      <c r="A67" s="2">
        <v>719</v>
      </c>
      <c r="B67" s="4">
        <v>6451.0197909999997</v>
      </c>
      <c r="C67">
        <f t="shared" ref="C67:C85" si="1">A67/SUM($A$2:$A$85)</f>
        <v>2.0179510639850465E-3</v>
      </c>
    </row>
    <row r="68" spans="1:3" x14ac:dyDescent="0.2">
      <c r="A68" s="2">
        <v>6352</v>
      </c>
      <c r="B68" s="4">
        <v>6982.5665533000001</v>
      </c>
      <c r="C68">
        <f t="shared" si="1"/>
        <v>1.7827573238432565E-2</v>
      </c>
    </row>
    <row r="69" spans="1:3" x14ac:dyDescent="0.2">
      <c r="A69" s="2">
        <v>11257</v>
      </c>
      <c r="B69" s="4">
        <v>8660.5293345999999</v>
      </c>
      <c r="C69">
        <f t="shared" si="1"/>
        <v>3.1593984877996757E-2</v>
      </c>
    </row>
    <row r="70" spans="1:3" x14ac:dyDescent="0.2">
      <c r="A70" s="2">
        <v>13071</v>
      </c>
      <c r="B70" s="4">
        <v>12240.307278</v>
      </c>
      <c r="C70">
        <f t="shared" si="1"/>
        <v>3.6685171567939559E-2</v>
      </c>
    </row>
    <row r="71" spans="1:3" x14ac:dyDescent="0.2">
      <c r="A71" s="2">
        <v>7114</v>
      </c>
      <c r="B71" s="4">
        <v>17274.568265000002</v>
      </c>
      <c r="C71">
        <f t="shared" si="1"/>
        <v>1.9966208441153852E-2</v>
      </c>
    </row>
    <row r="72" spans="1:3" x14ac:dyDescent="0.2">
      <c r="A72" s="2">
        <v>4313</v>
      </c>
      <c r="B72" s="4">
        <v>22299.277086999999</v>
      </c>
      <c r="C72">
        <f t="shared" si="1"/>
        <v>1.2104899776032692E-2</v>
      </c>
    </row>
    <row r="73" spans="1:3" x14ac:dyDescent="0.2">
      <c r="A73" s="2">
        <v>2692</v>
      </c>
      <c r="B73" s="4">
        <v>27313.066568999999</v>
      </c>
      <c r="C73">
        <f t="shared" si="1"/>
        <v>7.5553884064641788E-3</v>
      </c>
    </row>
    <row r="74" spans="1:3" x14ac:dyDescent="0.2">
      <c r="A74" s="2">
        <v>1825</v>
      </c>
      <c r="B74" s="4">
        <v>32337.410104999999</v>
      </c>
      <c r="C74">
        <f t="shared" si="1"/>
        <v>5.1220593765962585E-3</v>
      </c>
    </row>
    <row r="75" spans="1:3" x14ac:dyDescent="0.2">
      <c r="A75" s="2">
        <v>1281</v>
      </c>
      <c r="B75" s="4">
        <v>37357.561143999999</v>
      </c>
      <c r="C75">
        <f t="shared" si="1"/>
        <v>3.5952646911889354E-3</v>
      </c>
    </row>
    <row r="76" spans="1:3" x14ac:dyDescent="0.2">
      <c r="A76" s="2">
        <v>655</v>
      </c>
      <c r="B76" s="4">
        <v>41546.011773999999</v>
      </c>
      <c r="C76">
        <f t="shared" si="1"/>
        <v>1.838328159819479E-3</v>
      </c>
    </row>
    <row r="77" spans="1:3" x14ac:dyDescent="0.2">
      <c r="A77" s="2">
        <v>758</v>
      </c>
      <c r="B77" s="4">
        <v>47395.202388999998</v>
      </c>
      <c r="C77">
        <f t="shared" si="1"/>
        <v>2.1274087712109392E-3</v>
      </c>
    </row>
    <row r="78" spans="1:3" x14ac:dyDescent="0.2">
      <c r="A78" s="2">
        <v>2962</v>
      </c>
      <c r="B78" s="4">
        <v>67427.634216000006</v>
      </c>
      <c r="C78">
        <f t="shared" si="1"/>
        <v>8.3131725334126671E-3</v>
      </c>
    </row>
    <row r="79" spans="1:3" x14ac:dyDescent="0.2">
      <c r="A79" s="2">
        <v>1004</v>
      </c>
      <c r="B79" s="4">
        <v>135619.77780000001</v>
      </c>
      <c r="C79">
        <f t="shared" si="1"/>
        <v>2.8178343090973388E-3</v>
      </c>
    </row>
    <row r="80" spans="1:3" x14ac:dyDescent="0.2">
      <c r="A80" s="2">
        <v>220</v>
      </c>
      <c r="B80" s="4">
        <v>241382.6819</v>
      </c>
      <c r="C80">
        <f t="shared" si="1"/>
        <v>6.1745373306913796E-4</v>
      </c>
    </row>
    <row r="81" spans="1:3" x14ac:dyDescent="0.2">
      <c r="A81" s="2">
        <v>81</v>
      </c>
      <c r="B81" s="4">
        <v>343073.24959000002</v>
      </c>
      <c r="C81">
        <f t="shared" si="1"/>
        <v>2.2733523808454625E-4</v>
      </c>
    </row>
    <row r="82" spans="1:3" x14ac:dyDescent="0.2">
      <c r="A82" s="2">
        <v>37</v>
      </c>
      <c r="B82" s="4">
        <v>444733.24984</v>
      </c>
      <c r="C82">
        <f t="shared" si="1"/>
        <v>1.0384449147071866E-4</v>
      </c>
    </row>
    <row r="83" spans="1:3" x14ac:dyDescent="0.2">
      <c r="A83" s="2">
        <v>52</v>
      </c>
      <c r="B83" s="4">
        <v>668431.99795999995</v>
      </c>
      <c r="C83">
        <f t="shared" si="1"/>
        <v>1.4594360963452352E-4</v>
      </c>
    </row>
    <row r="84" spans="1:3" x14ac:dyDescent="0.2">
      <c r="A84" s="2">
        <v>11</v>
      </c>
      <c r="B84" s="4">
        <v>1351186.1129000001</v>
      </c>
      <c r="C84">
        <f t="shared" si="1"/>
        <v>3.0872686653456898E-5</v>
      </c>
    </row>
    <row r="85" spans="1:3" x14ac:dyDescent="0.2">
      <c r="A85" s="3">
        <v>1</v>
      </c>
      <c r="B85" s="5">
        <v>2759955.0177000002</v>
      </c>
      <c r="C85">
        <f t="shared" si="1"/>
        <v>2.8066078775869909E-6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enableFormatConditionsCalculation="0"/>
  <dimension ref="A1:F85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6" x14ac:dyDescent="0.2">
      <c r="A1" t="s">
        <v>8</v>
      </c>
      <c r="B1" t="s">
        <v>0</v>
      </c>
      <c r="C1" t="s">
        <v>7</v>
      </c>
      <c r="D1" t="s">
        <v>0</v>
      </c>
      <c r="E1" t="s">
        <v>9</v>
      </c>
      <c r="F1" t="s">
        <v>0</v>
      </c>
    </row>
    <row r="2" spans="1:6" x14ac:dyDescent="0.2">
      <c r="A2">
        <v>0</v>
      </c>
      <c r="B2">
        <v>0.17092563211917877</v>
      </c>
      <c r="C2">
        <v>0</v>
      </c>
      <c r="D2">
        <v>0.19576592743396759</v>
      </c>
      <c r="E2">
        <v>0</v>
      </c>
      <c r="F2">
        <v>0.12319426983594894</v>
      </c>
    </row>
    <row r="3" spans="1:6" x14ac:dyDescent="0.2">
      <c r="A3">
        <v>50</v>
      </c>
      <c r="B3">
        <v>5.0435125827789307E-2</v>
      </c>
      <c r="C3">
        <v>50</v>
      </c>
      <c r="D3">
        <v>5.5512119084596634E-2</v>
      </c>
      <c r="E3">
        <v>50</v>
      </c>
      <c r="F3">
        <v>4.0679533034563065E-2</v>
      </c>
    </row>
    <row r="4" spans="1:6" x14ac:dyDescent="0.2">
      <c r="A4">
        <v>150</v>
      </c>
      <c r="B4">
        <v>6.4200952649116516E-2</v>
      </c>
      <c r="C4">
        <v>150</v>
      </c>
      <c r="D4">
        <v>7.3374629020690918E-2</v>
      </c>
      <c r="E4">
        <v>150</v>
      </c>
      <c r="F4">
        <v>4.6573441475629807E-2</v>
      </c>
    </row>
    <row r="5" spans="1:6" x14ac:dyDescent="0.2">
      <c r="A5">
        <v>250</v>
      </c>
      <c r="B5">
        <v>5.3045887500047684E-2</v>
      </c>
      <c r="C5">
        <v>250</v>
      </c>
      <c r="D5">
        <v>5.8218561112880707E-2</v>
      </c>
      <c r="E5">
        <v>250</v>
      </c>
      <c r="F5">
        <v>4.3106436729431152E-2</v>
      </c>
    </row>
    <row r="6" spans="1:6" x14ac:dyDescent="0.2">
      <c r="A6">
        <v>350</v>
      </c>
      <c r="B6">
        <v>4.4422470033168793E-2</v>
      </c>
      <c r="C6">
        <v>350</v>
      </c>
      <c r="D6">
        <v>4.7753654420375824E-2</v>
      </c>
      <c r="E6">
        <v>350</v>
      </c>
      <c r="F6">
        <v>3.8021493703126907E-2</v>
      </c>
    </row>
    <row r="7" spans="1:6" x14ac:dyDescent="0.2">
      <c r="A7">
        <v>450</v>
      </c>
      <c r="B7">
        <v>3.5719934850931168E-2</v>
      </c>
      <c r="C7">
        <v>450</v>
      </c>
      <c r="D7">
        <v>4.0235761553049088E-2</v>
      </c>
      <c r="E7">
        <v>450</v>
      </c>
      <c r="F7">
        <v>2.704264409840107E-2</v>
      </c>
    </row>
    <row r="8" spans="1:6" x14ac:dyDescent="0.2">
      <c r="A8">
        <v>550</v>
      </c>
      <c r="B8">
        <v>3.1012658029794693E-2</v>
      </c>
      <c r="C8">
        <v>550</v>
      </c>
      <c r="D8">
        <v>3.4341733902692795E-2</v>
      </c>
      <c r="E8">
        <v>550</v>
      </c>
      <c r="F8">
        <v>2.4615740403532982E-2</v>
      </c>
    </row>
    <row r="9" spans="1:6" x14ac:dyDescent="0.2">
      <c r="A9">
        <v>650</v>
      </c>
      <c r="B9">
        <v>2.8362341225147247E-2</v>
      </c>
      <c r="C9">
        <v>650</v>
      </c>
      <c r="D9">
        <v>2.9049137607216835E-2</v>
      </c>
      <c r="E9">
        <v>650</v>
      </c>
      <c r="F9">
        <v>2.704264409840107E-2</v>
      </c>
    </row>
    <row r="10" spans="1:6" x14ac:dyDescent="0.2">
      <c r="A10">
        <v>750</v>
      </c>
      <c r="B10">
        <v>2.3813290521502495E-2</v>
      </c>
      <c r="C10">
        <v>750</v>
      </c>
      <c r="D10">
        <v>2.6523124426603317E-2</v>
      </c>
      <c r="E10">
        <v>750</v>
      </c>
      <c r="F10">
        <v>1.8606264144182205E-2</v>
      </c>
    </row>
    <row r="11" spans="1:6" x14ac:dyDescent="0.2">
      <c r="A11">
        <v>850</v>
      </c>
      <c r="B11">
        <v>2.1795885637402534E-2</v>
      </c>
      <c r="C11">
        <v>850</v>
      </c>
      <c r="D11">
        <v>2.3034822195768356E-2</v>
      </c>
      <c r="E11">
        <v>850</v>
      </c>
      <c r="F11">
        <v>1.9415231421589851E-2</v>
      </c>
    </row>
    <row r="12" spans="1:6" x14ac:dyDescent="0.2">
      <c r="A12">
        <v>950</v>
      </c>
      <c r="B12">
        <v>2.1400315687060356E-2</v>
      </c>
      <c r="C12">
        <v>950</v>
      </c>
      <c r="D12">
        <v>2.291453629732132E-2</v>
      </c>
      <c r="E12">
        <v>950</v>
      </c>
      <c r="F12">
        <v>1.849069632589817E-2</v>
      </c>
    </row>
    <row r="13" spans="1:6" x14ac:dyDescent="0.2">
      <c r="A13">
        <v>1050</v>
      </c>
      <c r="B13">
        <v>1.8552215769886971E-2</v>
      </c>
      <c r="C13">
        <v>1050</v>
      </c>
      <c r="D13">
        <v>1.8403800204396248E-2</v>
      </c>
      <c r="E13">
        <v>1050</v>
      </c>
      <c r="F13">
        <v>1.8837397918105125E-2</v>
      </c>
    </row>
    <row r="14" spans="1:6" x14ac:dyDescent="0.2">
      <c r="A14">
        <v>1150</v>
      </c>
      <c r="B14">
        <v>1.7405062913894653E-2</v>
      </c>
      <c r="C14">
        <v>1150</v>
      </c>
      <c r="D14">
        <v>1.8524087965488434E-2</v>
      </c>
      <c r="E14">
        <v>1150</v>
      </c>
      <c r="F14">
        <v>1.5254825353622437E-2</v>
      </c>
    </row>
    <row r="15" spans="1:6" x14ac:dyDescent="0.2">
      <c r="A15">
        <v>1250</v>
      </c>
      <c r="B15">
        <v>1.6772150993347168E-2</v>
      </c>
      <c r="C15">
        <v>1250</v>
      </c>
      <c r="D15">
        <v>1.6659649088978767E-2</v>
      </c>
      <c r="E15">
        <v>1250</v>
      </c>
      <c r="F15">
        <v>1.6988327726721764E-2</v>
      </c>
    </row>
    <row r="16" spans="1:6" x14ac:dyDescent="0.2">
      <c r="A16">
        <v>1350</v>
      </c>
      <c r="B16">
        <v>1.5822784975171089E-2</v>
      </c>
      <c r="C16">
        <v>1350</v>
      </c>
      <c r="D16">
        <v>1.5577073208987713E-2</v>
      </c>
      <c r="E16">
        <v>1350</v>
      </c>
      <c r="F16">
        <v>1.6294926404953003E-2</v>
      </c>
    </row>
    <row r="17" spans="1:6" x14ac:dyDescent="0.2">
      <c r="A17">
        <v>1450</v>
      </c>
      <c r="B17">
        <v>1.3844937086105347E-2</v>
      </c>
      <c r="C17">
        <v>1450</v>
      </c>
      <c r="D17">
        <v>1.4133637771010399E-2</v>
      </c>
      <c r="E17">
        <v>1450</v>
      </c>
      <c r="F17">
        <v>1.3290188275277615E-2</v>
      </c>
    </row>
    <row r="18" spans="1:6" x14ac:dyDescent="0.2">
      <c r="A18">
        <v>1550</v>
      </c>
      <c r="B18">
        <v>1.2935126200318336E-2</v>
      </c>
      <c r="C18">
        <v>1550</v>
      </c>
      <c r="D18">
        <v>1.2269200757145882E-2</v>
      </c>
      <c r="E18">
        <v>1550</v>
      </c>
      <c r="F18">
        <v>1.4214723370969296E-2</v>
      </c>
    </row>
    <row r="19" spans="1:6" x14ac:dyDescent="0.2">
      <c r="A19">
        <v>1650</v>
      </c>
      <c r="B19">
        <v>1.2262658216059208E-2</v>
      </c>
      <c r="C19">
        <v>1650</v>
      </c>
      <c r="D19">
        <v>1.250977348536253E-2</v>
      </c>
      <c r="E19">
        <v>1650</v>
      </c>
      <c r="F19">
        <v>1.1787819676101208E-2</v>
      </c>
    </row>
    <row r="20" spans="1:6" x14ac:dyDescent="0.2">
      <c r="A20">
        <v>1750</v>
      </c>
      <c r="B20">
        <v>1.1906645260751247E-2</v>
      </c>
      <c r="C20">
        <v>1750</v>
      </c>
      <c r="D20">
        <v>1.1727912351489067E-2</v>
      </c>
      <c r="E20">
        <v>1750</v>
      </c>
      <c r="F20">
        <v>1.2250086292624474E-2</v>
      </c>
    </row>
    <row r="21" spans="1:6" x14ac:dyDescent="0.2">
      <c r="A21">
        <v>1850</v>
      </c>
      <c r="B21">
        <v>1.0640822350978851E-2</v>
      </c>
      <c r="C21">
        <v>1850</v>
      </c>
      <c r="D21">
        <v>9.5627596601843834E-3</v>
      </c>
      <c r="E21">
        <v>1850</v>
      </c>
      <c r="F21">
        <v>1.2712353840470314E-2</v>
      </c>
    </row>
    <row r="22" spans="1:6" x14ac:dyDescent="0.2">
      <c r="A22">
        <v>1950</v>
      </c>
      <c r="B22">
        <v>9.6123414114117622E-3</v>
      </c>
      <c r="C22">
        <v>1950</v>
      </c>
      <c r="D22">
        <v>9.7431885078549385E-3</v>
      </c>
      <c r="E22">
        <v>1950</v>
      </c>
      <c r="F22">
        <v>9.3609150499105453E-3</v>
      </c>
    </row>
    <row r="23" spans="1:6" x14ac:dyDescent="0.2">
      <c r="A23">
        <v>2050</v>
      </c>
      <c r="B23">
        <v>9.6518984064459801E-3</v>
      </c>
      <c r="C23">
        <v>2050</v>
      </c>
      <c r="D23">
        <v>9.9236182868480682E-3</v>
      </c>
      <c r="E23">
        <v>2050</v>
      </c>
      <c r="F23">
        <v>9.1297812759876251E-3</v>
      </c>
    </row>
    <row r="24" spans="1:6" x14ac:dyDescent="0.2">
      <c r="A24">
        <v>2150</v>
      </c>
      <c r="B24">
        <v>8.4651894867420197E-3</v>
      </c>
      <c r="C24">
        <v>2150</v>
      </c>
      <c r="D24">
        <v>7.999037392437458E-3</v>
      </c>
      <c r="E24">
        <v>2150</v>
      </c>
      <c r="F24">
        <v>9.3609150499105453E-3</v>
      </c>
    </row>
    <row r="25" spans="1:6" x14ac:dyDescent="0.2">
      <c r="A25">
        <v>2250</v>
      </c>
      <c r="B25">
        <v>8.2674054428935051E-3</v>
      </c>
      <c r="C25">
        <v>2250</v>
      </c>
      <c r="D25">
        <v>7.8787514939904213E-3</v>
      </c>
      <c r="E25">
        <v>2250</v>
      </c>
      <c r="F25">
        <v>9.014214389026165E-3</v>
      </c>
    </row>
    <row r="26" spans="1:6" x14ac:dyDescent="0.2">
      <c r="A26">
        <v>2350</v>
      </c>
      <c r="B26">
        <v>7.5949365273118019E-3</v>
      </c>
      <c r="C26">
        <v>2350</v>
      </c>
      <c r="D26">
        <v>7.3374630883336067E-3</v>
      </c>
      <c r="E26">
        <v>2350</v>
      </c>
      <c r="F26">
        <v>8.0896802246570587E-3</v>
      </c>
    </row>
    <row r="27" spans="1:6" x14ac:dyDescent="0.2">
      <c r="A27">
        <v>2450</v>
      </c>
      <c r="B27">
        <v>7.6740505173802376E-3</v>
      </c>
      <c r="C27">
        <v>2450</v>
      </c>
      <c r="D27">
        <v>8.1193242222070694E-3</v>
      </c>
      <c r="E27">
        <v>2450</v>
      </c>
      <c r="F27">
        <v>6.8184444680809975E-3</v>
      </c>
    </row>
    <row r="28" spans="1:6" x14ac:dyDescent="0.2">
      <c r="A28">
        <v>2550</v>
      </c>
      <c r="B28">
        <v>7.7136075124144554E-3</v>
      </c>
      <c r="C28">
        <v>2550</v>
      </c>
      <c r="D28">
        <v>7.3374630883336067E-3</v>
      </c>
      <c r="E28">
        <v>2550</v>
      </c>
      <c r="F28">
        <v>8.4363808855414391E-3</v>
      </c>
    </row>
    <row r="29" spans="1:6" x14ac:dyDescent="0.2">
      <c r="A29">
        <v>2650</v>
      </c>
      <c r="B29">
        <v>6.8829115480184555E-3</v>
      </c>
      <c r="C29">
        <v>2650</v>
      </c>
      <c r="D29">
        <v>6.1947433277964592E-3</v>
      </c>
      <c r="E29">
        <v>2650</v>
      </c>
      <c r="F29">
        <v>8.2052471116185188E-3</v>
      </c>
    </row>
    <row r="30" spans="1:6" x14ac:dyDescent="0.2">
      <c r="A30">
        <v>2750</v>
      </c>
      <c r="B30">
        <v>6.8037975579500198E-3</v>
      </c>
      <c r="C30">
        <v>2750</v>
      </c>
      <c r="D30">
        <v>6.4954590052366257E-3</v>
      </c>
      <c r="E30">
        <v>2750</v>
      </c>
      <c r="F30">
        <v>7.396278902888298E-3</v>
      </c>
    </row>
    <row r="31" spans="1:6" x14ac:dyDescent="0.2">
      <c r="A31">
        <v>2850</v>
      </c>
      <c r="B31">
        <v>6.4873415976762772E-3</v>
      </c>
      <c r="C31">
        <v>2850</v>
      </c>
      <c r="D31">
        <v>5.4128826595842838E-3</v>
      </c>
      <c r="E31">
        <v>2850</v>
      </c>
      <c r="F31">
        <v>8.5519468411803246E-3</v>
      </c>
    </row>
    <row r="32" spans="1:6" x14ac:dyDescent="0.2">
      <c r="A32">
        <v>2950</v>
      </c>
      <c r="B32">
        <v>5.3797466680407524E-3</v>
      </c>
      <c r="C32">
        <v>2950</v>
      </c>
      <c r="D32">
        <v>4.5107356272637844E-3</v>
      </c>
      <c r="E32">
        <v>2950</v>
      </c>
      <c r="F32">
        <v>7.0495782420039177E-3</v>
      </c>
    </row>
    <row r="33" spans="1:6" x14ac:dyDescent="0.2">
      <c r="A33">
        <v>3050</v>
      </c>
      <c r="B33">
        <v>5.8148736134171486E-3</v>
      </c>
      <c r="C33">
        <v>3050</v>
      </c>
      <c r="D33">
        <v>5.6534553878009319E-3</v>
      </c>
      <c r="E33">
        <v>3050</v>
      </c>
      <c r="F33">
        <v>6.1250431463122368E-3</v>
      </c>
    </row>
    <row r="34" spans="1:6" x14ac:dyDescent="0.2">
      <c r="A34">
        <v>3150</v>
      </c>
      <c r="B34">
        <v>5.300633143633604E-3</v>
      </c>
      <c r="C34">
        <v>3150</v>
      </c>
      <c r="D34">
        <v>4.8715942539274693E-3</v>
      </c>
      <c r="E34">
        <v>3150</v>
      </c>
      <c r="F34">
        <v>6.1250431463122368E-3</v>
      </c>
    </row>
    <row r="35" spans="1:6" x14ac:dyDescent="0.2">
      <c r="A35">
        <v>3250</v>
      </c>
      <c r="B35">
        <v>4.7863922081887722E-3</v>
      </c>
      <c r="C35">
        <v>3250</v>
      </c>
      <c r="D35">
        <v>4.7513078898191452E-3</v>
      </c>
      <c r="E35">
        <v>3250</v>
      </c>
      <c r="F35">
        <v>4.8538078553974628E-3</v>
      </c>
    </row>
    <row r="36" spans="1:6" x14ac:dyDescent="0.2">
      <c r="A36">
        <v>3350</v>
      </c>
      <c r="B36">
        <v>4.5490507036447525E-3</v>
      </c>
      <c r="C36">
        <v>3350</v>
      </c>
      <c r="D36">
        <v>3.9093042723834515E-3</v>
      </c>
      <c r="E36">
        <v>3350</v>
      </c>
      <c r="F36">
        <v>5.7783429510891438E-3</v>
      </c>
    </row>
    <row r="37" spans="1:6" x14ac:dyDescent="0.2">
      <c r="A37">
        <v>3450</v>
      </c>
      <c r="B37">
        <v>5.0237341783940792E-3</v>
      </c>
      <c r="C37">
        <v>3450</v>
      </c>
      <c r="D37">
        <v>4.8114513047039509E-3</v>
      </c>
      <c r="E37">
        <v>3450</v>
      </c>
      <c r="F37">
        <v>5.4316422902047634E-3</v>
      </c>
    </row>
    <row r="38" spans="1:6" x14ac:dyDescent="0.2">
      <c r="A38">
        <v>3550</v>
      </c>
      <c r="B38">
        <v>4.2721517384052277E-3</v>
      </c>
      <c r="C38">
        <v>3550</v>
      </c>
      <c r="D38">
        <v>4.330306313931942E-3</v>
      </c>
      <c r="E38">
        <v>3550</v>
      </c>
      <c r="F38">
        <v>4.1604069992899895E-3</v>
      </c>
    </row>
    <row r="39" spans="1:6" x14ac:dyDescent="0.2">
      <c r="A39">
        <v>3650</v>
      </c>
      <c r="B39">
        <v>3.8765822537243366E-3</v>
      </c>
      <c r="C39">
        <v>3650</v>
      </c>
      <c r="D39">
        <v>3.9093042723834515E-3</v>
      </c>
      <c r="E39">
        <v>3650</v>
      </c>
      <c r="F39">
        <v>3.8137063384056091E-3</v>
      </c>
    </row>
    <row r="40" spans="1:6" x14ac:dyDescent="0.2">
      <c r="A40">
        <v>3750</v>
      </c>
      <c r="B40">
        <v>3.5996835213154554E-3</v>
      </c>
      <c r="C40">
        <v>3750</v>
      </c>
      <c r="D40">
        <v>2.6462981477379799E-3</v>
      </c>
      <c r="E40">
        <v>3750</v>
      </c>
      <c r="F40">
        <v>5.4316422902047634E-3</v>
      </c>
    </row>
    <row r="41" spans="1:6" x14ac:dyDescent="0.2">
      <c r="A41">
        <v>3850</v>
      </c>
      <c r="B41">
        <v>3.4018987789750099E-3</v>
      </c>
      <c r="C41">
        <v>3850</v>
      </c>
      <c r="D41">
        <v>2.826727693900466E-3</v>
      </c>
      <c r="E41">
        <v>3850</v>
      </c>
      <c r="F41">
        <v>4.5071071945130825E-3</v>
      </c>
    </row>
    <row r="42" spans="1:6" x14ac:dyDescent="0.2">
      <c r="A42">
        <v>3950</v>
      </c>
      <c r="B42">
        <v>4.3908227235078812E-3</v>
      </c>
      <c r="C42">
        <v>3950</v>
      </c>
      <c r="D42">
        <v>3.3078726846724749E-3</v>
      </c>
      <c r="E42">
        <v>3950</v>
      </c>
      <c r="F42">
        <v>6.4717438071966171E-3</v>
      </c>
    </row>
    <row r="43" spans="1:6" x14ac:dyDescent="0.2">
      <c r="A43">
        <v>4050</v>
      </c>
      <c r="B43">
        <v>3.5996835213154554E-3</v>
      </c>
      <c r="C43">
        <v>4050</v>
      </c>
      <c r="D43">
        <v>3.4883022308349609E-3</v>
      </c>
      <c r="E43">
        <v>4050</v>
      </c>
      <c r="F43">
        <v>3.8137063384056091E-3</v>
      </c>
    </row>
    <row r="44" spans="1:6" x14ac:dyDescent="0.2">
      <c r="A44">
        <v>4150</v>
      </c>
      <c r="B44">
        <v>3.5601265262812376E-3</v>
      </c>
      <c r="C44">
        <v>4150</v>
      </c>
      <c r="D44">
        <v>2.8868706431239843E-3</v>
      </c>
      <c r="E44">
        <v>4150</v>
      </c>
      <c r="F44">
        <v>4.8538078553974628E-3</v>
      </c>
    </row>
    <row r="45" spans="1:6" x14ac:dyDescent="0.2">
      <c r="A45">
        <v>4250</v>
      </c>
      <c r="B45">
        <v>4.1139242239296436E-3</v>
      </c>
      <c r="C45">
        <v>4250</v>
      </c>
      <c r="D45">
        <v>4.2100199498236179E-3</v>
      </c>
      <c r="E45">
        <v>4250</v>
      </c>
      <c r="F45">
        <v>3.9292732253670692E-3</v>
      </c>
    </row>
    <row r="46" spans="1:6" x14ac:dyDescent="0.2">
      <c r="A46">
        <v>4350</v>
      </c>
      <c r="B46">
        <v>3.4018987789750099E-3</v>
      </c>
      <c r="C46">
        <v>4350</v>
      </c>
      <c r="D46">
        <v>2.7064413297921419E-3</v>
      </c>
      <c r="E46">
        <v>4350</v>
      </c>
      <c r="F46">
        <v>4.7382409684360027E-3</v>
      </c>
    </row>
    <row r="47" spans="1:6" x14ac:dyDescent="0.2">
      <c r="A47">
        <v>4450</v>
      </c>
      <c r="B47">
        <v>2.9667720664292574E-3</v>
      </c>
      <c r="C47">
        <v>4450</v>
      </c>
      <c r="D47">
        <v>2.8868706431239843E-3</v>
      </c>
      <c r="E47">
        <v>4450</v>
      </c>
      <c r="F47">
        <v>3.1203050166368484E-3</v>
      </c>
    </row>
    <row r="48" spans="1:6" x14ac:dyDescent="0.2">
      <c r="A48">
        <v>4550</v>
      </c>
      <c r="B48">
        <v>2.9667720664292574E-3</v>
      </c>
      <c r="C48">
        <v>4550</v>
      </c>
      <c r="D48">
        <v>2.826727693900466E-3</v>
      </c>
      <c r="E48">
        <v>4550</v>
      </c>
      <c r="F48">
        <v>3.2358719035983086E-3</v>
      </c>
    </row>
    <row r="49" spans="1:6" x14ac:dyDescent="0.2">
      <c r="A49">
        <v>4650</v>
      </c>
      <c r="B49">
        <v>2.650316571816802E-3</v>
      </c>
      <c r="C49">
        <v>4650</v>
      </c>
      <c r="D49">
        <v>2.3455824702978134E-3</v>
      </c>
      <c r="E49">
        <v>4650</v>
      </c>
      <c r="F49">
        <v>3.2358719035983086E-3</v>
      </c>
    </row>
    <row r="50" spans="1:6" x14ac:dyDescent="0.2">
      <c r="A50">
        <v>4750</v>
      </c>
      <c r="B50">
        <v>2.4525315966457129E-3</v>
      </c>
      <c r="C50">
        <v>4750</v>
      </c>
      <c r="D50">
        <v>1.8042941810563207E-3</v>
      </c>
      <c r="E50">
        <v>4750</v>
      </c>
      <c r="F50">
        <v>3.698139451444149E-3</v>
      </c>
    </row>
    <row r="51" spans="1:6" x14ac:dyDescent="0.2">
      <c r="A51">
        <v>4850</v>
      </c>
      <c r="B51">
        <v>2.6107595767825842E-3</v>
      </c>
      <c r="C51">
        <v>4850</v>
      </c>
      <c r="D51">
        <v>1.8042941810563207E-3</v>
      </c>
      <c r="E51">
        <v>4850</v>
      </c>
      <c r="F51">
        <v>4.1604069992899895E-3</v>
      </c>
    </row>
    <row r="52" spans="1:6" x14ac:dyDescent="0.2">
      <c r="A52">
        <v>4950</v>
      </c>
      <c r="B52">
        <v>2.8481013141572475E-3</v>
      </c>
      <c r="C52">
        <v>4950</v>
      </c>
      <c r="D52">
        <v>2.826727693900466E-3</v>
      </c>
      <c r="E52">
        <v>4950</v>
      </c>
      <c r="F52">
        <v>2.8891714755445719E-3</v>
      </c>
    </row>
    <row r="53" spans="1:6" x14ac:dyDescent="0.2">
      <c r="A53">
        <v>5050</v>
      </c>
      <c r="B53">
        <v>3.0063290614634752E-3</v>
      </c>
      <c r="C53">
        <v>5050</v>
      </c>
      <c r="D53">
        <v>2.2854392882436514E-3</v>
      </c>
      <c r="E53">
        <v>5050</v>
      </c>
      <c r="F53">
        <v>4.3915403075516224E-3</v>
      </c>
    </row>
    <row r="54" spans="1:6" x14ac:dyDescent="0.2">
      <c r="A54">
        <v>5150</v>
      </c>
      <c r="B54">
        <v>2.8085443191230297E-3</v>
      </c>
      <c r="C54">
        <v>5150</v>
      </c>
      <c r="D54">
        <v>2.105009974911809E-3</v>
      </c>
      <c r="E54">
        <v>5150</v>
      </c>
      <c r="F54">
        <v>4.1604069992899895E-3</v>
      </c>
    </row>
    <row r="55" spans="1:6" x14ac:dyDescent="0.2">
      <c r="A55">
        <v>5250</v>
      </c>
      <c r="B55">
        <v>2.6898733340203762E-3</v>
      </c>
      <c r="C55">
        <v>5250</v>
      </c>
      <c r="D55">
        <v>2.105009974911809E-3</v>
      </c>
      <c r="E55">
        <v>5250</v>
      </c>
      <c r="F55">
        <v>3.8137063384056091E-3</v>
      </c>
    </row>
    <row r="56" spans="1:6" x14ac:dyDescent="0.2">
      <c r="A56">
        <v>5350</v>
      </c>
      <c r="B56">
        <v>2.2943038493394852E-3</v>
      </c>
      <c r="C56">
        <v>5350</v>
      </c>
      <c r="D56">
        <v>1.7441511154174805E-3</v>
      </c>
      <c r="E56">
        <v>5350</v>
      </c>
      <c r="F56">
        <v>3.3514387905597687E-3</v>
      </c>
    </row>
    <row r="57" spans="1:6" x14ac:dyDescent="0.2">
      <c r="A57">
        <v>5450</v>
      </c>
      <c r="B57">
        <v>1.9778481218963861E-3</v>
      </c>
      <c r="C57">
        <v>5450</v>
      </c>
      <c r="D57">
        <v>1.6238647513091564E-3</v>
      </c>
      <c r="E57">
        <v>5450</v>
      </c>
      <c r="F57">
        <v>2.6580377016216516E-3</v>
      </c>
    </row>
    <row r="58" spans="1:6" x14ac:dyDescent="0.2">
      <c r="A58">
        <v>5550</v>
      </c>
      <c r="B58">
        <v>2.729430329054594E-3</v>
      </c>
      <c r="C58">
        <v>5550</v>
      </c>
      <c r="D58">
        <v>2.165153156965971E-3</v>
      </c>
      <c r="E58">
        <v>5550</v>
      </c>
      <c r="F58">
        <v>3.8137063384056091E-3</v>
      </c>
    </row>
    <row r="59" spans="1:6" x14ac:dyDescent="0.2">
      <c r="A59">
        <v>5650</v>
      </c>
      <c r="B59">
        <v>2.3734176065772772E-3</v>
      </c>
      <c r="C59">
        <v>5650</v>
      </c>
      <c r="D59">
        <v>1.7441511154174805E-3</v>
      </c>
      <c r="E59">
        <v>5650</v>
      </c>
      <c r="F59">
        <v>3.5825725644826889E-3</v>
      </c>
    </row>
    <row r="60" spans="1:6" x14ac:dyDescent="0.2">
      <c r="A60">
        <v>5750</v>
      </c>
      <c r="B60">
        <v>2.4525315966457129E-3</v>
      </c>
      <c r="C60">
        <v>5750</v>
      </c>
      <c r="D60">
        <v>2.105009974911809E-3</v>
      </c>
      <c r="E60">
        <v>5750</v>
      </c>
      <c r="F60">
        <v>3.1203050166368484E-3</v>
      </c>
    </row>
    <row r="61" spans="1:6" x14ac:dyDescent="0.2">
      <c r="A61">
        <v>5850</v>
      </c>
      <c r="B61">
        <v>2.2943038493394852E-3</v>
      </c>
      <c r="C61">
        <v>5850</v>
      </c>
      <c r="D61">
        <v>1.7441511154174805E-3</v>
      </c>
      <c r="E61">
        <v>5850</v>
      </c>
      <c r="F61">
        <v>3.3514387905597687E-3</v>
      </c>
    </row>
    <row r="62" spans="1:6" x14ac:dyDescent="0.2">
      <c r="A62">
        <v>5950</v>
      </c>
      <c r="B62">
        <v>2.4525315966457129E-3</v>
      </c>
      <c r="C62">
        <v>5950</v>
      </c>
      <c r="D62">
        <v>2.0448667928576469E-3</v>
      </c>
      <c r="E62">
        <v>5950</v>
      </c>
      <c r="F62">
        <v>3.2358719035983086E-3</v>
      </c>
    </row>
    <row r="63" spans="1:6" x14ac:dyDescent="0.2">
      <c r="A63">
        <v>6050</v>
      </c>
      <c r="B63">
        <v>1.9778481218963861E-3</v>
      </c>
      <c r="C63">
        <v>6050</v>
      </c>
      <c r="D63">
        <v>1.383292255923152E-3</v>
      </c>
      <c r="E63">
        <v>6050</v>
      </c>
      <c r="F63">
        <v>3.1203050166368484E-3</v>
      </c>
    </row>
    <row r="64" spans="1:6" x14ac:dyDescent="0.2">
      <c r="A64">
        <v>6150</v>
      </c>
      <c r="B64">
        <v>1.5427215257659554E-3</v>
      </c>
      <c r="C64">
        <v>6150</v>
      </c>
      <c r="D64">
        <v>9.6229027258232236E-4</v>
      </c>
      <c r="E64">
        <v>6150</v>
      </c>
      <c r="F64">
        <v>2.6580377016216516E-3</v>
      </c>
    </row>
    <row r="65" spans="1:6" x14ac:dyDescent="0.2">
      <c r="A65">
        <v>6250</v>
      </c>
      <c r="B65">
        <v>1.7405063845217228E-3</v>
      </c>
      <c r="C65">
        <v>6250</v>
      </c>
      <c r="D65">
        <v>1.0825765784829855E-3</v>
      </c>
      <c r="E65">
        <v>6250</v>
      </c>
      <c r="F65">
        <v>3.0047381296753883E-3</v>
      </c>
    </row>
    <row r="66" spans="1:6" x14ac:dyDescent="0.2">
      <c r="A66">
        <v>6350</v>
      </c>
      <c r="B66">
        <v>2.1756328642368317E-3</v>
      </c>
      <c r="C66">
        <v>6350</v>
      </c>
      <c r="D66">
        <v>1.8042941810563207E-3</v>
      </c>
      <c r="E66">
        <v>6350</v>
      </c>
      <c r="F66">
        <v>2.8891714755445719E-3</v>
      </c>
    </row>
    <row r="67" spans="1:6" x14ac:dyDescent="0.2">
      <c r="A67">
        <v>6450</v>
      </c>
      <c r="B67">
        <v>2.2943038493394852E-3</v>
      </c>
      <c r="C67">
        <v>6450</v>
      </c>
      <c r="D67">
        <v>1.6840079333633184E-3</v>
      </c>
      <c r="E67">
        <v>6450</v>
      </c>
      <c r="F67">
        <v>3.4670056775212288E-3</v>
      </c>
    </row>
    <row r="68" spans="1:6" x14ac:dyDescent="0.2">
      <c r="A68">
        <v>7000</v>
      </c>
      <c r="B68">
        <v>1.5150316059589386E-2</v>
      </c>
      <c r="C68">
        <v>7000</v>
      </c>
      <c r="D68">
        <v>1.2148914858698845E-2</v>
      </c>
      <c r="E68">
        <v>7000</v>
      </c>
      <c r="F68">
        <v>2.0917600020766258E-2</v>
      </c>
    </row>
    <row r="69" spans="1:6" x14ac:dyDescent="0.2">
      <c r="A69">
        <v>8750</v>
      </c>
      <c r="B69">
        <v>2.8718354180455208E-2</v>
      </c>
      <c r="C69">
        <v>8750</v>
      </c>
      <c r="D69">
        <v>2.1651530638337135E-2</v>
      </c>
      <c r="E69">
        <v>8750</v>
      </c>
      <c r="F69">
        <v>4.2297467589378357E-2</v>
      </c>
    </row>
    <row r="70" spans="1:6" x14ac:dyDescent="0.2">
      <c r="A70">
        <v>12500</v>
      </c>
      <c r="B70">
        <v>3.1408227980136871E-2</v>
      </c>
      <c r="C70">
        <v>12500</v>
      </c>
      <c r="D70">
        <v>2.2493533790111542E-2</v>
      </c>
      <c r="E70">
        <v>12500</v>
      </c>
      <c r="F70">
        <v>4.8538077622652054E-2</v>
      </c>
    </row>
    <row r="71" spans="1:6" x14ac:dyDescent="0.2">
      <c r="A71">
        <v>17500</v>
      </c>
      <c r="B71">
        <v>1.7167720943689346E-2</v>
      </c>
      <c r="C71">
        <v>17500</v>
      </c>
      <c r="D71">
        <v>1.1487339623272419E-2</v>
      </c>
      <c r="E71">
        <v>17500</v>
      </c>
      <c r="F71">
        <v>2.8082745149731636E-2</v>
      </c>
    </row>
    <row r="72" spans="1:6" x14ac:dyDescent="0.2">
      <c r="A72">
        <v>22500</v>
      </c>
      <c r="B72">
        <v>9.4936704263091087E-3</v>
      </c>
      <c r="C72">
        <v>22500</v>
      </c>
      <c r="D72">
        <v>5.8940276503562927E-3</v>
      </c>
      <c r="E72">
        <v>22500</v>
      </c>
      <c r="F72">
        <v>1.6410494223237038E-2</v>
      </c>
    </row>
    <row r="73" spans="1:6" x14ac:dyDescent="0.2">
      <c r="A73">
        <v>27500</v>
      </c>
      <c r="B73">
        <v>6.2104430980980396E-3</v>
      </c>
      <c r="C73">
        <v>27500</v>
      </c>
      <c r="D73">
        <v>3.4281590487807989E-3</v>
      </c>
      <c r="E73">
        <v>27500</v>
      </c>
      <c r="F73">
        <v>1.1556685902178288E-2</v>
      </c>
    </row>
    <row r="74" spans="1:6" x14ac:dyDescent="0.2">
      <c r="A74">
        <v>32500</v>
      </c>
      <c r="B74">
        <v>4.5886076986789703E-3</v>
      </c>
      <c r="C74">
        <v>32500</v>
      </c>
      <c r="D74">
        <v>2.5861549656838179E-3</v>
      </c>
      <c r="E74">
        <v>32500</v>
      </c>
      <c r="F74">
        <v>8.4363808855414391E-3</v>
      </c>
    </row>
    <row r="75" spans="1:6" x14ac:dyDescent="0.2">
      <c r="A75">
        <v>37500</v>
      </c>
      <c r="B75">
        <v>3.6392405163496733E-3</v>
      </c>
      <c r="C75">
        <v>37500</v>
      </c>
      <c r="D75">
        <v>1.9245805451646447E-3</v>
      </c>
      <c r="E75">
        <v>37500</v>
      </c>
      <c r="F75">
        <v>6.9340113550424576E-3</v>
      </c>
    </row>
    <row r="76" spans="1:6" x14ac:dyDescent="0.2">
      <c r="A76">
        <v>42500</v>
      </c>
      <c r="B76">
        <v>2.412974601611495E-3</v>
      </c>
      <c r="C76">
        <v>42500</v>
      </c>
      <c r="D76">
        <v>1.5035785036161542E-3</v>
      </c>
      <c r="E76">
        <v>42500</v>
      </c>
      <c r="F76">
        <v>4.1604069992899895E-3</v>
      </c>
    </row>
    <row r="77" spans="1:6" x14ac:dyDescent="0.2">
      <c r="A77">
        <v>47500</v>
      </c>
      <c r="B77">
        <v>1.3844936620444059E-3</v>
      </c>
      <c r="C77">
        <v>47500</v>
      </c>
      <c r="D77">
        <v>7.2171766078099608E-4</v>
      </c>
      <c r="E77">
        <v>47500</v>
      </c>
      <c r="F77">
        <v>2.6580377016216516E-3</v>
      </c>
    </row>
    <row r="78" spans="1:6" x14ac:dyDescent="0.2">
      <c r="A78">
        <v>75000</v>
      </c>
      <c r="B78">
        <v>6.368671078234911E-3</v>
      </c>
      <c r="C78">
        <v>75000</v>
      </c>
      <c r="D78">
        <v>2.6462981477379799E-3</v>
      </c>
      <c r="E78">
        <v>75000</v>
      </c>
      <c r="F78">
        <v>1.3521322049200535E-2</v>
      </c>
    </row>
    <row r="79" spans="1:6" x14ac:dyDescent="0.2">
      <c r="A79">
        <v>150000</v>
      </c>
      <c r="B79">
        <v>2.0569621119648218E-3</v>
      </c>
      <c r="C79">
        <v>150000</v>
      </c>
      <c r="D79">
        <v>1.0224333964288235E-3</v>
      </c>
      <c r="E79">
        <v>150000</v>
      </c>
      <c r="F79">
        <v>4.0448401123285294E-3</v>
      </c>
    </row>
    <row r="80" spans="1:6" x14ac:dyDescent="0.2">
      <c r="A80">
        <v>250000</v>
      </c>
      <c r="B80">
        <v>3.9556963020004332E-4</v>
      </c>
      <c r="C80">
        <v>250000</v>
      </c>
      <c r="D80">
        <v>6.0143142036395147E-5</v>
      </c>
      <c r="E80">
        <v>250000</v>
      </c>
      <c r="F80">
        <v>1.0401017498224974E-3</v>
      </c>
    </row>
    <row r="81" spans="1:6" x14ac:dyDescent="0.2">
      <c r="A81">
        <v>350000</v>
      </c>
      <c r="B81">
        <v>3.9556962292408571E-5</v>
      </c>
      <c r="C81">
        <v>350000</v>
      </c>
      <c r="D81">
        <v>0</v>
      </c>
      <c r="E81">
        <v>350000</v>
      </c>
      <c r="F81">
        <v>1.1556685785762966E-4</v>
      </c>
    </row>
    <row r="82" spans="1:6" x14ac:dyDescent="0.2">
      <c r="A82">
        <v>450000</v>
      </c>
      <c r="B82">
        <v>7.9113924584817141E-5</v>
      </c>
      <c r="C82">
        <v>450000</v>
      </c>
      <c r="D82">
        <v>0</v>
      </c>
      <c r="E82">
        <v>450000</v>
      </c>
      <c r="F82">
        <v>2.3113371571525931E-4</v>
      </c>
    </row>
    <row r="83" spans="1:6" x14ac:dyDescent="0.2">
      <c r="A83">
        <v>750000</v>
      </c>
      <c r="B83">
        <v>7.9113924584817141E-5</v>
      </c>
      <c r="C83">
        <v>750000</v>
      </c>
      <c r="D83">
        <v>0</v>
      </c>
      <c r="E83">
        <v>750000</v>
      </c>
      <c r="F83">
        <v>2.3113371571525931E-4</v>
      </c>
    </row>
    <row r="84" spans="1:6" x14ac:dyDescent="0.2">
      <c r="A84">
        <v>1500000</v>
      </c>
      <c r="B84">
        <v>0</v>
      </c>
      <c r="C84">
        <v>1500000</v>
      </c>
      <c r="D84">
        <v>0</v>
      </c>
      <c r="E84">
        <v>1500000</v>
      </c>
      <c r="F84">
        <v>0</v>
      </c>
    </row>
    <row r="85" spans="1:6" x14ac:dyDescent="0.2">
      <c r="A85">
        <v>2500000</v>
      </c>
      <c r="B85">
        <v>0</v>
      </c>
      <c r="C85">
        <v>2500000</v>
      </c>
      <c r="D85">
        <v>0</v>
      </c>
      <c r="E85">
        <v>2500000</v>
      </c>
      <c r="F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enableFormatConditionsCalculation="0"/>
  <dimension ref="A1:H85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1" max="2" width="12.5" style="1" customWidth="1"/>
    <col min="3" max="4" width="15.1640625" style="58" customWidth="1"/>
    <col min="5" max="5" width="18" style="58" customWidth="1"/>
  </cols>
  <sheetData>
    <row r="1" spans="1:8" x14ac:dyDescent="0.2">
      <c r="A1" s="11" t="s">
        <v>10</v>
      </c>
      <c r="B1" s="14" t="s">
        <v>0</v>
      </c>
      <c r="C1" s="55" t="s">
        <v>137</v>
      </c>
      <c r="D1" s="55" t="s">
        <v>14</v>
      </c>
      <c r="E1" s="56" t="s">
        <v>16</v>
      </c>
    </row>
    <row r="2" spans="1:8" x14ac:dyDescent="0.2">
      <c r="A2" s="12">
        <v>0</v>
      </c>
      <c r="B2" s="15">
        <v>0.12345437606565365</v>
      </c>
      <c r="C2" s="54">
        <v>0</v>
      </c>
      <c r="D2" s="54">
        <v>0</v>
      </c>
      <c r="E2" s="57">
        <f t="shared" ref="E2:E33" si="0">C2-D2</f>
        <v>0</v>
      </c>
    </row>
    <row r="3" spans="1:8" x14ac:dyDescent="0.2">
      <c r="A3" s="12">
        <v>100</v>
      </c>
      <c r="B3" s="15">
        <v>2.4886413895184575E-2</v>
      </c>
      <c r="C3" s="54">
        <v>46.92172901</v>
      </c>
      <c r="D3" s="54">
        <v>20.687315007239665</v>
      </c>
      <c r="E3" s="57">
        <f t="shared" si="0"/>
        <v>26.234414002760335</v>
      </c>
    </row>
    <row r="4" spans="1:8" x14ac:dyDescent="0.2">
      <c r="A4" s="12">
        <v>200</v>
      </c>
      <c r="B4" s="15">
        <v>3.8005001159081266E-2</v>
      </c>
      <c r="C4" s="54">
        <v>151.36886636</v>
      </c>
      <c r="D4" s="54">
        <v>26.307826395170117</v>
      </c>
      <c r="E4" s="57">
        <f t="shared" si="0"/>
        <v>125.06103996482989</v>
      </c>
      <c r="H4">
        <f>CORREL(D2:D85,E2:E85)</f>
        <v>0.93003705830782579</v>
      </c>
    </row>
    <row r="5" spans="1:8" x14ac:dyDescent="0.2">
      <c r="A5" s="12">
        <v>300</v>
      </c>
      <c r="B5" s="15">
        <v>3.6609987035270804E-2</v>
      </c>
      <c r="C5" s="54">
        <v>248.86385594999999</v>
      </c>
      <c r="D5" s="54">
        <v>41.884735083193249</v>
      </c>
      <c r="E5" s="57">
        <f t="shared" si="0"/>
        <v>206.97912086680674</v>
      </c>
    </row>
    <row r="6" spans="1:8" x14ac:dyDescent="0.2">
      <c r="A6" s="12">
        <v>400</v>
      </c>
      <c r="B6" s="15">
        <v>3.3082314838375704E-2</v>
      </c>
      <c r="C6" s="54">
        <v>349.52035983000002</v>
      </c>
      <c r="D6" s="54">
        <v>62.457658378836051</v>
      </c>
      <c r="E6" s="57">
        <f t="shared" si="0"/>
        <v>287.06270145116395</v>
      </c>
    </row>
    <row r="7" spans="1:8" x14ac:dyDescent="0.2">
      <c r="A7" s="12">
        <v>500</v>
      </c>
      <c r="B7" s="15">
        <v>3.0885849405884017E-2</v>
      </c>
      <c r="C7" s="54">
        <v>449.46035351</v>
      </c>
      <c r="D7" s="54">
        <v>83.664868465529224</v>
      </c>
      <c r="E7" s="57">
        <f t="shared" si="0"/>
        <v>365.79548504447075</v>
      </c>
    </row>
    <row r="8" spans="1:8" x14ac:dyDescent="0.2">
      <c r="A8" s="12">
        <v>600</v>
      </c>
      <c r="B8" s="15">
        <v>2.864615963314885E-2</v>
      </c>
      <c r="C8" s="54">
        <v>549.31201269999997</v>
      </c>
      <c r="D8" s="54">
        <v>107.8060144813586</v>
      </c>
      <c r="E8" s="57">
        <f t="shared" si="0"/>
        <v>441.50599821864137</v>
      </c>
    </row>
    <row r="9" spans="1:8" x14ac:dyDescent="0.2">
      <c r="A9" s="12">
        <v>700</v>
      </c>
      <c r="B9" s="15">
        <v>2.6431684058889047E-2</v>
      </c>
      <c r="C9" s="54">
        <v>649.39123333999999</v>
      </c>
      <c r="D9" s="54">
        <v>135.48377942768636</v>
      </c>
      <c r="E9" s="57">
        <f t="shared" si="0"/>
        <v>513.9074539123136</v>
      </c>
    </row>
    <row r="10" spans="1:8" x14ac:dyDescent="0.2">
      <c r="A10" s="12">
        <v>800</v>
      </c>
      <c r="B10" s="15">
        <v>2.4525439196603598E-2</v>
      </c>
      <c r="C10" s="54">
        <v>749.38020757000004</v>
      </c>
      <c r="D10" s="54">
        <v>164.52729053961306</v>
      </c>
      <c r="E10" s="57">
        <f t="shared" si="0"/>
        <v>584.85291703038695</v>
      </c>
    </row>
    <row r="11" spans="1:8" x14ac:dyDescent="0.2">
      <c r="A11" s="12">
        <v>900</v>
      </c>
      <c r="B11" s="15">
        <v>2.2392266548039868E-2</v>
      </c>
      <c r="C11" s="54">
        <v>849.39854988000002</v>
      </c>
      <c r="D11" s="54">
        <v>195.82314202739354</v>
      </c>
      <c r="E11" s="57">
        <f t="shared" si="0"/>
        <v>653.57540785260653</v>
      </c>
    </row>
    <row r="12" spans="1:8" x14ac:dyDescent="0.2">
      <c r="A12" s="12">
        <v>1000</v>
      </c>
      <c r="B12" s="15">
        <v>2.085908890809399E-2</v>
      </c>
      <c r="C12" s="54">
        <v>949.40443490999996</v>
      </c>
      <c r="D12" s="54">
        <v>229.14785403878631</v>
      </c>
      <c r="E12" s="57">
        <f t="shared" si="0"/>
        <v>720.2565808712136</v>
      </c>
    </row>
    <row r="13" spans="1:8" x14ac:dyDescent="0.2">
      <c r="A13" s="12">
        <v>1100</v>
      </c>
      <c r="B13" s="15">
        <v>1.9127285133219731E-2</v>
      </c>
      <c r="C13" s="54">
        <v>1049.4570045999999</v>
      </c>
      <c r="D13" s="54">
        <v>262.55461534984369</v>
      </c>
      <c r="E13" s="57">
        <f t="shared" si="0"/>
        <v>786.90238925015615</v>
      </c>
    </row>
    <row r="14" spans="1:8" x14ac:dyDescent="0.2">
      <c r="A14" s="12">
        <v>1200</v>
      </c>
      <c r="B14" s="15">
        <v>1.79473635596685E-2</v>
      </c>
      <c r="C14" s="54">
        <v>1149.4592817</v>
      </c>
      <c r="D14" s="54">
        <v>299.09603411026512</v>
      </c>
      <c r="E14" s="57">
        <f t="shared" si="0"/>
        <v>850.3632475897349</v>
      </c>
    </row>
    <row r="15" spans="1:8" x14ac:dyDescent="0.2">
      <c r="A15" s="12">
        <v>1300</v>
      </c>
      <c r="B15" s="15">
        <v>1.6726275947790144E-2</v>
      </c>
      <c r="C15" s="54">
        <v>1249.5687576</v>
      </c>
      <c r="D15" s="54">
        <v>341.42033144089737</v>
      </c>
      <c r="E15" s="57">
        <f t="shared" si="0"/>
        <v>908.14842615910266</v>
      </c>
    </row>
    <row r="16" spans="1:8" x14ac:dyDescent="0.2">
      <c r="A16" s="12">
        <v>1400</v>
      </c>
      <c r="B16" s="15">
        <v>1.5847381029506016E-2</v>
      </c>
      <c r="C16" s="54">
        <v>1349.4916181999999</v>
      </c>
      <c r="D16" s="54">
        <v>378.7335390644206</v>
      </c>
      <c r="E16" s="57">
        <f t="shared" si="0"/>
        <v>970.75807913557935</v>
      </c>
    </row>
    <row r="17" spans="1:5" x14ac:dyDescent="0.2">
      <c r="A17" s="12">
        <v>1500</v>
      </c>
      <c r="B17" s="15">
        <v>1.4985467102031826E-2</v>
      </c>
      <c r="C17" s="54">
        <v>1449.7236034</v>
      </c>
      <c r="D17" s="54">
        <v>422.04546062621893</v>
      </c>
      <c r="E17" s="57">
        <f t="shared" si="0"/>
        <v>1027.678142773781</v>
      </c>
    </row>
    <row r="18" spans="1:5" x14ac:dyDescent="0.2">
      <c r="A18" s="12">
        <v>1600</v>
      </c>
      <c r="B18" s="15">
        <v>1.4176811736643357E-2</v>
      </c>
      <c r="C18" s="54">
        <v>1549.5973337</v>
      </c>
      <c r="D18" s="54">
        <v>460.11253706085859</v>
      </c>
      <c r="E18" s="57">
        <f t="shared" si="0"/>
        <v>1089.4847966391415</v>
      </c>
    </row>
    <row r="19" spans="1:5" x14ac:dyDescent="0.2">
      <c r="A19" s="12">
        <v>1700</v>
      </c>
      <c r="B19" s="15">
        <v>1.3273217195362955E-2</v>
      </c>
      <c r="C19" s="54">
        <v>1649.6160325000001</v>
      </c>
      <c r="D19" s="54">
        <v>500.0992731902798</v>
      </c>
      <c r="E19" s="57">
        <f t="shared" si="0"/>
        <v>1149.5167593097203</v>
      </c>
    </row>
    <row r="20" spans="1:5" x14ac:dyDescent="0.2">
      <c r="A20" s="12">
        <v>1800</v>
      </c>
      <c r="B20" s="15">
        <v>1.2602982633849444E-2</v>
      </c>
      <c r="C20" s="54">
        <v>1749.3510424000001</v>
      </c>
      <c r="D20" s="54">
        <v>539.53750698731164</v>
      </c>
      <c r="E20" s="57">
        <f t="shared" si="0"/>
        <v>1209.8135354126885</v>
      </c>
    </row>
    <row r="21" spans="1:5" x14ac:dyDescent="0.2">
      <c r="A21" s="12">
        <v>1900</v>
      </c>
      <c r="B21" s="15">
        <v>1.1947928048969061E-2</v>
      </c>
      <c r="C21" s="54">
        <v>1849.8108511</v>
      </c>
      <c r="D21" s="54">
        <v>577.98232052415824</v>
      </c>
      <c r="E21" s="57">
        <f t="shared" si="0"/>
        <v>1271.8285305758418</v>
      </c>
    </row>
    <row r="22" spans="1:5" x14ac:dyDescent="0.2">
      <c r="A22" s="12">
        <v>2000</v>
      </c>
      <c r="B22" s="15">
        <v>1.1421002758381855E-2</v>
      </c>
      <c r="C22" s="54">
        <v>1949.5553837</v>
      </c>
      <c r="D22" s="54">
        <v>613.47501322468486</v>
      </c>
      <c r="E22" s="57">
        <f t="shared" si="0"/>
        <v>1336.0803704753152</v>
      </c>
    </row>
    <row r="23" spans="1:5" x14ac:dyDescent="0.2">
      <c r="A23" s="12">
        <v>2100</v>
      </c>
      <c r="B23" s="15">
        <v>1.0950680770494449E-2</v>
      </c>
      <c r="C23" s="54">
        <v>2049.5770287999999</v>
      </c>
      <c r="D23" s="54">
        <v>652.30987454461297</v>
      </c>
      <c r="E23" s="57">
        <f t="shared" si="0"/>
        <v>1397.2671542553869</v>
      </c>
    </row>
    <row r="24" spans="1:5" x14ac:dyDescent="0.2">
      <c r="A24" s="12">
        <v>2200</v>
      </c>
      <c r="B24" s="15">
        <v>1.0373584370696059E-2</v>
      </c>
      <c r="C24" s="54">
        <v>2149.5936998000002</v>
      </c>
      <c r="D24" s="54">
        <v>688.68736143333365</v>
      </c>
      <c r="E24" s="57">
        <f t="shared" si="0"/>
        <v>1460.9063383666667</v>
      </c>
    </row>
    <row r="25" spans="1:5" x14ac:dyDescent="0.2">
      <c r="A25" s="12">
        <v>2300</v>
      </c>
      <c r="B25" s="15">
        <v>1.0085164814666637E-2</v>
      </c>
      <c r="C25" s="54">
        <v>2249.5779269999998</v>
      </c>
      <c r="D25" s="54">
        <v>730.44524092545828</v>
      </c>
      <c r="E25" s="57">
        <f t="shared" si="0"/>
        <v>1519.1326860745417</v>
      </c>
    </row>
    <row r="26" spans="1:5" x14ac:dyDescent="0.2">
      <c r="A26" s="12">
        <v>2400</v>
      </c>
      <c r="B26" s="15">
        <v>9.5152724715754939E-3</v>
      </c>
      <c r="C26" s="54">
        <v>2349.7073338999999</v>
      </c>
      <c r="D26" s="54">
        <v>769.20153648123596</v>
      </c>
      <c r="E26" s="57">
        <f t="shared" si="0"/>
        <v>1580.5057974187639</v>
      </c>
    </row>
    <row r="27" spans="1:5" x14ac:dyDescent="0.2">
      <c r="A27" s="12">
        <v>2500</v>
      </c>
      <c r="B27" s="15">
        <v>9.3452052757365574E-3</v>
      </c>
      <c r="C27" s="54">
        <v>2449.6569696000001</v>
      </c>
      <c r="D27" s="54">
        <v>801.19886942785695</v>
      </c>
      <c r="E27" s="57">
        <f t="shared" si="0"/>
        <v>1648.4581001721431</v>
      </c>
    </row>
    <row r="28" spans="1:5" x14ac:dyDescent="0.2">
      <c r="A28" s="12">
        <v>2600</v>
      </c>
      <c r="B28" s="15">
        <v>8.7539580502632181E-3</v>
      </c>
      <c r="C28" s="54">
        <v>2549.5381465999999</v>
      </c>
      <c r="D28" s="54">
        <v>844.41785484038223</v>
      </c>
      <c r="E28" s="57">
        <f t="shared" si="0"/>
        <v>1705.1202917596177</v>
      </c>
    </row>
    <row r="29" spans="1:5" x14ac:dyDescent="0.2">
      <c r="A29" s="12">
        <v>2700</v>
      </c>
      <c r="B29" s="15">
        <v>8.5164814666636134E-3</v>
      </c>
      <c r="C29" s="54">
        <v>2649.6702249999998</v>
      </c>
      <c r="D29" s="54">
        <v>883.11593743040601</v>
      </c>
      <c r="E29" s="57">
        <f t="shared" si="0"/>
        <v>1766.5542875695937</v>
      </c>
    </row>
    <row r="30" spans="1:5" x14ac:dyDescent="0.2">
      <c r="A30" s="12">
        <v>2800</v>
      </c>
      <c r="B30" s="15">
        <v>8.1447006830217619E-3</v>
      </c>
      <c r="C30" s="54">
        <v>2749.6393896999998</v>
      </c>
      <c r="D30" s="54">
        <v>909.50091452069637</v>
      </c>
      <c r="E30" s="57">
        <f t="shared" si="0"/>
        <v>1840.1384751793034</v>
      </c>
    </row>
    <row r="31" spans="1:5" x14ac:dyDescent="0.2">
      <c r="A31" s="12">
        <v>2900</v>
      </c>
      <c r="B31" s="15">
        <v>7.8784078725931701E-3</v>
      </c>
      <c r="C31" s="54">
        <v>2849.764068</v>
      </c>
      <c r="D31" s="54">
        <v>956.2025872293566</v>
      </c>
      <c r="E31" s="57">
        <f t="shared" si="0"/>
        <v>1893.5614807706434</v>
      </c>
    </row>
    <row r="32" spans="1:5" x14ac:dyDescent="0.2">
      <c r="A32" s="12">
        <v>3000</v>
      </c>
      <c r="B32" s="15">
        <v>7.6391302748167536E-3</v>
      </c>
      <c r="C32" s="54">
        <v>2949.5261225999998</v>
      </c>
      <c r="D32" s="54">
        <v>992.40719713008741</v>
      </c>
      <c r="E32" s="57">
        <f t="shared" si="0"/>
        <v>1957.1189254699125</v>
      </c>
    </row>
    <row r="33" spans="1:5" x14ac:dyDescent="0.2">
      <c r="A33" s="12">
        <v>3100</v>
      </c>
      <c r="B33" s="15">
        <v>7.2773837130171385E-3</v>
      </c>
      <c r="C33" s="54">
        <v>3049.4758221000002</v>
      </c>
      <c r="D33" s="54">
        <v>1019.192914936183</v>
      </c>
      <c r="E33" s="57">
        <f t="shared" si="0"/>
        <v>2030.2829071638171</v>
      </c>
    </row>
    <row r="34" spans="1:5" x14ac:dyDescent="0.2">
      <c r="A34" s="12">
        <v>3200</v>
      </c>
      <c r="B34" s="15">
        <v>6.9668374113868864E-3</v>
      </c>
      <c r="C34" s="54">
        <v>3149.7135216000001</v>
      </c>
      <c r="D34" s="54">
        <v>1069.299545765469</v>
      </c>
      <c r="E34" s="57">
        <f t="shared" ref="E34:E65" si="1">C34-D34</f>
        <v>2080.4139758345309</v>
      </c>
    </row>
    <row r="35" spans="1:5" x14ac:dyDescent="0.2">
      <c r="A35" s="12">
        <v>3300</v>
      </c>
      <c r="B35" s="15">
        <v>6.7116079737587087E-3</v>
      </c>
      <c r="C35" s="54">
        <v>3249.4981059000002</v>
      </c>
      <c r="D35" s="54">
        <v>1109.3952374440673</v>
      </c>
      <c r="E35" s="57">
        <f t="shared" si="1"/>
        <v>2140.1028684559328</v>
      </c>
    </row>
    <row r="36" spans="1:5" x14ac:dyDescent="0.2">
      <c r="A36" s="12">
        <v>3400</v>
      </c>
      <c r="B36" s="15">
        <v>6.6194989630017657E-3</v>
      </c>
      <c r="C36" s="54">
        <v>3349.7696627999999</v>
      </c>
      <c r="D36" s="54">
        <v>1135.8232223746222</v>
      </c>
      <c r="E36" s="57">
        <f t="shared" si="1"/>
        <v>2213.9464404253777</v>
      </c>
    </row>
    <row r="37" spans="1:5" x14ac:dyDescent="0.2">
      <c r="A37" s="12">
        <v>3500</v>
      </c>
      <c r="B37" s="15">
        <v>6.3207878973905616E-3</v>
      </c>
      <c r="C37" s="54">
        <v>3449.8662257999999</v>
      </c>
      <c r="D37" s="54">
        <v>1179.6522490855184</v>
      </c>
      <c r="E37" s="57">
        <f t="shared" si="1"/>
        <v>2270.2139767144818</v>
      </c>
    </row>
    <row r="38" spans="1:5" x14ac:dyDescent="0.2">
      <c r="A38" s="12">
        <v>3600</v>
      </c>
      <c r="B38" s="15">
        <v>6.1818525180365137E-3</v>
      </c>
      <c r="C38" s="54">
        <v>3549.7953802000002</v>
      </c>
      <c r="D38" s="54">
        <v>1218.8709375914173</v>
      </c>
      <c r="E38" s="57">
        <f t="shared" si="1"/>
        <v>2330.9244426085829</v>
      </c>
    </row>
    <row r="39" spans="1:5" x14ac:dyDescent="0.2">
      <c r="A39" s="12">
        <v>3700</v>
      </c>
      <c r="B39" s="15">
        <v>5.8898309336534683E-3</v>
      </c>
      <c r="C39" s="54">
        <v>3649.6508484000001</v>
      </c>
      <c r="D39" s="54">
        <v>1238.3867008517761</v>
      </c>
      <c r="E39" s="57">
        <f t="shared" si="1"/>
        <v>2411.2641475482242</v>
      </c>
    </row>
    <row r="40" spans="1:5" x14ac:dyDescent="0.2">
      <c r="A40" s="12">
        <v>3800</v>
      </c>
      <c r="B40" s="15">
        <v>5.7161617094609075E-3</v>
      </c>
      <c r="C40" s="54">
        <v>3749.8355793000001</v>
      </c>
      <c r="D40" s="54">
        <v>1262.4716069095662</v>
      </c>
      <c r="E40" s="57">
        <f t="shared" si="1"/>
        <v>2487.3639723904339</v>
      </c>
    </row>
    <row r="41" spans="1:5" x14ac:dyDescent="0.2">
      <c r="A41" s="12">
        <v>3900</v>
      </c>
      <c r="B41" s="15">
        <v>5.5134189706998148E-3</v>
      </c>
      <c r="C41" s="54">
        <v>3849.6253585999998</v>
      </c>
      <c r="D41" s="54">
        <v>1315.4743030449542</v>
      </c>
      <c r="E41" s="57">
        <f t="shared" si="1"/>
        <v>2534.1510555550458</v>
      </c>
    </row>
    <row r="42" spans="1:5" x14ac:dyDescent="0.2">
      <c r="A42" s="12">
        <v>4000</v>
      </c>
      <c r="B42" s="15">
        <v>5.3528714212240256E-3</v>
      </c>
      <c r="C42" s="54">
        <v>3949.8122156999998</v>
      </c>
      <c r="D42" s="54">
        <v>1351.6297690926076</v>
      </c>
      <c r="E42" s="57">
        <f t="shared" si="1"/>
        <v>2598.1824466073922</v>
      </c>
    </row>
    <row r="43" spans="1:5" x14ac:dyDescent="0.2">
      <c r="A43" s="12">
        <v>4100</v>
      </c>
      <c r="B43" s="15">
        <v>5.2059601219440971E-3</v>
      </c>
      <c r="C43" s="54">
        <v>4049.8220792000002</v>
      </c>
      <c r="D43" s="54">
        <v>1355.5031672039497</v>
      </c>
      <c r="E43" s="57">
        <f t="shared" si="1"/>
        <v>2694.3189119960507</v>
      </c>
    </row>
    <row r="44" spans="1:5" x14ac:dyDescent="0.2">
      <c r="A44" s="12">
        <v>4200</v>
      </c>
      <c r="B44" s="15">
        <v>5.039752242198328E-3</v>
      </c>
      <c r="C44" s="54">
        <v>4149.3660362999999</v>
      </c>
      <c r="D44" s="54">
        <v>1403.2523245742327</v>
      </c>
      <c r="E44" s="57">
        <f t="shared" si="1"/>
        <v>2746.1137117257672</v>
      </c>
    </row>
    <row r="45" spans="1:5" x14ac:dyDescent="0.2">
      <c r="A45" s="12">
        <v>4300</v>
      </c>
      <c r="B45" s="15">
        <v>4.8431844091863041E-3</v>
      </c>
      <c r="C45" s="54">
        <v>4250.1688647000001</v>
      </c>
      <c r="D45" s="54">
        <v>1428.7249137574227</v>
      </c>
      <c r="E45" s="57">
        <f t="shared" si="1"/>
        <v>2821.4439509425774</v>
      </c>
    </row>
    <row r="46" spans="1:5" x14ac:dyDescent="0.2">
      <c r="A46" s="12">
        <v>4400</v>
      </c>
      <c r="B46" s="15">
        <v>4.7029625911345335E-3</v>
      </c>
      <c r="C46" s="54">
        <v>4349.8288124000001</v>
      </c>
      <c r="D46" s="54">
        <v>1473.0294991546102</v>
      </c>
      <c r="E46" s="57">
        <f t="shared" si="1"/>
        <v>2876.7993132453898</v>
      </c>
    </row>
    <row r="47" spans="1:5" x14ac:dyDescent="0.2">
      <c r="A47" s="12">
        <v>4500</v>
      </c>
      <c r="B47" s="15">
        <v>4.5704594052690985E-3</v>
      </c>
      <c r="C47" s="54">
        <v>4449.9582344999999</v>
      </c>
      <c r="D47" s="54">
        <v>1507.510891683841</v>
      </c>
      <c r="E47" s="57">
        <f t="shared" si="1"/>
        <v>2942.4473428161591</v>
      </c>
    </row>
    <row r="48" spans="1:5" x14ac:dyDescent="0.2">
      <c r="A48" s="12">
        <v>4600</v>
      </c>
      <c r="B48" s="15">
        <v>4.4333250400918622E-3</v>
      </c>
      <c r="C48" s="54">
        <v>4549.7896828000003</v>
      </c>
      <c r="D48" s="54">
        <v>1540.8603708269177</v>
      </c>
      <c r="E48" s="57">
        <f t="shared" si="1"/>
        <v>3008.9293119730828</v>
      </c>
    </row>
    <row r="49" spans="1:5" x14ac:dyDescent="0.2">
      <c r="A49" s="12">
        <v>4700</v>
      </c>
      <c r="B49" s="15">
        <v>4.3152299676409208E-3</v>
      </c>
      <c r="C49" s="54">
        <v>4649.8572821999996</v>
      </c>
      <c r="D49" s="54">
        <v>1562.9481887274076</v>
      </c>
      <c r="E49" s="57">
        <f t="shared" si="1"/>
        <v>3086.9090934725918</v>
      </c>
    </row>
    <row r="50" spans="1:5" x14ac:dyDescent="0.2">
      <c r="A50" s="12">
        <v>4800</v>
      </c>
      <c r="B50" s="15">
        <v>4.176037300547328E-3</v>
      </c>
      <c r="C50" s="54">
        <v>4749.7428129999998</v>
      </c>
      <c r="D50" s="54">
        <v>1605.8125211403731</v>
      </c>
      <c r="E50" s="57">
        <f t="shared" si="1"/>
        <v>3143.9302918596268</v>
      </c>
    </row>
    <row r="51" spans="1:5" x14ac:dyDescent="0.2">
      <c r="A51" s="12">
        <v>4900</v>
      </c>
      <c r="B51" s="15">
        <v>4.1405315924901822E-3</v>
      </c>
      <c r="C51" s="54">
        <v>4849.2001688999999</v>
      </c>
      <c r="D51" s="54">
        <v>1612.6458944904421</v>
      </c>
      <c r="E51" s="57">
        <f t="shared" si="1"/>
        <v>3236.5542744095578</v>
      </c>
    </row>
    <row r="52" spans="1:5" x14ac:dyDescent="0.2">
      <c r="A52" s="12">
        <v>5000</v>
      </c>
      <c r="B52" s="15">
        <v>3.9946494441684315E-3</v>
      </c>
      <c r="C52" s="54">
        <v>4949.4575961999999</v>
      </c>
      <c r="D52" s="54">
        <v>1670.5387179259556</v>
      </c>
      <c r="E52" s="57">
        <f t="shared" si="1"/>
        <v>3278.9188782740443</v>
      </c>
    </row>
    <row r="53" spans="1:5" x14ac:dyDescent="0.2">
      <c r="A53" s="12">
        <v>5100</v>
      </c>
      <c r="B53" s="15">
        <v>3.8804136878106588E-3</v>
      </c>
      <c r="C53" s="54">
        <v>5049.5342657000001</v>
      </c>
      <c r="D53" s="54">
        <v>1689.4354721054508</v>
      </c>
      <c r="E53" s="57">
        <f t="shared" si="1"/>
        <v>3360.0987935945495</v>
      </c>
    </row>
    <row r="54" spans="1:5" x14ac:dyDescent="0.2">
      <c r="A54" s="12">
        <v>5200</v>
      </c>
      <c r="B54" s="15">
        <v>3.7924212808864285E-3</v>
      </c>
      <c r="C54" s="54">
        <v>5149.819281</v>
      </c>
      <c r="D54" s="54">
        <v>1716.5358402697977</v>
      </c>
      <c r="E54" s="57">
        <f t="shared" si="1"/>
        <v>3433.2834407302025</v>
      </c>
    </row>
    <row r="55" spans="1:5" x14ac:dyDescent="0.2">
      <c r="A55" s="12">
        <v>5300</v>
      </c>
      <c r="B55" s="15">
        <v>3.6714960433004975E-3</v>
      </c>
      <c r="C55" s="54">
        <v>5249.8320856</v>
      </c>
      <c r="D55" s="54">
        <v>1726.253663997727</v>
      </c>
      <c r="E55" s="57">
        <f t="shared" si="1"/>
        <v>3523.578421602273</v>
      </c>
    </row>
    <row r="56" spans="1:5" x14ac:dyDescent="0.2">
      <c r="A56" s="12">
        <v>5400</v>
      </c>
      <c r="B56" s="15">
        <v>3.585561938292623E-3</v>
      </c>
      <c r="C56" s="54">
        <v>5349.6850807999999</v>
      </c>
      <c r="D56" s="54">
        <v>1805.9357734939979</v>
      </c>
      <c r="E56" s="57">
        <f t="shared" si="1"/>
        <v>3543.7493073060023</v>
      </c>
    </row>
    <row r="57" spans="1:5" x14ac:dyDescent="0.2">
      <c r="A57" s="12">
        <v>5500</v>
      </c>
      <c r="B57" s="15">
        <v>3.5088901919083522E-3</v>
      </c>
      <c r="C57" s="54">
        <v>5449.7602567000004</v>
      </c>
      <c r="D57" s="54">
        <v>1820.1864412289453</v>
      </c>
      <c r="E57" s="57">
        <f t="shared" si="1"/>
        <v>3629.5738154710552</v>
      </c>
    </row>
    <row r="58" spans="1:5" x14ac:dyDescent="0.2">
      <c r="A58" s="12">
        <v>5600</v>
      </c>
      <c r="B58" s="15">
        <v>3.3702121002938483E-3</v>
      </c>
      <c r="C58" s="54">
        <v>5549.5926741000003</v>
      </c>
      <c r="D58" s="54">
        <v>1854.4502954546554</v>
      </c>
      <c r="E58" s="57">
        <f t="shared" si="1"/>
        <v>3695.1423786453452</v>
      </c>
    </row>
    <row r="59" spans="1:5" x14ac:dyDescent="0.2">
      <c r="A59" s="12">
        <v>5700</v>
      </c>
      <c r="B59" s="15">
        <v>3.3354782554553364E-3</v>
      </c>
      <c r="C59" s="54">
        <v>5650.1906062999997</v>
      </c>
      <c r="D59" s="54">
        <v>1904.4026000533381</v>
      </c>
      <c r="E59" s="57">
        <f t="shared" si="1"/>
        <v>3745.7880062466616</v>
      </c>
    </row>
    <row r="60" spans="1:5" x14ac:dyDescent="0.2">
      <c r="A60" s="12">
        <v>5800</v>
      </c>
      <c r="B60" s="15">
        <v>3.2526316033219963E-3</v>
      </c>
      <c r="C60" s="54">
        <v>5749.9995791000001</v>
      </c>
      <c r="D60" s="54">
        <v>1905.9794941423363</v>
      </c>
      <c r="E60" s="57">
        <f t="shared" si="1"/>
        <v>3844.020084957664</v>
      </c>
    </row>
    <row r="61" spans="1:5" x14ac:dyDescent="0.2">
      <c r="A61" s="12">
        <v>5900</v>
      </c>
      <c r="B61" s="15">
        <v>3.1957710128826546E-3</v>
      </c>
      <c r="C61" s="54">
        <v>5849.8157031000001</v>
      </c>
      <c r="D61" s="54">
        <v>1914.1725682235265</v>
      </c>
      <c r="E61" s="57">
        <f t="shared" si="1"/>
        <v>3935.6431348764736</v>
      </c>
    </row>
    <row r="62" spans="1:5" x14ac:dyDescent="0.2">
      <c r="A62" s="12">
        <v>6000</v>
      </c>
      <c r="B62" s="15">
        <v>3.0370244775836772E-3</v>
      </c>
      <c r="C62" s="54">
        <v>5949.7955181999996</v>
      </c>
      <c r="D62" s="54">
        <v>1954.0224541226753</v>
      </c>
      <c r="E62" s="57">
        <f t="shared" si="1"/>
        <v>3995.7730640773243</v>
      </c>
    </row>
    <row r="63" spans="1:5" x14ac:dyDescent="0.2">
      <c r="A63" s="12">
        <v>6100</v>
      </c>
      <c r="B63" s="15">
        <v>3.0218445009505494E-3</v>
      </c>
      <c r="C63" s="54">
        <v>6049.5534015000003</v>
      </c>
      <c r="D63" s="54">
        <v>1997.3000419381224</v>
      </c>
      <c r="E63" s="57">
        <f t="shared" si="1"/>
        <v>4052.2533595618779</v>
      </c>
    </row>
    <row r="64" spans="1:5" x14ac:dyDescent="0.2">
      <c r="A64" s="12">
        <v>6200</v>
      </c>
      <c r="B64" s="15">
        <v>2.8808508196801448E-3</v>
      </c>
      <c r="C64" s="54">
        <v>6149.9152456000002</v>
      </c>
      <c r="D64" s="54">
        <v>2002.2087687203168</v>
      </c>
      <c r="E64" s="57">
        <f t="shared" si="1"/>
        <v>4147.7064768796836</v>
      </c>
    </row>
    <row r="65" spans="1:5" x14ac:dyDescent="0.2">
      <c r="A65" s="12">
        <v>6300</v>
      </c>
      <c r="B65" s="15">
        <v>2.807523813909953E-3</v>
      </c>
      <c r="C65" s="54">
        <v>6249.5734666999997</v>
      </c>
      <c r="D65" s="54">
        <v>2066.3425397861124</v>
      </c>
      <c r="E65" s="57">
        <f t="shared" si="1"/>
        <v>4183.2309269138877</v>
      </c>
    </row>
    <row r="66" spans="1:5" x14ac:dyDescent="0.2">
      <c r="A66" s="12">
        <v>6400</v>
      </c>
      <c r="B66" s="15">
        <v>2.7087253219248517E-3</v>
      </c>
      <c r="C66" s="54">
        <v>6349.5611363999997</v>
      </c>
      <c r="D66" s="54">
        <v>2155.8889430816594</v>
      </c>
      <c r="E66" s="57">
        <f t="shared" ref="E66:E85" si="2">C66-D66</f>
        <v>4193.6721933183399</v>
      </c>
    </row>
    <row r="67" spans="1:5" x14ac:dyDescent="0.2">
      <c r="A67" s="12">
        <v>6500</v>
      </c>
      <c r="B67" s="15">
        <v>2.7347113836188497E-3</v>
      </c>
      <c r="C67" s="54">
        <v>6449.8851083</v>
      </c>
      <c r="D67" s="54">
        <v>2135.0043219756021</v>
      </c>
      <c r="E67" s="57">
        <f t="shared" si="2"/>
        <v>4314.8807863243983</v>
      </c>
    </row>
    <row r="68" spans="1:5" x14ac:dyDescent="0.2">
      <c r="A68" s="12">
        <v>7500</v>
      </c>
      <c r="B68" s="15">
        <v>2.3824844681823831E-2</v>
      </c>
      <c r="C68" s="54">
        <v>6982.1209214</v>
      </c>
      <c r="D68" s="54">
        <v>2259.5876564937844</v>
      </c>
      <c r="E68" s="57">
        <f t="shared" si="2"/>
        <v>4722.5332649062157</v>
      </c>
    </row>
    <row r="69" spans="1:5" x14ac:dyDescent="0.2">
      <c r="A69" s="12">
        <v>10000</v>
      </c>
      <c r="B69" s="15">
        <v>4.2034899023567301E-2</v>
      </c>
      <c r="C69" s="54">
        <v>8654.5769748000002</v>
      </c>
      <c r="D69" s="54">
        <v>2661.6424320912834</v>
      </c>
      <c r="E69" s="57">
        <f t="shared" si="2"/>
        <v>5992.9345427087173</v>
      </c>
    </row>
    <row r="70" spans="1:5" x14ac:dyDescent="0.2">
      <c r="A70" s="12">
        <v>15000</v>
      </c>
      <c r="B70" s="15">
        <v>4.7443859172012035E-2</v>
      </c>
      <c r="C70" s="54">
        <v>12213.66762</v>
      </c>
      <c r="D70" s="54">
        <v>3207.7360573327542</v>
      </c>
      <c r="E70" s="57">
        <f t="shared" si="2"/>
        <v>9005.9315626672469</v>
      </c>
    </row>
    <row r="71" spans="1:5" x14ac:dyDescent="0.2">
      <c r="A71" s="12">
        <v>20000</v>
      </c>
      <c r="B71" s="15">
        <v>2.5286239042436782E-2</v>
      </c>
      <c r="C71" s="54">
        <v>17271.077359999999</v>
      </c>
      <c r="D71" s="54">
        <v>3698.5365878003131</v>
      </c>
      <c r="E71" s="57">
        <f t="shared" si="2"/>
        <v>13572.540772199685</v>
      </c>
    </row>
    <row r="72" spans="1:5" x14ac:dyDescent="0.2">
      <c r="A72" s="12">
        <v>25000</v>
      </c>
      <c r="B72" s="15">
        <v>1.4671833347527041E-2</v>
      </c>
      <c r="C72" s="54">
        <v>22286.980856999999</v>
      </c>
      <c r="D72" s="54">
        <v>4379.743990279494</v>
      </c>
      <c r="E72" s="57">
        <f t="shared" si="2"/>
        <v>17907.236866720505</v>
      </c>
    </row>
    <row r="73" spans="1:5" x14ac:dyDescent="0.2">
      <c r="A73" s="12">
        <v>30000</v>
      </c>
      <c r="B73" s="15">
        <v>9.2446057695746448E-3</v>
      </c>
      <c r="C73" s="54">
        <v>27326.440060000001</v>
      </c>
      <c r="D73" s="54">
        <v>5514.2738979328242</v>
      </c>
      <c r="E73" s="57">
        <f t="shared" si="2"/>
        <v>21812.166162067177</v>
      </c>
    </row>
    <row r="74" spans="1:5" x14ac:dyDescent="0.2">
      <c r="A74" s="12">
        <v>35000</v>
      </c>
      <c r="B74" s="15">
        <v>6.3274773786187195E-3</v>
      </c>
      <c r="C74" s="54">
        <v>32359.214279</v>
      </c>
      <c r="D74" s="54">
        <v>6907.9002955920114</v>
      </c>
      <c r="E74" s="57">
        <f t="shared" si="2"/>
        <v>25451.313983407988</v>
      </c>
    </row>
    <row r="75" spans="1:5" x14ac:dyDescent="0.2">
      <c r="A75" s="12">
        <v>40000</v>
      </c>
      <c r="B75" s="15">
        <v>4.4760348048562548E-3</v>
      </c>
      <c r="C75" s="54">
        <v>37367.143090999998</v>
      </c>
      <c r="D75" s="54">
        <v>7576.80463694427</v>
      </c>
      <c r="E75" s="57">
        <f t="shared" si="2"/>
        <v>29790.338454055727</v>
      </c>
    </row>
    <row r="76" spans="1:5" x14ac:dyDescent="0.2">
      <c r="A76" s="12">
        <v>45000</v>
      </c>
      <c r="B76" s="15">
        <v>3.2871081604209638E-3</v>
      </c>
      <c r="C76" s="54">
        <v>42376.995106000002</v>
      </c>
      <c r="D76" s="54">
        <v>7963.8769067024987</v>
      </c>
      <c r="E76" s="57">
        <f t="shared" si="2"/>
        <v>34413.118199297503</v>
      </c>
    </row>
    <row r="77" spans="1:5" x14ac:dyDescent="0.2">
      <c r="A77" s="12">
        <v>50000</v>
      </c>
      <c r="B77" s="15">
        <v>2.6027227732325041E-3</v>
      </c>
      <c r="C77" s="54">
        <v>47409.342155999999</v>
      </c>
      <c r="D77" s="54">
        <v>8742.4446005880618</v>
      </c>
      <c r="E77" s="57">
        <f t="shared" si="2"/>
        <v>38666.897555411939</v>
      </c>
    </row>
    <row r="78" spans="1:5" x14ac:dyDescent="0.2">
      <c r="A78" s="12">
        <v>100000</v>
      </c>
      <c r="B78" s="15">
        <v>1.0226415783676585E-2</v>
      </c>
      <c r="C78" s="54">
        <v>67790.064784000002</v>
      </c>
      <c r="D78" s="54">
        <v>10455.309978549147</v>
      </c>
      <c r="E78" s="57">
        <f t="shared" si="2"/>
        <v>57334.754805450852</v>
      </c>
    </row>
    <row r="79" spans="1:5" x14ac:dyDescent="0.2">
      <c r="A79" s="12">
        <v>200000</v>
      </c>
      <c r="B79" s="15">
        <v>3.4219269359422998E-3</v>
      </c>
      <c r="C79" s="54">
        <v>135528.84332000001</v>
      </c>
      <c r="D79" s="54">
        <v>11003.626825542737</v>
      </c>
      <c r="E79" s="57">
        <f t="shared" si="2"/>
        <v>124525.21649445727</v>
      </c>
    </row>
    <row r="80" spans="1:5" x14ac:dyDescent="0.2">
      <c r="A80" s="12">
        <v>300000</v>
      </c>
      <c r="B80" s="15">
        <v>7.8961607266217428E-4</v>
      </c>
      <c r="C80" s="54">
        <v>239942.79032</v>
      </c>
      <c r="D80" s="54">
        <v>14126.9769960946</v>
      </c>
      <c r="E80" s="57">
        <f t="shared" si="2"/>
        <v>225815.8133239054</v>
      </c>
    </row>
    <row r="81" spans="1:5" x14ac:dyDescent="0.2">
      <c r="A81" s="12">
        <v>400000</v>
      </c>
      <c r="B81" s="15">
        <v>2.6269078207496902E-4</v>
      </c>
      <c r="C81" s="54">
        <v>342869.84759000002</v>
      </c>
      <c r="D81" s="54">
        <v>14593.017430382073</v>
      </c>
      <c r="E81" s="57">
        <f t="shared" si="2"/>
        <v>328276.83015961794</v>
      </c>
    </row>
    <row r="82" spans="1:5" x14ac:dyDescent="0.2">
      <c r="A82" s="12">
        <v>500000</v>
      </c>
      <c r="B82" s="15">
        <v>1.2298353950228715E-4</v>
      </c>
      <c r="C82" s="54">
        <v>443571.48762999999</v>
      </c>
      <c r="D82" s="54">
        <v>23132.632201645665</v>
      </c>
      <c r="E82" s="57">
        <f t="shared" si="2"/>
        <v>420438.85542835435</v>
      </c>
    </row>
    <row r="83" spans="1:5" x14ac:dyDescent="0.2">
      <c r="A83" s="12">
        <v>1000000</v>
      </c>
      <c r="B83" s="15">
        <v>1.5385806824763122E-4</v>
      </c>
      <c r="C83" s="54">
        <v>648500.43969000003</v>
      </c>
      <c r="D83" s="54">
        <v>22599.517216652133</v>
      </c>
      <c r="E83" s="57">
        <f t="shared" si="2"/>
        <v>625900.92247334786</v>
      </c>
    </row>
    <row r="84" spans="1:5" x14ac:dyDescent="0.2">
      <c r="A84" s="12">
        <v>2000000</v>
      </c>
      <c r="B84" s="15">
        <v>2.7015212652176048E-5</v>
      </c>
      <c r="C84" s="54">
        <v>1343127.7834000001</v>
      </c>
      <c r="D84" s="54">
        <v>16474.766949163164</v>
      </c>
      <c r="E84" s="57">
        <f t="shared" si="2"/>
        <v>1326653.016450837</v>
      </c>
    </row>
    <row r="85" spans="1:5" x14ac:dyDescent="0.2">
      <c r="A85" s="13" t="s">
        <v>11</v>
      </c>
      <c r="B85" s="15">
        <v>3.0874528745344058E-6</v>
      </c>
      <c r="C85" s="54">
        <v>2694283.6702999999</v>
      </c>
      <c r="D85" s="54">
        <v>132566.44899455705</v>
      </c>
      <c r="E85" s="57">
        <f t="shared" si="2"/>
        <v>2561717.221305443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enableFormatConditionsCalculation="0"/>
  <dimension ref="A1:D85"/>
  <sheetViews>
    <sheetView workbookViewId="0">
      <selection activeCell="D12" sqref="D12"/>
    </sheetView>
  </sheetViews>
  <sheetFormatPr baseColWidth="10" defaultColWidth="8.83203125" defaultRowHeight="15" x14ac:dyDescent="0.2"/>
  <cols>
    <col min="2" max="2" width="12.6640625" bestFit="1" customWidth="1"/>
    <col min="4" max="4" width="12.6640625" bestFit="1" customWidth="1"/>
  </cols>
  <sheetData>
    <row r="1" spans="1:4" x14ac:dyDescent="0.2">
      <c r="A1" s="14" t="s">
        <v>17</v>
      </c>
      <c r="B1" s="14" t="s">
        <v>16</v>
      </c>
      <c r="C1" s="14" t="s">
        <v>15</v>
      </c>
      <c r="D1" s="14" t="s">
        <v>14</v>
      </c>
    </row>
    <row r="2" spans="1:4" x14ac:dyDescent="0.2">
      <c r="A2" s="15">
        <v>0.14983666087855016</v>
      </c>
      <c r="B2" s="4">
        <v>0</v>
      </c>
      <c r="C2" s="15">
        <v>0.28737625424556928</v>
      </c>
      <c r="D2" s="17">
        <v>0</v>
      </c>
    </row>
    <row r="3" spans="1:4" x14ac:dyDescent="0.2">
      <c r="A3" s="15">
        <v>1.9412359948635077E-2</v>
      </c>
      <c r="B3" s="4">
        <v>68.403469188000003</v>
      </c>
      <c r="C3" s="15">
        <v>0.1857975109469501</v>
      </c>
      <c r="D3" s="17">
        <v>40.294779120000001</v>
      </c>
    </row>
    <row r="4" spans="1:4" x14ac:dyDescent="0.2">
      <c r="A4" s="15">
        <v>5.2093820488800395E-2</v>
      </c>
      <c r="B4" s="4">
        <v>149.11389061</v>
      </c>
      <c r="C4" s="15">
        <v>7.7468566513640494E-2</v>
      </c>
      <c r="D4" s="17">
        <v>146.11794936999999</v>
      </c>
    </row>
    <row r="5" spans="1:4" x14ac:dyDescent="0.2">
      <c r="A5" s="15">
        <v>4.9065286506621689E-2</v>
      </c>
      <c r="B5" s="4">
        <v>248.88865167</v>
      </c>
      <c r="C5" s="15">
        <v>5.1122301984280236E-2</v>
      </c>
      <c r="D5" s="17">
        <v>247.10129515</v>
      </c>
    </row>
    <row r="6" spans="1:4" x14ac:dyDescent="0.2">
      <c r="A6" s="15">
        <v>4.4646112292204776E-2</v>
      </c>
      <c r="B6" s="4">
        <v>349.34732351000002</v>
      </c>
      <c r="C6" s="15">
        <v>3.7454662684195505E-2</v>
      </c>
      <c r="D6" s="17">
        <v>347.87442003000001</v>
      </c>
    </row>
    <row r="7" spans="1:4" x14ac:dyDescent="0.2">
      <c r="A7" s="15">
        <v>4.1150343775013191E-2</v>
      </c>
      <c r="B7" s="4">
        <v>449.26555389999999</v>
      </c>
      <c r="C7" s="15">
        <v>3.052744758469848E-2</v>
      </c>
      <c r="D7" s="17">
        <v>448.32291277000002</v>
      </c>
    </row>
    <row r="8" spans="1:4" x14ac:dyDescent="0.2">
      <c r="A8" s="15">
        <v>3.7534679171193859E-2</v>
      </c>
      <c r="B8" s="4">
        <v>549.21261305999997</v>
      </c>
      <c r="C8" s="15">
        <v>2.4483501295057837E-2</v>
      </c>
      <c r="D8" s="17">
        <v>548.16978275999998</v>
      </c>
    </row>
    <row r="9" spans="1:4" x14ac:dyDescent="0.2">
      <c r="A9" s="15">
        <v>3.3660697676871812E-2</v>
      </c>
      <c r="B9" s="4">
        <v>649.20550418000005</v>
      </c>
      <c r="C9" s="15">
        <v>1.9958324531948575E-2</v>
      </c>
      <c r="D9" s="17">
        <v>648.61104612999998</v>
      </c>
    </row>
    <row r="10" spans="1:4" x14ac:dyDescent="0.2">
      <c r="A10" s="15">
        <v>3.0395973549791223E-2</v>
      </c>
      <c r="B10" s="4">
        <v>749.15677253000001</v>
      </c>
      <c r="C10" s="15">
        <v>1.7164436968234484E-2</v>
      </c>
      <c r="D10" s="17">
        <v>748.67908131000002</v>
      </c>
    </row>
    <row r="11" spans="1:4" x14ac:dyDescent="0.2">
      <c r="A11" s="15">
        <v>2.7074131544531747E-2</v>
      </c>
      <c r="B11" s="4">
        <v>849.16819309000005</v>
      </c>
      <c r="C11" s="15">
        <v>1.5299615432015704E-2</v>
      </c>
      <c r="D11" s="17">
        <v>848.97864508999999</v>
      </c>
    </row>
    <row r="12" spans="1:4" x14ac:dyDescent="0.2">
      <c r="A12" s="15">
        <v>2.443435933680483E-2</v>
      </c>
      <c r="B12" s="4">
        <v>949.02345950999995</v>
      </c>
      <c r="C12" s="15">
        <v>1.3765665928851192E-2</v>
      </c>
      <c r="D12" s="17">
        <v>949.31151163000004</v>
      </c>
    </row>
    <row r="13" spans="1:4" x14ac:dyDescent="0.2">
      <c r="A13" s="15">
        <v>2.1920915409194282E-2</v>
      </c>
      <c r="B13" s="4">
        <v>1048.9969394</v>
      </c>
      <c r="C13" s="15">
        <v>1.2684800135024606E-2</v>
      </c>
      <c r="D13" s="17">
        <v>1049.1771662000001</v>
      </c>
    </row>
    <row r="14" spans="1:4" x14ac:dyDescent="0.2">
      <c r="A14" s="15">
        <v>1.9888599554532007E-2</v>
      </c>
      <c r="B14" s="4">
        <v>1149.2586911999999</v>
      </c>
      <c r="C14" s="15">
        <v>1.1847843118286237E-2</v>
      </c>
      <c r="D14" s="17">
        <v>1148.9417154</v>
      </c>
    </row>
    <row r="15" spans="1:4" x14ac:dyDescent="0.2">
      <c r="A15" s="15">
        <v>1.8016059386126892E-2</v>
      </c>
      <c r="B15" s="4">
        <v>1249.4194358</v>
      </c>
      <c r="C15" s="15">
        <v>1.0995706124914741E-2</v>
      </c>
      <c r="D15" s="17">
        <v>1249.1386528</v>
      </c>
    </row>
    <row r="16" spans="1:4" x14ac:dyDescent="0.2">
      <c r="A16" s="15">
        <v>1.6494716982200064E-2</v>
      </c>
      <c r="B16" s="4">
        <v>1349.3643199000001</v>
      </c>
      <c r="C16" s="15">
        <v>1.0023415757175948E-2</v>
      </c>
      <c r="D16" s="17">
        <v>1348.9089216</v>
      </c>
    </row>
    <row r="17" spans="1:4" x14ac:dyDescent="0.2">
      <c r="A17" s="15">
        <v>1.5156563448828942E-2</v>
      </c>
      <c r="B17" s="4">
        <v>1449.5429521000001</v>
      </c>
      <c r="C17" s="15">
        <v>9.145807277589544E-3</v>
      </c>
      <c r="D17" s="17">
        <v>1449.5133275999999</v>
      </c>
    </row>
    <row r="18" spans="1:4" x14ac:dyDescent="0.2">
      <c r="A18" s="15">
        <v>1.3796025882117447E-2</v>
      </c>
      <c r="B18" s="4">
        <v>1549.1703416</v>
      </c>
      <c r="C18" s="15">
        <v>8.4107362057108098E-3</v>
      </c>
      <c r="D18" s="17">
        <v>1549.2944352</v>
      </c>
    </row>
    <row r="19" spans="1:4" x14ac:dyDescent="0.2">
      <c r="A19" s="15">
        <v>1.2767646787157945E-2</v>
      </c>
      <c r="B19" s="4">
        <v>1649.3456867</v>
      </c>
      <c r="C19" s="15">
        <v>7.7978768101157302E-3</v>
      </c>
      <c r="D19" s="17">
        <v>1648.9613327</v>
      </c>
    </row>
    <row r="20" spans="1:4" x14ac:dyDescent="0.2">
      <c r="A20" s="15">
        <v>1.1930947058159122E-2</v>
      </c>
      <c r="B20" s="4">
        <v>1749.1405055</v>
      </c>
      <c r="C20" s="15">
        <v>7.2138336413496386E-3</v>
      </c>
      <c r="D20" s="17">
        <v>1749.6780618</v>
      </c>
    </row>
    <row r="21" spans="1:4" x14ac:dyDescent="0.2">
      <c r="A21" s="15">
        <v>1.113978725905968E-2</v>
      </c>
      <c r="B21" s="4">
        <v>1849.2504345</v>
      </c>
      <c r="C21" s="15">
        <v>6.756118752699913E-3</v>
      </c>
      <c r="D21" s="17">
        <v>1849.4705503</v>
      </c>
    </row>
    <row r="22" spans="1:4" x14ac:dyDescent="0.2">
      <c r="A22" s="15">
        <v>1.0373584370696059E-2</v>
      </c>
      <c r="B22" s="4">
        <v>1949.5677080999999</v>
      </c>
      <c r="C22" s="15">
        <v>6.4234457054688308E-3</v>
      </c>
      <c r="D22" s="17">
        <v>1949.728801</v>
      </c>
    </row>
    <row r="23" spans="1:4" x14ac:dyDescent="0.2">
      <c r="A23" s="15">
        <v>9.8101242210935288E-3</v>
      </c>
      <c r="B23" s="4">
        <v>2049.5767031999999</v>
      </c>
      <c r="C23" s="15">
        <v>6.1677016923615642E-3</v>
      </c>
      <c r="D23" s="17">
        <v>2049.2473666000001</v>
      </c>
    </row>
    <row r="24" spans="1:4" x14ac:dyDescent="0.2">
      <c r="A24" s="15">
        <v>9.2551545668959692E-3</v>
      </c>
      <c r="B24" s="4">
        <v>2149.6094509999998</v>
      </c>
      <c r="C24" s="15">
        <v>5.8414608386190957E-3</v>
      </c>
      <c r="D24" s="17">
        <v>2150.2008473000001</v>
      </c>
    </row>
    <row r="25" spans="1:4" x14ac:dyDescent="0.2">
      <c r="A25" s="15">
        <v>8.7675943004590778E-3</v>
      </c>
      <c r="B25" s="4">
        <v>2249.8287264999999</v>
      </c>
      <c r="C25" s="15">
        <v>5.4274848656919407E-3</v>
      </c>
      <c r="D25" s="17">
        <v>2249.4125269000001</v>
      </c>
    </row>
    <row r="26" spans="1:4" x14ac:dyDescent="0.2">
      <c r="A26" s="15">
        <v>8.3078211098929974E-3</v>
      </c>
      <c r="B26" s="4">
        <v>2349.397524</v>
      </c>
      <c r="C26" s="15">
        <v>5.1709689893660402E-3</v>
      </c>
      <c r="D26" s="17">
        <v>2349.4955424</v>
      </c>
    </row>
    <row r="27" spans="1:4" x14ac:dyDescent="0.2">
      <c r="A27" s="15">
        <v>7.9344965998138783E-3</v>
      </c>
      <c r="B27" s="4">
        <v>2449.5800770000001</v>
      </c>
      <c r="C27" s="15">
        <v>4.9810906375821742E-3</v>
      </c>
      <c r="D27" s="17">
        <v>2449.9595515000001</v>
      </c>
    </row>
    <row r="28" spans="1:4" x14ac:dyDescent="0.2">
      <c r="A28" s="15">
        <v>7.4749806969873411E-3</v>
      </c>
      <c r="B28" s="4">
        <v>2549.5094161000002</v>
      </c>
      <c r="C28" s="15">
        <v>4.49790426271754E-3</v>
      </c>
      <c r="D28" s="17">
        <v>2549.4303657</v>
      </c>
    </row>
    <row r="29" spans="1:4" x14ac:dyDescent="0.2">
      <c r="A29" s="15">
        <v>7.1556866122125746E-3</v>
      </c>
      <c r="B29" s="4">
        <v>2649.6523280000001</v>
      </c>
      <c r="C29" s="15">
        <v>4.3273224913995137E-3</v>
      </c>
      <c r="D29" s="17">
        <v>2649.7412859999999</v>
      </c>
    </row>
    <row r="30" spans="1:4" x14ac:dyDescent="0.2">
      <c r="A30" s="15">
        <v>6.8657233297458849E-3</v>
      </c>
      <c r="B30" s="4">
        <v>2749.8448410000001</v>
      </c>
      <c r="C30" s="15">
        <v>4.0641171338454563E-3</v>
      </c>
      <c r="D30" s="17">
        <v>2749.5705426999998</v>
      </c>
    </row>
    <row r="31" spans="1:4" x14ac:dyDescent="0.2">
      <c r="A31" s="15">
        <v>6.5369095986079701E-3</v>
      </c>
      <c r="B31" s="4">
        <v>2849.6481039</v>
      </c>
      <c r="C31" s="15">
        <v>3.9048560230673895E-3</v>
      </c>
      <c r="D31" s="17">
        <v>2849.7679318</v>
      </c>
    </row>
    <row r="32" spans="1:4" x14ac:dyDescent="0.2">
      <c r="A32" s="15">
        <v>6.2225039808845497E-3</v>
      </c>
      <c r="B32" s="4">
        <v>2949.3862343999999</v>
      </c>
      <c r="C32" s="15">
        <v>3.7247546053862158E-3</v>
      </c>
      <c r="D32" s="17">
        <v>2950.0550616</v>
      </c>
    </row>
    <row r="33" spans="1:4" x14ac:dyDescent="0.2">
      <c r="A33" s="15">
        <v>5.9484925382696213E-3</v>
      </c>
      <c r="B33" s="4">
        <v>3049.3384102</v>
      </c>
      <c r="C33" s="15">
        <v>3.5099193428665301E-3</v>
      </c>
      <c r="D33" s="17">
        <v>3049.2566077000001</v>
      </c>
    </row>
    <row r="34" spans="1:4" x14ac:dyDescent="0.2">
      <c r="A34" s="15">
        <v>5.6160767787780839E-3</v>
      </c>
      <c r="B34" s="4">
        <v>3149.5878440000001</v>
      </c>
      <c r="C34" s="15">
        <v>3.326215896831733E-3</v>
      </c>
      <c r="D34" s="17">
        <v>3149.6412261</v>
      </c>
    </row>
    <row r="35" spans="1:4" x14ac:dyDescent="0.2">
      <c r="A35" s="15">
        <v>5.4447231442414246E-3</v>
      </c>
      <c r="B35" s="4">
        <v>3249.4858463</v>
      </c>
      <c r="C35" s="15">
        <v>3.1942272864453874E-3</v>
      </c>
      <c r="D35" s="17">
        <v>3249.4275019000002</v>
      </c>
    </row>
    <row r="36" spans="1:4" x14ac:dyDescent="0.2">
      <c r="A36" s="15">
        <v>5.299098283659218E-3</v>
      </c>
      <c r="B36" s="4">
        <v>3349.6185095999999</v>
      </c>
      <c r="C36" s="15">
        <v>3.0516898787377156E-3</v>
      </c>
      <c r="D36" s="17">
        <v>3349.6313057000002</v>
      </c>
    </row>
    <row r="37" spans="1:4" x14ac:dyDescent="0.2">
      <c r="A37" s="15">
        <v>5.0227712513883889E-3</v>
      </c>
      <c r="B37" s="4">
        <v>3449.6439802</v>
      </c>
      <c r="C37" s="15">
        <v>2.897317235010995E-3</v>
      </c>
      <c r="D37" s="17">
        <v>3449.7161603999998</v>
      </c>
    </row>
    <row r="38" spans="1:4" x14ac:dyDescent="0.2">
      <c r="A38" s="15">
        <v>4.8341793383022457E-3</v>
      </c>
      <c r="B38" s="4">
        <v>3549.6205794000002</v>
      </c>
      <c r="C38" s="15">
        <v>2.7246771617766129E-3</v>
      </c>
      <c r="D38" s="17">
        <v>3549.9615181999998</v>
      </c>
    </row>
    <row r="39" spans="1:4" x14ac:dyDescent="0.2">
      <c r="A39" s="15">
        <v>4.6605101141096858E-3</v>
      </c>
      <c r="B39" s="4">
        <v>3649.4836758000001</v>
      </c>
      <c r="C39" s="15">
        <v>2.6070966648047609E-3</v>
      </c>
      <c r="D39" s="17">
        <v>3649.5160633</v>
      </c>
    </row>
    <row r="40" spans="1:4" x14ac:dyDescent="0.2">
      <c r="A40" s="15">
        <v>4.509996786476133E-3</v>
      </c>
      <c r="B40" s="4">
        <v>3749.5575564999999</v>
      </c>
      <c r="C40" s="15">
        <v>2.4892588800933648E-3</v>
      </c>
      <c r="D40" s="17">
        <v>3748.9555908000002</v>
      </c>
    </row>
    <row r="41" spans="1:4" x14ac:dyDescent="0.2">
      <c r="A41" s="15">
        <v>4.2877001795096556E-3</v>
      </c>
      <c r="B41" s="4">
        <v>3849.5666215000001</v>
      </c>
      <c r="C41" s="15">
        <v>2.3858292087964618E-3</v>
      </c>
      <c r="D41" s="17">
        <v>3849.5115340000002</v>
      </c>
    </row>
    <row r="42" spans="1:4" x14ac:dyDescent="0.2">
      <c r="A42" s="15">
        <v>4.1292109319502231E-3</v>
      </c>
      <c r="B42" s="4">
        <v>3949.765562</v>
      </c>
      <c r="C42" s="15">
        <v>2.277768358187758E-3</v>
      </c>
      <c r="D42" s="17">
        <v>3949.8755077000001</v>
      </c>
    </row>
    <row r="43" spans="1:4" x14ac:dyDescent="0.2">
      <c r="A43" s="15">
        <v>3.9987660480011447E-3</v>
      </c>
      <c r="B43" s="4">
        <v>4049.7900100000002</v>
      </c>
      <c r="C43" s="15">
        <v>2.1681637811417865E-3</v>
      </c>
      <c r="D43" s="17">
        <v>4049.9820636999998</v>
      </c>
    </row>
    <row r="44" spans="1:4" x14ac:dyDescent="0.2">
      <c r="A44" s="15">
        <v>3.9159193958678042E-3</v>
      </c>
      <c r="B44" s="4">
        <v>4149.5581785000004</v>
      </c>
      <c r="C44" s="15">
        <v>2.116448945493335E-3</v>
      </c>
      <c r="D44" s="17">
        <v>4149.2962282999997</v>
      </c>
    </row>
    <row r="45" spans="1:4" x14ac:dyDescent="0.2">
      <c r="A45" s="15">
        <v>3.6794719632263781E-3</v>
      </c>
      <c r="B45" s="4">
        <v>4249.7329659999996</v>
      </c>
      <c r="C45" s="15">
        <v>2.0047860665310074E-3</v>
      </c>
      <c r="D45" s="17">
        <v>4249.2183180000002</v>
      </c>
    </row>
    <row r="46" spans="1:4" x14ac:dyDescent="0.2">
      <c r="A46" s="15">
        <v>3.6151500283402443E-3</v>
      </c>
      <c r="B46" s="4">
        <v>4349.6220344000003</v>
      </c>
      <c r="C46" s="15">
        <v>1.952556655403467E-3</v>
      </c>
      <c r="D46" s="17">
        <v>4349.5301250000002</v>
      </c>
    </row>
    <row r="47" spans="1:4" x14ac:dyDescent="0.2">
      <c r="A47" s="15">
        <v>3.5101766306060746E-3</v>
      </c>
      <c r="B47" s="4">
        <v>4449.8292694000002</v>
      </c>
      <c r="C47" s="15">
        <v>1.8524717247206434E-3</v>
      </c>
      <c r="D47" s="17">
        <v>4450.0733996999998</v>
      </c>
    </row>
    <row r="48" spans="1:4" x14ac:dyDescent="0.2">
      <c r="A48" s="15">
        <v>3.3480853546930182E-3</v>
      </c>
      <c r="B48" s="4">
        <v>4549.5299931</v>
      </c>
      <c r="C48" s="15">
        <v>1.7812030208668075E-3</v>
      </c>
      <c r="D48" s="17">
        <v>4549.1443024999999</v>
      </c>
    </row>
    <row r="49" spans="1:4" x14ac:dyDescent="0.2">
      <c r="A49" s="15">
        <v>3.2727000470064698E-3</v>
      </c>
      <c r="B49" s="4">
        <v>4649.9003552000004</v>
      </c>
      <c r="C49" s="15">
        <v>1.7302600484369898E-3</v>
      </c>
      <c r="D49" s="17">
        <v>4649.7169172000004</v>
      </c>
    </row>
    <row r="50" spans="1:4" x14ac:dyDescent="0.2">
      <c r="A50" s="15">
        <v>3.1566632764718854E-3</v>
      </c>
      <c r="B50" s="4">
        <v>4749.9532951000001</v>
      </c>
      <c r="C50" s="15">
        <v>1.6417530660336702E-3</v>
      </c>
      <c r="D50" s="17">
        <v>4750.4446490999999</v>
      </c>
    </row>
    <row r="51" spans="1:4" x14ac:dyDescent="0.2">
      <c r="A51" s="15">
        <v>3.0599230864031407E-3</v>
      </c>
      <c r="B51" s="4">
        <v>4849.9840758</v>
      </c>
      <c r="C51" s="15">
        <v>1.6219419100887411E-3</v>
      </c>
      <c r="D51" s="17">
        <v>4849.5409645999998</v>
      </c>
    </row>
    <row r="52" spans="1:4" x14ac:dyDescent="0.2">
      <c r="A52" s="15">
        <v>3.0130967178060354E-3</v>
      </c>
      <c r="B52" s="4">
        <v>4949.3046039000001</v>
      </c>
      <c r="C52" s="15">
        <v>1.5964704238738323E-3</v>
      </c>
      <c r="D52" s="17">
        <v>4949.6717916999996</v>
      </c>
    </row>
    <row r="53" spans="1:4" x14ac:dyDescent="0.2">
      <c r="A53" s="15">
        <v>2.8708165978379081E-3</v>
      </c>
      <c r="B53" s="4">
        <v>5049.5399527</v>
      </c>
      <c r="C53" s="15">
        <v>1.4956136299723751E-3</v>
      </c>
      <c r="D53" s="17">
        <v>5049.7275386000001</v>
      </c>
    </row>
    <row r="54" spans="1:4" x14ac:dyDescent="0.2">
      <c r="A54" s="15">
        <v>2.7527215253869671E-3</v>
      </c>
      <c r="B54" s="4">
        <v>5149.8154905000001</v>
      </c>
      <c r="C54" s="15">
        <v>1.4544475916452497E-3</v>
      </c>
      <c r="D54" s="17">
        <v>5149.1596951000001</v>
      </c>
    </row>
    <row r="55" spans="1:4" x14ac:dyDescent="0.2">
      <c r="A55" s="15">
        <v>2.7434591667633641E-3</v>
      </c>
      <c r="B55" s="4">
        <v>5249.6160276999999</v>
      </c>
      <c r="C55" s="15">
        <v>1.3849799019682255E-3</v>
      </c>
      <c r="D55" s="17">
        <v>5249.9273280999996</v>
      </c>
    </row>
    <row r="56" spans="1:4" x14ac:dyDescent="0.2">
      <c r="A56" s="15">
        <v>2.6171308866469981E-3</v>
      </c>
      <c r="B56" s="4">
        <v>5350.0014658</v>
      </c>
      <c r="C56" s="15">
        <v>1.354877236441515E-3</v>
      </c>
      <c r="D56" s="17">
        <v>5350.1304382999997</v>
      </c>
    </row>
    <row r="57" spans="1:4" x14ac:dyDescent="0.2">
      <c r="A57" s="15">
        <v>2.5414882912209048E-3</v>
      </c>
      <c r="B57" s="4">
        <v>5450.1022272999999</v>
      </c>
      <c r="C57" s="15">
        <v>1.2939000421694606E-3</v>
      </c>
      <c r="D57" s="17">
        <v>5449.6261256999996</v>
      </c>
    </row>
    <row r="58" spans="1:4" x14ac:dyDescent="0.2">
      <c r="A58" s="15">
        <v>2.4758799176370487E-3</v>
      </c>
      <c r="B58" s="4">
        <v>5550.0691466999997</v>
      </c>
      <c r="C58" s="15">
        <v>1.229578107283327E-3</v>
      </c>
      <c r="D58" s="17">
        <v>5550.0872024999999</v>
      </c>
    </row>
    <row r="59" spans="1:4" x14ac:dyDescent="0.2">
      <c r="A59" s="15">
        <v>2.3598431471024642E-3</v>
      </c>
      <c r="B59" s="4">
        <v>5650.1935149000001</v>
      </c>
      <c r="C59" s="15">
        <v>1.1958734134029931E-3</v>
      </c>
      <c r="D59" s="17">
        <v>5649.5270530999996</v>
      </c>
    </row>
    <row r="60" spans="1:4" x14ac:dyDescent="0.2">
      <c r="A60" s="15">
        <v>2.3076137359749238E-3</v>
      </c>
      <c r="B60" s="4">
        <v>5749.9879723000004</v>
      </c>
      <c r="C60" s="15">
        <v>1.134638931391394E-3</v>
      </c>
      <c r="D60" s="17">
        <v>5750.0198465000003</v>
      </c>
    </row>
    <row r="61" spans="1:4" x14ac:dyDescent="0.2">
      <c r="A61" s="15">
        <v>2.3150750804217151E-3</v>
      </c>
      <c r="B61" s="4">
        <v>5849.3584775999998</v>
      </c>
      <c r="C61" s="15">
        <v>1.1109684593532969E-3</v>
      </c>
      <c r="D61" s="17">
        <v>5849.4000852999998</v>
      </c>
    </row>
    <row r="62" spans="1:4" x14ac:dyDescent="0.2">
      <c r="A62" s="15">
        <v>2.1900332390030718E-3</v>
      </c>
      <c r="B62" s="4">
        <v>5949.6541557999999</v>
      </c>
      <c r="C62" s="15">
        <v>1.0734044493797951E-3</v>
      </c>
      <c r="D62" s="17">
        <v>5949.2913909999997</v>
      </c>
    </row>
    <row r="63" spans="1:4" x14ac:dyDescent="0.2">
      <c r="A63" s="15">
        <v>2.1460370355409564E-3</v>
      </c>
      <c r="B63" s="4">
        <v>6049.6707397999999</v>
      </c>
      <c r="C63" s="15">
        <v>1.0322384110526695E-3</v>
      </c>
      <c r="D63" s="17">
        <v>6050.0024869999997</v>
      </c>
    </row>
    <row r="64" spans="1:4" x14ac:dyDescent="0.2">
      <c r="A64" s="15">
        <v>2.0896910205807037E-3</v>
      </c>
      <c r="B64" s="4">
        <v>6149.4972885999996</v>
      </c>
      <c r="C64" s="15">
        <v>9.8283916506011911E-4</v>
      </c>
      <c r="D64" s="17">
        <v>6149.6259350999999</v>
      </c>
    </row>
    <row r="65" spans="1:4" x14ac:dyDescent="0.2">
      <c r="A65" s="15">
        <v>2.015592151591878E-3</v>
      </c>
      <c r="B65" s="4">
        <v>6249.8450818000001</v>
      </c>
      <c r="C65" s="15">
        <v>9.5170734857523052E-4</v>
      </c>
      <c r="D65" s="17">
        <v>6250.1672356999998</v>
      </c>
    </row>
    <row r="66" spans="1:4" x14ac:dyDescent="0.2">
      <c r="A66" s="15">
        <v>1.981372882232455E-3</v>
      </c>
      <c r="B66" s="4">
        <v>6349.8086725000003</v>
      </c>
      <c r="C66" s="15">
        <v>9.3884296159800387E-4</v>
      </c>
      <c r="D66" s="17">
        <v>6350.2930733000003</v>
      </c>
    </row>
    <row r="67" spans="1:4" x14ac:dyDescent="0.2">
      <c r="A67" s="15">
        <v>1.929400758844459E-3</v>
      </c>
      <c r="B67" s="4">
        <v>6449.4482205000004</v>
      </c>
      <c r="C67" s="15">
        <v>9.1337147538309504E-4</v>
      </c>
      <c r="D67" s="17">
        <v>6449.9886288999996</v>
      </c>
    </row>
    <row r="68" spans="1:4" x14ac:dyDescent="0.2">
      <c r="A68" s="15">
        <v>1.6791627033634453E-2</v>
      </c>
      <c r="B68" s="4">
        <v>6979.9070715999997</v>
      </c>
      <c r="C68" s="15">
        <v>7.5411036460502857E-3</v>
      </c>
      <c r="D68" s="17">
        <v>6975.5953680000002</v>
      </c>
    </row>
    <row r="69" spans="1:4" x14ac:dyDescent="0.2">
      <c r="A69" s="15">
        <v>2.9309962001173747E-2</v>
      </c>
      <c r="B69" s="4">
        <v>8654.3607647000008</v>
      </c>
      <c r="C69" s="15">
        <v>1.1111228319970237E-2</v>
      </c>
      <c r="D69" s="17">
        <v>8598.0928055000004</v>
      </c>
    </row>
    <row r="70" spans="1:4" x14ac:dyDescent="0.2">
      <c r="A70" s="15">
        <v>3.3943971478110346E-2</v>
      </c>
      <c r="B70" s="4">
        <v>12235.882953</v>
      </c>
      <c r="C70" s="15">
        <v>8.4997577635932183E-3</v>
      </c>
      <c r="D70" s="17">
        <v>12002.132336000001</v>
      </c>
    </row>
    <row r="71" spans="1:4" x14ac:dyDescent="0.2">
      <c r="A71" s="15">
        <v>1.8879517040038346E-2</v>
      </c>
      <c r="B71" s="4">
        <v>17277.924317000001</v>
      </c>
      <c r="C71" s="15">
        <v>2.9621537453762177E-3</v>
      </c>
      <c r="D71" s="17">
        <v>17162.851262</v>
      </c>
    </row>
    <row r="72" spans="1:4" x14ac:dyDescent="0.2">
      <c r="A72" s="15">
        <v>1.0958399402680783E-2</v>
      </c>
      <c r="B72" s="4">
        <v>22283.63636</v>
      </c>
      <c r="C72" s="15">
        <v>1.5169685123545714E-3</v>
      </c>
      <c r="D72" s="17">
        <v>22317.928764</v>
      </c>
    </row>
    <row r="73" spans="1:4" x14ac:dyDescent="0.2">
      <c r="A73" s="15">
        <v>6.802430545817929E-3</v>
      </c>
      <c r="B73" s="4">
        <v>27321.663311</v>
      </c>
      <c r="C73" s="15">
        <v>1.137469096526384E-3</v>
      </c>
      <c r="D73" s="17">
        <v>27423.808432000002</v>
      </c>
    </row>
    <row r="74" spans="1:4" x14ac:dyDescent="0.2">
      <c r="A74" s="15">
        <v>4.630407448582975E-3</v>
      </c>
      <c r="B74" s="4">
        <v>32338.345814</v>
      </c>
      <c r="C74" s="15">
        <v>8.3850074317563567E-4</v>
      </c>
      <c r="D74" s="17">
        <v>32264.552379000001</v>
      </c>
    </row>
    <row r="75" spans="1:4" x14ac:dyDescent="0.2">
      <c r="A75" s="15">
        <v>3.2992006841795572E-3</v>
      </c>
      <c r="B75" s="4">
        <v>37388.508856</v>
      </c>
      <c r="C75" s="15">
        <v>4.9167687026960413E-4</v>
      </c>
      <c r="D75" s="17">
        <v>37302.854490999998</v>
      </c>
    </row>
    <row r="76" spans="1:4" x14ac:dyDescent="0.2">
      <c r="A76" s="15">
        <v>2.4738216157206925E-3</v>
      </c>
      <c r="B76" s="4">
        <v>42387.023385</v>
      </c>
      <c r="C76" s="15">
        <v>3.1080358936979685E-4</v>
      </c>
      <c r="D76" s="17">
        <v>42393.455761999998</v>
      </c>
    </row>
    <row r="77" spans="1:4" x14ac:dyDescent="0.2">
      <c r="A77" s="15">
        <v>1.9826593209301773E-3</v>
      </c>
      <c r="B77" s="4">
        <v>47411.063849999999</v>
      </c>
      <c r="C77" s="15">
        <v>2.9176429664350134E-4</v>
      </c>
      <c r="D77" s="17">
        <v>47573.690792000001</v>
      </c>
    </row>
    <row r="78" spans="1:4" x14ac:dyDescent="0.2">
      <c r="A78" s="15">
        <v>7.9404142178234015E-3</v>
      </c>
      <c r="B78" s="4">
        <v>68356.597508999999</v>
      </c>
      <c r="C78" s="15">
        <v>8.8249694663775091E-4</v>
      </c>
      <c r="D78" s="17">
        <v>62169.399549000002</v>
      </c>
    </row>
    <row r="79" spans="1:4" x14ac:dyDescent="0.2">
      <c r="A79" s="15">
        <v>2.9881398070702157E-3</v>
      </c>
      <c r="B79" s="4">
        <v>136131.59233000001</v>
      </c>
      <c r="C79" s="15">
        <v>1.0008493068282365E-4</v>
      </c>
      <c r="D79" s="17">
        <v>127772.71956</v>
      </c>
    </row>
    <row r="80" spans="1:4" x14ac:dyDescent="0.2">
      <c r="A80" s="15">
        <v>6.987935006029538E-4</v>
      </c>
      <c r="B80" s="4">
        <v>239968.44706999999</v>
      </c>
      <c r="C80" s="15">
        <v>7.46134444679148E-6</v>
      </c>
      <c r="D80" s="17">
        <v>238164.08116</v>
      </c>
    </row>
    <row r="81" spans="1:4" x14ac:dyDescent="0.2">
      <c r="A81" s="15">
        <v>2.4210776291140631E-4</v>
      </c>
      <c r="B81" s="4">
        <v>343784.79557999998</v>
      </c>
      <c r="C81" s="15">
        <v>2.315589655900804E-6</v>
      </c>
      <c r="D81" s="17">
        <v>350953.88441</v>
      </c>
    </row>
    <row r="82" spans="1:4" x14ac:dyDescent="0.2">
      <c r="A82" s="15">
        <v>1.1089101574369407E-4</v>
      </c>
      <c r="B82" s="4">
        <v>444345.49320999999</v>
      </c>
      <c r="C82" s="15">
        <v>1.286438697722669E-6</v>
      </c>
      <c r="D82" s="17">
        <v>446384.7598</v>
      </c>
    </row>
    <row r="83" spans="1:4" x14ac:dyDescent="0.2">
      <c r="A83" s="15">
        <v>1.4022181805177093E-4</v>
      </c>
      <c r="B83" s="4">
        <v>651750.15220000001</v>
      </c>
      <c r="C83" s="15">
        <v>1.8010141768117366E-6</v>
      </c>
      <c r="D83" s="17">
        <v>625420.50193000003</v>
      </c>
    </row>
    <row r="84" spans="1:4" x14ac:dyDescent="0.2">
      <c r="A84" s="15">
        <v>2.5471486214908847E-5</v>
      </c>
      <c r="B84" s="4">
        <v>1349747.1958000001</v>
      </c>
      <c r="C84" s="15">
        <v>0</v>
      </c>
      <c r="D84" s="17" t="s">
        <v>13</v>
      </c>
    </row>
    <row r="85" spans="1:4" x14ac:dyDescent="0.2">
      <c r="A85" s="15">
        <v>2.8301651349898719E-6</v>
      </c>
      <c r="B85" s="5">
        <v>2701141.5562</v>
      </c>
      <c r="C85" s="15">
        <v>2.5728773954453382E-7</v>
      </c>
      <c r="D85" s="16">
        <v>2457668.9876999999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39" sqref="B39"/>
    </sheetView>
  </sheetViews>
  <sheetFormatPr baseColWidth="10" defaultColWidth="8.83203125" defaultRowHeight="15" x14ac:dyDescent="0.2"/>
  <cols>
    <col min="2" max="2" width="32" customWidth="1"/>
  </cols>
  <sheetData>
    <row r="1" spans="1:2" x14ac:dyDescent="0.2">
      <c r="A1" s="64">
        <v>1</v>
      </c>
      <c r="B1" s="59" t="s">
        <v>10</v>
      </c>
    </row>
    <row r="2" spans="1:2" x14ac:dyDescent="0.2">
      <c r="A2" s="64">
        <v>2</v>
      </c>
      <c r="B2" s="60" t="s">
        <v>0</v>
      </c>
    </row>
    <row r="3" spans="1:2" x14ac:dyDescent="0.2">
      <c r="A3" s="64">
        <v>3</v>
      </c>
      <c r="B3" s="61" t="s">
        <v>12</v>
      </c>
    </row>
    <row r="4" spans="1:2" ht="16" thickBot="1" x14ac:dyDescent="0.25">
      <c r="A4" s="64">
        <v>4</v>
      </c>
      <c r="B4" s="65" t="s">
        <v>22</v>
      </c>
    </row>
    <row r="5" spans="1:2" x14ac:dyDescent="0.2">
      <c r="A5" s="67">
        <v>5</v>
      </c>
      <c r="B5" s="68" t="s">
        <v>138</v>
      </c>
    </row>
    <row r="6" spans="1:2" x14ac:dyDescent="0.2">
      <c r="A6" s="69">
        <v>6</v>
      </c>
      <c r="B6" s="70" t="s">
        <v>139</v>
      </c>
    </row>
    <row r="7" spans="1:2" ht="16" thickBot="1" x14ac:dyDescent="0.25">
      <c r="A7" s="71">
        <v>7</v>
      </c>
      <c r="B7" s="72" t="s">
        <v>140</v>
      </c>
    </row>
    <row r="8" spans="1:2" x14ac:dyDescent="0.2">
      <c r="A8" s="64">
        <v>8</v>
      </c>
      <c r="B8" s="66" t="s">
        <v>141</v>
      </c>
    </row>
    <row r="9" spans="1:2" x14ac:dyDescent="0.2">
      <c r="A9" s="64">
        <v>9</v>
      </c>
      <c r="B9" s="60" t="s">
        <v>139</v>
      </c>
    </row>
    <row r="10" spans="1:2" ht="16" thickBot="1" x14ac:dyDescent="0.25">
      <c r="A10" s="64">
        <v>10</v>
      </c>
      <c r="B10" s="65" t="s">
        <v>140</v>
      </c>
    </row>
    <row r="11" spans="1:2" x14ac:dyDescent="0.2">
      <c r="A11" s="67">
        <v>11</v>
      </c>
      <c r="B11" s="73" t="s">
        <v>142</v>
      </c>
    </row>
    <row r="12" spans="1:2" x14ac:dyDescent="0.2">
      <c r="A12" s="69">
        <v>12</v>
      </c>
      <c r="B12" s="70" t="s">
        <v>143</v>
      </c>
    </row>
    <row r="13" spans="1:2" ht="16" thickBot="1" x14ac:dyDescent="0.25">
      <c r="A13" s="71">
        <v>13</v>
      </c>
      <c r="B13" s="72" t="s">
        <v>140</v>
      </c>
    </row>
    <row r="14" spans="1:2" x14ac:dyDescent="0.2">
      <c r="A14" s="64">
        <v>14</v>
      </c>
      <c r="B14" s="66" t="s">
        <v>144</v>
      </c>
    </row>
    <row r="15" spans="1:2" x14ac:dyDescent="0.2">
      <c r="A15" s="64">
        <v>15</v>
      </c>
      <c r="B15" s="60" t="s">
        <v>143</v>
      </c>
    </row>
    <row r="16" spans="1:2" ht="16" thickBot="1" x14ac:dyDescent="0.25">
      <c r="A16" s="64">
        <v>16</v>
      </c>
      <c r="B16" s="65" t="s">
        <v>140</v>
      </c>
    </row>
    <row r="17" spans="1:2" x14ac:dyDescent="0.2">
      <c r="A17" s="67">
        <v>17</v>
      </c>
      <c r="B17" s="73" t="s">
        <v>145</v>
      </c>
    </row>
    <row r="18" spans="1:2" x14ac:dyDescent="0.2">
      <c r="A18" s="69">
        <v>18</v>
      </c>
      <c r="B18" s="70" t="s">
        <v>143</v>
      </c>
    </row>
    <row r="19" spans="1:2" ht="16" thickBot="1" x14ac:dyDescent="0.25">
      <c r="A19" s="71">
        <v>19</v>
      </c>
      <c r="B19" s="72" t="s">
        <v>140</v>
      </c>
    </row>
    <row r="20" spans="1:2" x14ac:dyDescent="0.2">
      <c r="A20" s="64">
        <v>20</v>
      </c>
      <c r="B20" s="66" t="s">
        <v>146</v>
      </c>
    </row>
    <row r="21" spans="1:2" x14ac:dyDescent="0.2">
      <c r="A21" s="64">
        <v>21</v>
      </c>
      <c r="B21" s="60" t="s">
        <v>143</v>
      </c>
    </row>
    <row r="22" spans="1:2" x14ac:dyDescent="0.2">
      <c r="A22" s="64">
        <v>22</v>
      </c>
      <c r="B22" s="60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 enableFormatConditionsCalculation="0"/>
  <dimension ref="A1:V85"/>
  <sheetViews>
    <sheetView zoomScale="80" zoomScaleNormal="80" zoomScalePageLayoutView="80" workbookViewId="0">
      <pane xSplit="3" ySplit="1" topLeftCell="D2" activePane="bottomRight" state="frozen"/>
      <selection activeCell="E5" sqref="E5"/>
      <selection pane="topRight" activeCell="E5" sqref="E5"/>
      <selection pane="bottomLeft" activeCell="E5" sqref="E5"/>
      <selection pane="bottomRight" activeCell="F3" sqref="F3"/>
    </sheetView>
  </sheetViews>
  <sheetFormatPr baseColWidth="10" defaultColWidth="8.83203125" defaultRowHeight="15" x14ac:dyDescent="0.2"/>
  <cols>
    <col min="1" max="2" width="12.5" style="81" customWidth="1"/>
    <col min="3" max="4" width="15.1640625" style="81" customWidth="1"/>
    <col min="5" max="5" width="12.5" style="84" customWidth="1"/>
    <col min="6" max="7" width="12.5" style="81" customWidth="1"/>
    <col min="8" max="8" width="12.5" style="85" customWidth="1"/>
    <col min="9" max="9" width="12.1640625" style="81" customWidth="1"/>
    <col min="10" max="16" width="12.5" style="81" customWidth="1"/>
    <col min="17" max="17" width="12.5" style="85" customWidth="1"/>
    <col min="18" max="19" width="12.83203125" style="81" customWidth="1"/>
    <col min="20" max="20" width="12.83203125" style="85" customWidth="1"/>
    <col min="21" max="22" width="12.83203125" style="81" customWidth="1"/>
    <col min="23" max="16384" width="8.83203125" style="81"/>
  </cols>
  <sheetData>
    <row r="1" spans="1:22" s="78" customFormat="1" ht="45" customHeight="1" x14ac:dyDescent="0.2">
      <c r="A1" s="74" t="s">
        <v>10</v>
      </c>
      <c r="B1" s="75" t="s">
        <v>0</v>
      </c>
      <c r="C1" s="76" t="s">
        <v>12</v>
      </c>
      <c r="D1" s="75" t="s">
        <v>22</v>
      </c>
      <c r="E1" s="77" t="s">
        <v>138</v>
      </c>
      <c r="F1" s="75" t="s">
        <v>139</v>
      </c>
      <c r="G1" s="75" t="s">
        <v>140</v>
      </c>
      <c r="H1" s="75" t="s">
        <v>141</v>
      </c>
      <c r="I1" s="75" t="s">
        <v>139</v>
      </c>
      <c r="J1" s="75" t="s">
        <v>140</v>
      </c>
      <c r="K1" s="75" t="s">
        <v>142</v>
      </c>
      <c r="L1" s="75" t="s">
        <v>143</v>
      </c>
      <c r="M1" s="75" t="s">
        <v>140</v>
      </c>
      <c r="N1" s="75" t="s">
        <v>144</v>
      </c>
      <c r="O1" s="75" t="s">
        <v>143</v>
      </c>
      <c r="P1" s="75" t="s">
        <v>140</v>
      </c>
      <c r="Q1" s="75" t="s">
        <v>145</v>
      </c>
      <c r="R1" s="75" t="s">
        <v>143</v>
      </c>
      <c r="S1" s="75" t="s">
        <v>140</v>
      </c>
      <c r="T1" s="75" t="s">
        <v>146</v>
      </c>
      <c r="U1" s="75" t="s">
        <v>143</v>
      </c>
      <c r="V1" s="75" t="s">
        <v>140</v>
      </c>
    </row>
    <row r="2" spans="1:22" x14ac:dyDescent="0.2">
      <c r="A2" s="79">
        <v>0</v>
      </c>
      <c r="B2" s="27">
        <v>0.12345437606565365</v>
      </c>
      <c r="C2" s="27">
        <v>0</v>
      </c>
      <c r="D2" s="27"/>
      <c r="E2" s="79"/>
      <c r="F2" s="27"/>
      <c r="G2" s="27"/>
      <c r="H2" s="27"/>
      <c r="I2" s="27">
        <v>0</v>
      </c>
      <c r="J2" s="27"/>
      <c r="K2" s="80"/>
      <c r="L2" s="27">
        <v>0</v>
      </c>
      <c r="M2" s="27"/>
      <c r="N2" s="27"/>
      <c r="O2" s="27">
        <v>0</v>
      </c>
      <c r="P2" s="27"/>
      <c r="Q2" s="27"/>
      <c r="R2" s="27">
        <v>0</v>
      </c>
      <c r="S2" s="27"/>
      <c r="T2" s="27"/>
      <c r="U2" s="27">
        <v>0</v>
      </c>
      <c r="V2" s="27"/>
    </row>
    <row r="3" spans="1:22" x14ac:dyDescent="0.2">
      <c r="A3" s="79">
        <v>100</v>
      </c>
      <c r="B3" s="27">
        <v>2.4886413895184575E-2</v>
      </c>
      <c r="C3" s="27">
        <v>46.92172901</v>
      </c>
      <c r="D3" s="27">
        <v>0.4408898700819564</v>
      </c>
      <c r="E3" s="79">
        <v>0.1109402061337888</v>
      </c>
      <c r="F3" s="27">
        <v>5.2055062885231775</v>
      </c>
      <c r="G3" s="27">
        <v>6.8532202632475239E-2</v>
      </c>
      <c r="H3" s="79">
        <v>4.0035700478828165E-2</v>
      </c>
      <c r="I3" s="27">
        <v>1.8785442885931023</v>
      </c>
      <c r="J3" s="27">
        <v>2.4214038230210823E-2</v>
      </c>
      <c r="K3" s="79">
        <v>0.40707682945488549</v>
      </c>
      <c r="L3" s="27">
        <v>19.100748677932124</v>
      </c>
      <c r="M3" s="27">
        <v>1.3860643905579388</v>
      </c>
      <c r="N3" s="79">
        <v>2.0126652015534926E-2</v>
      </c>
      <c r="O3" s="27">
        <v>0.94437731175150008</v>
      </c>
      <c r="P3" s="27">
        <v>2.2381930623997685E-2</v>
      </c>
      <c r="Q3" s="79">
        <v>1.3661209754137866E-2</v>
      </c>
      <c r="R3" s="27">
        <v>0.64100758203242569</v>
      </c>
      <c r="S3" s="27">
        <v>1.5044618621731488E-2</v>
      </c>
      <c r="T3" s="79">
        <v>2.5178857398101673E-5</v>
      </c>
      <c r="U3" s="27">
        <v>1.1814355236151603E-3</v>
      </c>
      <c r="V3" s="27">
        <v>1.4210811925112171E-5</v>
      </c>
    </row>
    <row r="4" spans="1:22" x14ac:dyDescent="0.2">
      <c r="A4" s="79">
        <v>200</v>
      </c>
      <c r="B4" s="27">
        <v>3.8005001159081266E-2</v>
      </c>
      <c r="C4" s="27">
        <v>151.36886636</v>
      </c>
      <c r="D4" s="27">
        <v>0.1737994544571822</v>
      </c>
      <c r="E4" s="79">
        <v>0.3207642268020281</v>
      </c>
      <c r="F4" s="27">
        <v>48.553717379864921</v>
      </c>
      <c r="G4" s="27">
        <v>0.40243586645436585</v>
      </c>
      <c r="H4" s="79">
        <v>0.10816344021103073</v>
      </c>
      <c r="I4" s="27">
        <v>16.372577326341361</v>
      </c>
      <c r="J4" s="27">
        <v>0.13214431745340863</v>
      </c>
      <c r="K4" s="79">
        <v>0.13577245805564489</v>
      </c>
      <c r="L4" s="27">
        <v>20.551723058793616</v>
      </c>
      <c r="M4" s="27">
        <v>1.1166025678863736</v>
      </c>
      <c r="N4" s="79">
        <v>2.8489962093502498E-2</v>
      </c>
      <c r="O4" s="27">
        <v>4.3124932647328453</v>
      </c>
      <c r="P4" s="27">
        <v>4.4633795794915859E-2</v>
      </c>
      <c r="Q4" s="79">
        <v>9.5283650819063571E-3</v>
      </c>
      <c r="R4" s="27">
        <v>1.4422978207123738</v>
      </c>
      <c r="S4" s="27">
        <v>1.6626846014395385E-2</v>
      </c>
      <c r="T4" s="79">
        <v>8.6692261284685751E-6</v>
      </c>
      <c r="U4" s="27">
        <v>1.31225093128478E-3</v>
      </c>
      <c r="V4" s="27">
        <v>1.7485740421358841E-5</v>
      </c>
    </row>
    <row r="5" spans="1:22" x14ac:dyDescent="0.2">
      <c r="A5" s="79">
        <v>300</v>
      </c>
      <c r="B5" s="27">
        <v>3.6609987035270804E-2</v>
      </c>
      <c r="C5" s="27">
        <v>248.86385594999999</v>
      </c>
      <c r="D5" s="27">
        <v>0.16830380982125601</v>
      </c>
      <c r="E5" s="79">
        <v>0.30054709241784661</v>
      </c>
      <c r="F5" s="27">
        <v>74.795308313666311</v>
      </c>
      <c r="G5" s="27">
        <v>0.53306952725657242</v>
      </c>
      <c r="H5" s="79">
        <v>0.11366159609833061</v>
      </c>
      <c r="I5" s="27">
        <v>28.286263078462031</v>
      </c>
      <c r="J5" s="27">
        <v>0.19126722466531079</v>
      </c>
      <c r="K5" s="79">
        <v>0.12301163933111917</v>
      </c>
      <c r="L5" s="27">
        <v>30.613150890672994</v>
      </c>
      <c r="M5" s="27">
        <v>1.508896939718763</v>
      </c>
      <c r="N5" s="79">
        <v>3.4088158755545696E-2</v>
      </c>
      <c r="O5" s="27">
        <v>8.4833106301408545</v>
      </c>
      <c r="P5" s="27">
        <v>7.682732537803251E-2</v>
      </c>
      <c r="Q5" s="79">
        <v>1.116980291352075E-2</v>
      </c>
      <c r="R5" s="27">
        <v>2.7797602232603182</v>
      </c>
      <c r="S5" s="27">
        <v>2.6177972935243023E-2</v>
      </c>
      <c r="T5" s="79">
        <v>3.4208821070320703E-5</v>
      </c>
      <c r="U5" s="27">
        <v>8.5133391190636166E-3</v>
      </c>
      <c r="V5" s="27">
        <v>2.0815750360477753E-4</v>
      </c>
    </row>
    <row r="6" spans="1:22" x14ac:dyDescent="0.2">
      <c r="A6" s="79">
        <v>400</v>
      </c>
      <c r="B6" s="27">
        <v>3.3082314838375704E-2</v>
      </c>
      <c r="C6" s="27">
        <v>349.52035983000002</v>
      </c>
      <c r="D6" s="27">
        <v>0.1786953366871511</v>
      </c>
      <c r="E6" s="79">
        <v>0.28967216614325114</v>
      </c>
      <c r="F6" s="27">
        <v>101.24631974312469</v>
      </c>
      <c r="G6" s="27">
        <v>0.69841151038912208</v>
      </c>
      <c r="H6" s="79">
        <v>0.10725471532033277</v>
      </c>
      <c r="I6" s="27">
        <v>37.487706692226929</v>
      </c>
      <c r="J6" s="27">
        <v>0.24658787946674621</v>
      </c>
      <c r="K6" s="79">
        <v>0.12182419871904039</v>
      </c>
      <c r="L6" s="27">
        <v>42.580037772280427</v>
      </c>
      <c r="M6" s="27">
        <v>2.0045341363573472</v>
      </c>
      <c r="N6" s="79">
        <v>4.3483888472347937E-2</v>
      </c>
      <c r="O6" s="27">
        <v>15.19850434566264</v>
      </c>
      <c r="P6" s="27">
        <v>0.12715534935485878</v>
      </c>
      <c r="Q6" s="79">
        <v>1.3378094821167337E-2</v>
      </c>
      <c r="R6" s="27">
        <v>4.6759165157342677</v>
      </c>
      <c r="S6" s="27">
        <v>3.9253151463290836E-2</v>
      </c>
      <c r="T6" s="79">
        <v>9.1546745954736634E-6</v>
      </c>
      <c r="U6" s="27">
        <v>3.1997451587365148E-3</v>
      </c>
      <c r="V6" s="27">
        <v>3.2426111640133415E-5</v>
      </c>
    </row>
    <row r="7" spans="1:22" x14ac:dyDescent="0.2">
      <c r="A7" s="79">
        <v>500</v>
      </c>
      <c r="B7" s="27">
        <v>3.0885849405884017E-2</v>
      </c>
      <c r="C7" s="27">
        <v>449.46035351</v>
      </c>
      <c r="D7" s="27">
        <v>0.18614515788135644</v>
      </c>
      <c r="E7" s="79">
        <v>0.27237615595943376</v>
      </c>
      <c r="F7" s="27">
        <v>122.42228334522198</v>
      </c>
      <c r="G7" s="27">
        <v>0.81759644013254129</v>
      </c>
      <c r="H7" s="79">
        <v>0.10321565167812423</v>
      </c>
      <c r="I7" s="27">
        <v>46.391343291014742</v>
      </c>
      <c r="J7" s="27">
        <v>0.29684803793425746</v>
      </c>
      <c r="K7" s="79">
        <v>0.12207265184759078</v>
      </c>
      <c r="L7" s="27">
        <v>54.866817253321308</v>
      </c>
      <c r="M7" s="27">
        <v>2.4427074901633787</v>
      </c>
      <c r="N7" s="79">
        <v>4.8964374593507581E-2</v>
      </c>
      <c r="O7" s="27">
        <v>22.007545114193981</v>
      </c>
      <c r="P7" s="27">
        <v>0.17836382267636031</v>
      </c>
      <c r="Q7" s="79">
        <v>1.5062985095729106E-2</v>
      </c>
      <c r="R7" s="27">
        <v>6.7702146060422654</v>
      </c>
      <c r="S7" s="27">
        <v>5.097866601048865E-2</v>
      </c>
      <c r="T7" s="79">
        <v>4.5146344528909468E-5</v>
      </c>
      <c r="U7" s="27">
        <v>2.0291491971647903E-2</v>
      </c>
      <c r="V7" s="27">
        <v>3.2113775593449077E-4</v>
      </c>
    </row>
    <row r="8" spans="1:22" x14ac:dyDescent="0.2">
      <c r="A8" s="79">
        <v>600</v>
      </c>
      <c r="B8" s="27">
        <v>2.864615963314885E-2</v>
      </c>
      <c r="C8" s="27">
        <v>549.31201269999997</v>
      </c>
      <c r="D8" s="27">
        <v>0.1962564298411503</v>
      </c>
      <c r="E8" s="79">
        <v>0.26014986560752051</v>
      </c>
      <c r="F8" s="27">
        <v>142.90344628050158</v>
      </c>
      <c r="G8" s="27">
        <v>0.93992868297571464</v>
      </c>
      <c r="H8" s="79">
        <v>0.10066461990408015</v>
      </c>
      <c r="I8" s="27">
        <v>55.296284967190751</v>
      </c>
      <c r="J8" s="27">
        <v>0.34976507205054025</v>
      </c>
      <c r="K8" s="79">
        <v>0.12510099659258747</v>
      </c>
      <c r="L8" s="27">
        <v>68.719480229050063</v>
      </c>
      <c r="M8" s="27">
        <v>2.9403688381917088</v>
      </c>
      <c r="N8" s="79">
        <v>5.473624823045331E-2</v>
      </c>
      <c r="O8" s="27">
        <v>30.06727868311712</v>
      </c>
      <c r="P8" s="27">
        <v>0.23856333378009595</v>
      </c>
      <c r="Q8" s="79">
        <v>1.6371318252107699E-2</v>
      </c>
      <c r="R8" s="27">
        <v>8.9929617796175254</v>
      </c>
      <c r="S8" s="27">
        <v>6.3990379175639253E-2</v>
      </c>
      <c r="T8" s="79">
        <v>4.7866766001754328E-5</v>
      </c>
      <c r="U8" s="27">
        <v>2.62937895738636E-2</v>
      </c>
      <c r="V8" s="27">
        <v>2.2632465412658634E-4</v>
      </c>
    </row>
    <row r="9" spans="1:22" x14ac:dyDescent="0.2">
      <c r="A9" s="79">
        <v>700</v>
      </c>
      <c r="B9" s="27">
        <v>2.6431684058889047E-2</v>
      </c>
      <c r="C9" s="27">
        <v>649.39123333999999</v>
      </c>
      <c r="D9" s="27">
        <v>0.20863198095677324</v>
      </c>
      <c r="E9" s="79">
        <v>0.2466028490653577</v>
      </c>
      <c r="F9" s="27">
        <v>160.14172829971051</v>
      </c>
      <c r="G9" s="27">
        <v>1.0463085819329117</v>
      </c>
      <c r="H9" s="79">
        <v>9.825920990358937E-2</v>
      </c>
      <c r="I9" s="27">
        <v>63.80866950630584</v>
      </c>
      <c r="J9" s="27">
        <v>0.39804667013932971</v>
      </c>
      <c r="K9" s="79">
        <v>0.12833763116229469</v>
      </c>
      <c r="L9" s="27">
        <v>83.341332584416563</v>
      </c>
      <c r="M9" s="27">
        <v>3.4242796384087892</v>
      </c>
      <c r="N9" s="79">
        <v>6.1799141017946632E-2</v>
      </c>
      <c r="O9" s="27">
        <v>40.131820404996944</v>
      </c>
      <c r="P9" s="27">
        <v>0.31370951540560099</v>
      </c>
      <c r="Q9" s="79">
        <v>1.8439218900393382E-2</v>
      </c>
      <c r="R9" s="27">
        <v>11.974267103552696</v>
      </c>
      <c r="S9" s="27">
        <v>7.9995108311937901E-2</v>
      </c>
      <c r="T9" s="79">
        <v>5.5989876138595297E-5</v>
      </c>
      <c r="U9" s="27">
        <v>3.6359334720196236E-2</v>
      </c>
      <c r="V9" s="27">
        <v>5.6587888393295159E-4</v>
      </c>
    </row>
    <row r="10" spans="1:22" x14ac:dyDescent="0.2">
      <c r="A10" s="79">
        <v>800</v>
      </c>
      <c r="B10" s="27">
        <v>2.4525439196603598E-2</v>
      </c>
      <c r="C10" s="27">
        <v>749.38020757000004</v>
      </c>
      <c r="D10" s="27">
        <v>0.21955115557845112</v>
      </c>
      <c r="E10" s="79">
        <v>0.23216149803013655</v>
      </c>
      <c r="F10" s="27">
        <v>173.97723158358588</v>
      </c>
      <c r="G10" s="27">
        <v>1.1350363416184639</v>
      </c>
      <c r="H10" s="79">
        <v>9.6490106063795697E-2</v>
      </c>
      <c r="I10" s="27">
        <v>72.307775710538536</v>
      </c>
      <c r="J10" s="27">
        <v>0.44855960046462123</v>
      </c>
      <c r="K10" s="79">
        <v>0.13148867128941694</v>
      </c>
      <c r="L10" s="27">
        <v>98.535007783966776</v>
      </c>
      <c r="M10" s="27">
        <v>3.9016948143881116</v>
      </c>
      <c r="N10" s="79">
        <v>6.8580584733229533E-2</v>
      </c>
      <c r="O10" s="27">
        <v>51.392932822659525</v>
      </c>
      <c r="P10" s="27">
        <v>0.39322323100181061</v>
      </c>
      <c r="Q10" s="79">
        <v>1.9442473910010756E-2</v>
      </c>
      <c r="R10" s="27">
        <v>14.569805134358171</v>
      </c>
      <c r="S10" s="27">
        <v>9.3392955919659418E-2</v>
      </c>
      <c r="T10" s="79">
        <v>3.942564579384987E-5</v>
      </c>
      <c r="U10" s="27">
        <v>2.9544798628576514E-2</v>
      </c>
      <c r="V10" s="27">
        <v>5.7824804661834011E-4</v>
      </c>
    </row>
    <row r="11" spans="1:22" x14ac:dyDescent="0.2">
      <c r="A11" s="79">
        <v>900</v>
      </c>
      <c r="B11" s="27">
        <v>2.2392266548039868E-2</v>
      </c>
      <c r="C11" s="27">
        <v>849.39854988000002</v>
      </c>
      <c r="D11" s="27">
        <v>0.23054329684817421</v>
      </c>
      <c r="E11" s="79">
        <v>0.22163166546262658</v>
      </c>
      <c r="F11" s="27">
        <v>188.2536152514443</v>
      </c>
      <c r="G11" s="27">
        <v>1.2345433504097012</v>
      </c>
      <c r="H11" s="79">
        <v>9.4065337326930287E-2</v>
      </c>
      <c r="I11" s="27">
        <v>79.898961119467629</v>
      </c>
      <c r="J11" s="27">
        <v>0.49893595055963658</v>
      </c>
      <c r="K11" s="79">
        <v>0.13230013433824692</v>
      </c>
      <c r="L11" s="27">
        <v>112.37554225583614</v>
      </c>
      <c r="M11" s="27">
        <v>4.3327252192142698</v>
      </c>
      <c r="N11" s="79">
        <v>7.6994545780716975E-2</v>
      </c>
      <c r="O11" s="27">
        <v>65.399055534810273</v>
      </c>
      <c r="P11" s="27">
        <v>0.50716166498987503</v>
      </c>
      <c r="Q11" s="79">
        <v>2.1195959461140144E-2</v>
      </c>
      <c r="R11" s="27">
        <v>18.003817229607705</v>
      </c>
      <c r="S11" s="27">
        <v>0.11264557325061358</v>
      </c>
      <c r="T11" s="79">
        <v>5.2657268070204368E-5</v>
      </c>
      <c r="U11" s="27">
        <v>4.4727007139474015E-2</v>
      </c>
      <c r="V11" s="27">
        <v>7.7417674111591127E-4</v>
      </c>
    </row>
    <row r="12" spans="1:22" x14ac:dyDescent="0.2">
      <c r="A12" s="79">
        <v>1000</v>
      </c>
      <c r="B12" s="27">
        <v>2.085908890809399E-2</v>
      </c>
      <c r="C12" s="27">
        <v>949.40443490999996</v>
      </c>
      <c r="D12" s="27">
        <v>0.24135957829237303</v>
      </c>
      <c r="E12" s="79">
        <v>0.21043087702757665</v>
      </c>
      <c r="F12" s="27">
        <v>199.7840078919821</v>
      </c>
      <c r="G12" s="27">
        <v>1.3124180561850063</v>
      </c>
      <c r="H12" s="79">
        <v>9.3437670430553718E-2</v>
      </c>
      <c r="I12" s="27">
        <v>88.710138694426661</v>
      </c>
      <c r="J12" s="27">
        <v>0.54566882106412018</v>
      </c>
      <c r="K12" s="79">
        <v>0.13331658182075554</v>
      </c>
      <c r="L12" s="27">
        <v>126.57135402766718</v>
      </c>
      <c r="M12" s="27">
        <v>4.770815380949224</v>
      </c>
      <c r="N12" s="79">
        <v>8.5105339905332617E-2</v>
      </c>
      <c r="O12" s="27">
        <v>80.799387140645777</v>
      </c>
      <c r="P12" s="27">
        <v>0.61721681602482215</v>
      </c>
      <c r="Q12" s="79">
        <v>2.2886897102854235E-2</v>
      </c>
      <c r="R12" s="27">
        <v>21.728921610778642</v>
      </c>
      <c r="S12" s="27">
        <v>0.13332206834455987</v>
      </c>
      <c r="T12" s="79">
        <v>5.0759463430499121E-5</v>
      </c>
      <c r="U12" s="27">
        <v>4.8191259694567827E-2</v>
      </c>
      <c r="V12" s="27">
        <v>7.3059493120027617E-4</v>
      </c>
    </row>
    <row r="13" spans="1:22" x14ac:dyDescent="0.2">
      <c r="A13" s="79">
        <v>1100</v>
      </c>
      <c r="B13" s="27">
        <v>1.9127285133219731E-2</v>
      </c>
      <c r="C13" s="27">
        <v>1049.4570045999999</v>
      </c>
      <c r="D13" s="27">
        <v>0.25018139304326836</v>
      </c>
      <c r="E13" s="79">
        <v>0.20075899604251402</v>
      </c>
      <c r="F13" s="27">
        <v>210.68793463327998</v>
      </c>
      <c r="G13" s="27">
        <v>1.382894587165068</v>
      </c>
      <c r="H13" s="79">
        <v>9.2375793501429798E-2</v>
      </c>
      <c r="I13" s="27">
        <v>96.944423545558649</v>
      </c>
      <c r="J13" s="27">
        <v>0.5928080015594035</v>
      </c>
      <c r="K13" s="79">
        <v>0.13284260458355479</v>
      </c>
      <c r="L13" s="27">
        <v>139.41260188951964</v>
      </c>
      <c r="M13" s="27">
        <v>5.0986794598996603</v>
      </c>
      <c r="N13" s="79">
        <v>9.2849873220744575E-2</v>
      </c>
      <c r="O13" s="27">
        <v>97.441949827732344</v>
      </c>
      <c r="P13" s="27">
        <v>0.73432959093673589</v>
      </c>
      <c r="Q13" s="79">
        <v>2.4435034022281192E-2</v>
      </c>
      <c r="R13" s="27">
        <v>25.643517612322306</v>
      </c>
      <c r="S13" s="27">
        <v>0.14864736022177233</v>
      </c>
      <c r="T13" s="79">
        <v>5.3881216687658954E-5</v>
      </c>
      <c r="U13" s="27">
        <v>5.6546020269234096E-2</v>
      </c>
      <c r="V13" s="27">
        <v>7.2751748575233398E-4</v>
      </c>
    </row>
    <row r="14" spans="1:22" x14ac:dyDescent="0.2">
      <c r="A14" s="79">
        <v>1200</v>
      </c>
      <c r="B14" s="27">
        <v>1.79473635596685E-2</v>
      </c>
      <c r="C14" s="27">
        <v>1149.4592817</v>
      </c>
      <c r="D14" s="27">
        <v>0.26020585406724034</v>
      </c>
      <c r="E14" s="79">
        <v>0.19193520950439952</v>
      </c>
      <c r="F14" s="27">
        <v>220.62170804986607</v>
      </c>
      <c r="G14" s="27">
        <v>1.4481208346734562</v>
      </c>
      <c r="H14" s="79">
        <v>9.1064875961101563E-2</v>
      </c>
      <c r="I14" s="27">
        <v>104.67536691034741</v>
      </c>
      <c r="J14" s="27">
        <v>0.64187450825804249</v>
      </c>
      <c r="K14" s="79">
        <v>0.13152446405844972</v>
      </c>
      <c r="L14" s="27">
        <v>151.1820159826031</v>
      </c>
      <c r="M14" s="27">
        <v>5.4012508533692252</v>
      </c>
      <c r="N14" s="79">
        <v>0.10156475842131017</v>
      </c>
      <c r="O14" s="27">
        <v>116.74455426099323</v>
      </c>
      <c r="P14" s="27">
        <v>0.89034891147326689</v>
      </c>
      <c r="Q14" s="79">
        <v>2.706748975510849E-2</v>
      </c>
      <c r="R14" s="27">
        <v>31.112977331329112</v>
      </c>
      <c r="S14" s="27">
        <v>0.17578723036556007</v>
      </c>
      <c r="T14" s="79">
        <v>4.9141832372387029E-5</v>
      </c>
      <c r="U14" s="27">
        <v>5.6486535340185801E-2</v>
      </c>
      <c r="V14" s="27">
        <v>7.4584622274213007E-4</v>
      </c>
    </row>
    <row r="15" spans="1:22" x14ac:dyDescent="0.2">
      <c r="A15" s="79">
        <v>1300</v>
      </c>
      <c r="B15" s="27">
        <v>1.6726275947790144E-2</v>
      </c>
      <c r="C15" s="27">
        <v>1249.5687576</v>
      </c>
      <c r="D15" s="27">
        <v>0.27323052802364445</v>
      </c>
      <c r="E15" s="79">
        <v>0.18191082223443344</v>
      </c>
      <c r="F15" s="27">
        <v>227.31008013347545</v>
      </c>
      <c r="G15" s="27">
        <v>1.4948687604548134</v>
      </c>
      <c r="H15" s="79">
        <v>8.8248805412118797E-2</v>
      </c>
      <c r="I15" s="27">
        <v>110.27295013850544</v>
      </c>
      <c r="J15" s="27">
        <v>0.67868055536133887</v>
      </c>
      <c r="K15" s="79">
        <v>0.13051894406100989</v>
      </c>
      <c r="L15" s="27">
        <v>163.09239477358003</v>
      </c>
      <c r="M15" s="27">
        <v>5.7022096408410299</v>
      </c>
      <c r="N15" s="79">
        <v>0.113496037782554</v>
      </c>
      <c r="O15" s="27">
        <v>141.82110292446924</v>
      </c>
      <c r="P15" s="27">
        <v>1.086096152280295</v>
      </c>
      <c r="Q15" s="79">
        <v>2.9127245723293418E-2</v>
      </c>
      <c r="R15" s="27">
        <v>36.396496250765672</v>
      </c>
      <c r="S15" s="27">
        <v>0.20093593542392238</v>
      </c>
      <c r="T15" s="79">
        <v>8.830045678660735E-5</v>
      </c>
      <c r="U15" s="27">
        <v>0.11033749208235344</v>
      </c>
      <c r="V15" s="27">
        <v>1.663381250853713E-3</v>
      </c>
    </row>
    <row r="16" spans="1:22" x14ac:dyDescent="0.2">
      <c r="A16" s="79">
        <v>1400</v>
      </c>
      <c r="B16" s="27">
        <v>1.5847381029506016E-2</v>
      </c>
      <c r="C16" s="27">
        <v>1349.4916181999999</v>
      </c>
      <c r="D16" s="27">
        <v>0.28064904883928726</v>
      </c>
      <c r="E16" s="79">
        <v>0.17362436413004301</v>
      </c>
      <c r="F16" s="27">
        <v>234.30462410879778</v>
      </c>
      <c r="G16" s="27">
        <v>1.5367742475605324</v>
      </c>
      <c r="H16" s="79">
        <v>8.6630622473427218E-2</v>
      </c>
      <c r="I16" s="27">
        <v>116.90729890733857</v>
      </c>
      <c r="J16" s="27">
        <v>0.71820578452423445</v>
      </c>
      <c r="K16" s="79">
        <v>0.12780014024641828</v>
      </c>
      <c r="L16" s="27">
        <v>172.46521806732596</v>
      </c>
      <c r="M16" s="27">
        <v>5.8960421289878937</v>
      </c>
      <c r="N16" s="79">
        <v>0.12182324334028818</v>
      </c>
      <c r="O16" s="27">
        <v>164.39944578965788</v>
      </c>
      <c r="P16" s="27">
        <v>1.2493777432792876</v>
      </c>
      <c r="Q16" s="79">
        <v>3.0964831853637478E-2</v>
      </c>
      <c r="R16" s="27">
        <v>41.786781045456145</v>
      </c>
      <c r="S16" s="27">
        <v>0.2261723951617429</v>
      </c>
      <c r="T16" s="79">
        <v>6.0833398943246146E-5</v>
      </c>
      <c r="U16" s="27">
        <v>8.2094161980527408E-2</v>
      </c>
      <c r="V16" s="27">
        <v>1.4423942552001844E-3</v>
      </c>
    </row>
    <row r="17" spans="1:22" x14ac:dyDescent="0.2">
      <c r="A17" s="79">
        <v>1500</v>
      </c>
      <c r="B17" s="27">
        <v>1.4985467102031826E-2</v>
      </c>
      <c r="C17" s="27">
        <v>1449.7236034</v>
      </c>
      <c r="D17" s="27">
        <v>0.29112132798031737</v>
      </c>
      <c r="E17" s="79">
        <v>0.16620571654470057</v>
      </c>
      <c r="F17" s="27">
        <v>240.9523502948623</v>
      </c>
      <c r="G17" s="27">
        <v>1.5780578706671891</v>
      </c>
      <c r="H17" s="79">
        <v>8.5675828303246868E-2</v>
      </c>
      <c r="I17" s="27">
        <v>124.20627053206276</v>
      </c>
      <c r="J17" s="27">
        <v>0.76008421277465843</v>
      </c>
      <c r="K17" s="79">
        <v>0.12503945635149635</v>
      </c>
      <c r="L17" s="27">
        <v>181.27265122906832</v>
      </c>
      <c r="M17" s="27">
        <v>6.1246433731278964</v>
      </c>
      <c r="N17" s="79">
        <v>0.13451300765449986</v>
      </c>
      <c r="O17" s="27">
        <v>195.00668216105333</v>
      </c>
      <c r="P17" s="27">
        <v>1.4954235781160348</v>
      </c>
      <c r="Q17" s="79">
        <v>3.1501007017269149E-2</v>
      </c>
      <c r="R17" s="27">
        <v>45.66775340380412</v>
      </c>
      <c r="S17" s="27">
        <v>0.2450587366273608</v>
      </c>
      <c r="T17" s="79">
        <v>6.7856957051722359E-5</v>
      </c>
      <c r="U17" s="27">
        <v>9.8373832292781974E-2</v>
      </c>
      <c r="V17" s="27">
        <v>1.2011540609161448E-3</v>
      </c>
    </row>
    <row r="18" spans="1:22" x14ac:dyDescent="0.2">
      <c r="A18" s="79">
        <v>1600</v>
      </c>
      <c r="B18" s="27">
        <v>1.4176811736643357E-2</v>
      </c>
      <c r="C18" s="27">
        <v>1549.5973337</v>
      </c>
      <c r="D18" s="27">
        <v>0.29692393440187459</v>
      </c>
      <c r="E18" s="79">
        <v>0.16012607314462735</v>
      </c>
      <c r="F18" s="27">
        <v>248.1309360007657</v>
      </c>
      <c r="G18" s="27">
        <v>1.6384328467030651</v>
      </c>
      <c r="H18" s="79">
        <v>8.3297477276419368E-2</v>
      </c>
      <c r="I18" s="27">
        <v>129.07754869147578</v>
      </c>
      <c r="J18" s="27">
        <v>0.79300845842235124</v>
      </c>
      <c r="K18" s="79">
        <v>0.12456639201534185</v>
      </c>
      <c r="L18" s="27">
        <v>193.02774893560272</v>
      </c>
      <c r="M18" s="27">
        <v>6.3170460772880901</v>
      </c>
      <c r="N18" s="79">
        <v>0.13898730506686649</v>
      </c>
      <c r="O18" s="27">
        <v>215.37435734976484</v>
      </c>
      <c r="P18" s="27">
        <v>1.6373773837724075</v>
      </c>
      <c r="Q18" s="79">
        <v>3.3300670240013597E-2</v>
      </c>
      <c r="R18" s="27">
        <v>51.602629814348006</v>
      </c>
      <c r="S18" s="27">
        <v>0.27134771011511388</v>
      </c>
      <c r="T18" s="79">
        <v>6.9567079652982025E-5</v>
      </c>
      <c r="U18" s="27">
        <v>0.10780096114355647</v>
      </c>
      <c r="V18" s="27">
        <v>1.0129224256492629E-3</v>
      </c>
    </row>
    <row r="19" spans="1:22" x14ac:dyDescent="0.2">
      <c r="A19" s="79">
        <v>1700</v>
      </c>
      <c r="B19" s="27">
        <v>1.3273217195362955E-2</v>
      </c>
      <c r="C19" s="27">
        <v>1649.6160325000001</v>
      </c>
      <c r="D19" s="27">
        <v>0.30316101646537541</v>
      </c>
      <c r="E19" s="79">
        <v>0.15235716054800058</v>
      </c>
      <c r="F19" s="27">
        <v>251.33081470615826</v>
      </c>
      <c r="G19" s="27">
        <v>1.6580695591509265</v>
      </c>
      <c r="H19" s="79">
        <v>8.2824386792620927E-2</v>
      </c>
      <c r="I19" s="27">
        <v>136.62843633508874</v>
      </c>
      <c r="J19" s="27">
        <v>0.8340002004911542</v>
      </c>
      <c r="K19" s="79">
        <v>0.12271884552648381</v>
      </c>
      <c r="L19" s="27">
        <v>202.4389750703786</v>
      </c>
      <c r="M19" s="27">
        <v>6.5291578712790459</v>
      </c>
      <c r="N19" s="79">
        <v>0.1460067206839738</v>
      </c>
      <c r="O19" s="27">
        <v>240.85502729303255</v>
      </c>
      <c r="P19" s="27">
        <v>1.8157292330533248</v>
      </c>
      <c r="Q19" s="79">
        <v>3.432319515131086E-2</v>
      </c>
      <c r="R19" s="27">
        <v>56.620093008228665</v>
      </c>
      <c r="S19" s="27">
        <v>0.29308887750766044</v>
      </c>
      <c r="T19" s="79">
        <v>1.1225510360687148E-4</v>
      </c>
      <c r="U19" s="27">
        <v>0.18517781863984378</v>
      </c>
      <c r="V19" s="27">
        <v>1.1466612688460693E-3</v>
      </c>
    </row>
    <row r="20" spans="1:22" x14ac:dyDescent="0.2">
      <c r="A20" s="79">
        <v>1800</v>
      </c>
      <c r="B20" s="27">
        <v>1.2602982633849444E-2</v>
      </c>
      <c r="C20" s="27">
        <v>1749.3510424000001</v>
      </c>
      <c r="D20" s="27">
        <v>0.30842151970087145</v>
      </c>
      <c r="E20" s="79">
        <v>0.1479883208722762</v>
      </c>
      <c r="F20" s="27">
        <v>258.88352338094205</v>
      </c>
      <c r="G20" s="27">
        <v>1.7028783280852502</v>
      </c>
      <c r="H20" s="79">
        <v>8.0640615906348578E-2</v>
      </c>
      <c r="I20" s="27">
        <v>141.06874549554891</v>
      </c>
      <c r="J20" s="27">
        <v>0.85038188461122244</v>
      </c>
      <c r="K20" s="79">
        <v>0.12129639017569388</v>
      </c>
      <c r="L20" s="27">
        <v>212.18996659320723</v>
      </c>
      <c r="M20" s="27">
        <v>6.675385956019622</v>
      </c>
      <c r="N20" s="79">
        <v>0.14957176847325834</v>
      </c>
      <c r="O20" s="27">
        <v>261.65352909230597</v>
      </c>
      <c r="P20" s="27">
        <v>1.9385330094520183</v>
      </c>
      <c r="Q20" s="79">
        <v>3.7484093416314125E-2</v>
      </c>
      <c r="R20" s="27">
        <v>65.572837891248099</v>
      </c>
      <c r="S20" s="27">
        <v>0.32752653844929808</v>
      </c>
      <c r="T20" s="79">
        <v>6.9267635605255412E-5</v>
      </c>
      <c r="U20" s="27">
        <v>0.12117341055063691</v>
      </c>
      <c r="V20" s="27">
        <v>1.3585634728891097E-3</v>
      </c>
    </row>
    <row r="21" spans="1:22" x14ac:dyDescent="0.2">
      <c r="A21" s="79">
        <v>1900</v>
      </c>
      <c r="B21" s="27">
        <v>1.1947928048969061E-2</v>
      </c>
      <c r="C21" s="27">
        <v>1849.8108511</v>
      </c>
      <c r="D21" s="27">
        <v>0.31245482216760589</v>
      </c>
      <c r="E21" s="79">
        <v>0.14275429295574663</v>
      </c>
      <c r="F21" s="27">
        <v>264.06844015064843</v>
      </c>
      <c r="G21" s="27">
        <v>1.7472872427085344</v>
      </c>
      <c r="H21" s="79">
        <v>8.0114551244987828E-2</v>
      </c>
      <c r="I21" s="27">
        <v>148.19676622398549</v>
      </c>
      <c r="J21" s="27">
        <v>0.90431728688215252</v>
      </c>
      <c r="K21" s="79">
        <v>0.12102646166110256</v>
      </c>
      <c r="L21" s="27">
        <v>223.87606205094565</v>
      </c>
      <c r="M21" s="27">
        <v>6.9836646776186591</v>
      </c>
      <c r="N21" s="79">
        <v>0.15466226539437417</v>
      </c>
      <c r="O21" s="27">
        <v>286.09593678222137</v>
      </c>
      <c r="P21" s="27">
        <v>2.1140670028946928</v>
      </c>
      <c r="Q21" s="79">
        <v>3.6676668497184213E-2</v>
      </c>
      <c r="R21" s="27">
        <v>67.844899368288893</v>
      </c>
      <c r="S21" s="27">
        <v>0.33711562105384402</v>
      </c>
      <c r="T21" s="79">
        <v>8.9426614944825754E-5</v>
      </c>
      <c r="U21" s="27">
        <v>0.1654223227020801</v>
      </c>
      <c r="V21" s="27">
        <v>1.4354589379258365E-3</v>
      </c>
    </row>
    <row r="22" spans="1:22" x14ac:dyDescent="0.2">
      <c r="A22" s="79">
        <v>2000</v>
      </c>
      <c r="B22" s="27">
        <v>1.1421002758381855E-2</v>
      </c>
      <c r="C22" s="27">
        <v>1949.5553837</v>
      </c>
      <c r="D22" s="27">
        <v>0.31467431925959954</v>
      </c>
      <c r="E22" s="79">
        <v>0.13654679502394038</v>
      </c>
      <c r="F22" s="27">
        <v>266.20553936590335</v>
      </c>
      <c r="G22" s="27">
        <v>1.7551234408356695</v>
      </c>
      <c r="H22" s="79">
        <v>7.8832643627859453E-2</v>
      </c>
      <c r="I22" s="27">
        <v>153.68860479599689</v>
      </c>
      <c r="J22" s="27">
        <v>0.94489283961702142</v>
      </c>
      <c r="K22" s="79">
        <v>0.1190222561692556</v>
      </c>
      <c r="L22" s="27">
        <v>232.0404802948928</v>
      </c>
      <c r="M22" s="27">
        <v>7.0926929688806863</v>
      </c>
      <c r="N22" s="79">
        <v>0.15731606966833761</v>
      </c>
      <c r="O22" s="27">
        <v>306.69639056443185</v>
      </c>
      <c r="P22" s="27">
        <v>2.2473102495274899</v>
      </c>
      <c r="Q22" s="79">
        <v>3.8257547751204754E-2</v>
      </c>
      <c r="R22" s="27">
        <v>74.585208185521054</v>
      </c>
      <c r="S22" s="27">
        <v>0.35723489326131552</v>
      </c>
      <c r="T22" s="79">
        <v>7.8445670800850656E-5</v>
      </c>
      <c r="U22" s="27">
        <v>0.15293417983775628</v>
      </c>
      <c r="V22" s="27">
        <v>1.9791932569407497E-3</v>
      </c>
    </row>
    <row r="23" spans="1:22" x14ac:dyDescent="0.2">
      <c r="A23" s="79">
        <v>2100</v>
      </c>
      <c r="B23" s="27">
        <v>1.0950680770494449E-2</v>
      </c>
      <c r="C23" s="27">
        <v>2049.5770287999999</v>
      </c>
      <c r="D23" s="27">
        <v>0.31826560572184581</v>
      </c>
      <c r="E23" s="79">
        <v>0.13298062313185463</v>
      </c>
      <c r="F23" s="27">
        <v>272.55403044655912</v>
      </c>
      <c r="G23" s="27">
        <v>1.7992746459236841</v>
      </c>
      <c r="H23" s="79">
        <v>7.7676402489788299E-2</v>
      </c>
      <c r="I23" s="27">
        <v>159.20377022289321</v>
      </c>
      <c r="J23" s="27">
        <v>0.98486294985710443</v>
      </c>
      <c r="K23" s="79">
        <v>0.11567785492130649</v>
      </c>
      <c r="L23" s="27">
        <v>237.09067418756879</v>
      </c>
      <c r="M23" s="27">
        <v>7.0628453344028772</v>
      </c>
      <c r="N23" s="79">
        <v>0.16438531042045193</v>
      </c>
      <c r="O23" s="27">
        <v>336.92035610991553</v>
      </c>
      <c r="P23" s="27">
        <v>2.4565507432568889</v>
      </c>
      <c r="Q23" s="79">
        <v>3.8089124598208103E-2</v>
      </c>
      <c r="R23" s="27">
        <v>78.066594823588346</v>
      </c>
      <c r="S23" s="27">
        <v>0.36981610094837153</v>
      </c>
      <c r="T23" s="79">
        <v>1.1331578187959706E-4</v>
      </c>
      <c r="U23" s="27">
        <v>0.23224942354093342</v>
      </c>
      <c r="V23" s="27">
        <v>1.8400117205864413E-3</v>
      </c>
    </row>
    <row r="24" spans="1:22" x14ac:dyDescent="0.2">
      <c r="A24" s="79">
        <v>2200</v>
      </c>
      <c r="B24" s="27">
        <v>1.0373584370696059E-2</v>
      </c>
      <c r="C24" s="27">
        <v>2149.5936998000002</v>
      </c>
      <c r="D24" s="27">
        <v>0.32038024743811339</v>
      </c>
      <c r="E24" s="79">
        <v>0.12827876233949306</v>
      </c>
      <c r="F24" s="27">
        <v>275.74721934311583</v>
      </c>
      <c r="G24" s="27">
        <v>1.8301280092633723</v>
      </c>
      <c r="H24" s="79">
        <v>7.6959105239628539E-2</v>
      </c>
      <c r="I24" s="27">
        <v>165.43080776535069</v>
      </c>
      <c r="J24" s="27">
        <v>1.0081709150472187</v>
      </c>
      <c r="K24" s="79">
        <v>0.11466549452626242</v>
      </c>
      <c r="L24" s="27">
        <v>246.48422461810509</v>
      </c>
      <c r="M24" s="27">
        <v>7.3509271498011417</v>
      </c>
      <c r="N24" s="79">
        <v>0.16655634356476953</v>
      </c>
      <c r="O24" s="27">
        <v>358.02846678855292</v>
      </c>
      <c r="P24" s="27">
        <v>2.6122205141572783</v>
      </c>
      <c r="Q24" s="79">
        <v>3.8989252548791396E-2</v>
      </c>
      <c r="R24" s="27">
        <v>83.811051638793089</v>
      </c>
      <c r="S24" s="27">
        <v>0.39479172682747371</v>
      </c>
      <c r="T24" s="79">
        <v>1.6915679828941187E-4</v>
      </c>
      <c r="U24" s="27">
        <v>0.36361838788125922</v>
      </c>
      <c r="V24" s="27">
        <v>2.0151610487164824E-3</v>
      </c>
    </row>
    <row r="25" spans="1:22" x14ac:dyDescent="0.2">
      <c r="A25" s="79">
        <v>2300</v>
      </c>
      <c r="B25" s="27">
        <v>1.0085164814666637E-2</v>
      </c>
      <c r="C25" s="27">
        <v>2249.5779269999998</v>
      </c>
      <c r="D25" s="27">
        <v>0.32470323973153847</v>
      </c>
      <c r="E25" s="79">
        <v>0.12362917431585366</v>
      </c>
      <c r="F25" s="27">
        <v>278.11346167417969</v>
      </c>
      <c r="G25" s="27">
        <v>1.8488998671307166</v>
      </c>
      <c r="H25" s="79">
        <v>7.6508836178807757E-2</v>
      </c>
      <c r="I25" s="27">
        <v>172.11258908830493</v>
      </c>
      <c r="J25" s="27">
        <v>1.057762177197574</v>
      </c>
      <c r="K25" s="79">
        <v>0.11279202333700768</v>
      </c>
      <c r="L25" s="27">
        <v>253.73444604060134</v>
      </c>
      <c r="M25" s="27">
        <v>7.4328420154520209</v>
      </c>
      <c r="N25" s="79">
        <v>0.17202982537773168</v>
      </c>
      <c r="O25" s="27">
        <v>386.9944979554096</v>
      </c>
      <c r="P25" s="27">
        <v>2.7730203899698238</v>
      </c>
      <c r="Q25" s="79">
        <v>3.9693437831733076E-2</v>
      </c>
      <c r="R25" s="27">
        <v>89.293481593013468</v>
      </c>
      <c r="S25" s="27">
        <v>0.41208943667627201</v>
      </c>
      <c r="T25" s="79">
        <v>1.8795318506733533E-4</v>
      </c>
      <c r="U25" s="27">
        <v>0.42281533643682351</v>
      </c>
      <c r="V25" s="27">
        <v>1.430819626993725E-3</v>
      </c>
    </row>
    <row r="26" spans="1:22" x14ac:dyDescent="0.2">
      <c r="A26" s="79">
        <v>2400</v>
      </c>
      <c r="B26" s="27">
        <v>9.5152724715754939E-3</v>
      </c>
      <c r="C26" s="27">
        <v>2349.7073338999999</v>
      </c>
      <c r="D26" s="27">
        <v>0.32736057183961281</v>
      </c>
      <c r="E26" s="79">
        <v>0.11974426416545375</v>
      </c>
      <c r="F26" s="27">
        <v>281.36397570202564</v>
      </c>
      <c r="G26" s="27">
        <v>1.8653964265810483</v>
      </c>
      <c r="H26" s="79">
        <v>7.2119001825607223E-2</v>
      </c>
      <c r="I26" s="27">
        <v>169.45854750317676</v>
      </c>
      <c r="J26" s="27">
        <v>1.0415741558645704</v>
      </c>
      <c r="K26" s="79">
        <v>0.10998755506574426</v>
      </c>
      <c r="L26" s="27">
        <v>258.43856477570938</v>
      </c>
      <c r="M26" s="27">
        <v>7.4430853162787125</v>
      </c>
      <c r="N26" s="79">
        <v>0.17617484601256503</v>
      </c>
      <c r="O26" s="27">
        <v>413.95932772442717</v>
      </c>
      <c r="P26" s="27">
        <v>2.9588031248669537</v>
      </c>
      <c r="Q26" s="79">
        <v>4.1033184368000047E-2</v>
      </c>
      <c r="R26" s="27">
        <v>96.415974242760541</v>
      </c>
      <c r="S26" s="27">
        <v>0.43208404246496457</v>
      </c>
      <c r="T26" s="79">
        <v>1.649863933034188E-4</v>
      </c>
      <c r="U26" s="27">
        <v>0.38766973833875301</v>
      </c>
      <c r="V26" s="27">
        <v>6.6976287382581321E-4</v>
      </c>
    </row>
    <row r="27" spans="1:22" x14ac:dyDescent="0.2">
      <c r="A27" s="79">
        <v>2500</v>
      </c>
      <c r="B27" s="27">
        <v>9.3452052757365574E-3</v>
      </c>
      <c r="C27" s="27">
        <v>2449.6569696000001</v>
      </c>
      <c r="D27" s="27">
        <v>0.32706573996712823</v>
      </c>
      <c r="E27" s="79">
        <v>0.11597026600864684</v>
      </c>
      <c r="F27" s="27">
        <v>284.0873703944477</v>
      </c>
      <c r="G27" s="27">
        <v>1.8896832310502285</v>
      </c>
      <c r="H27" s="79">
        <v>7.1943979448719372E-2</v>
      </c>
      <c r="I27" s="27">
        <v>176.2380706773146</v>
      </c>
      <c r="J27" s="27">
        <v>1.0859802672713366</v>
      </c>
      <c r="K27" s="79">
        <v>0.10942725592213233</v>
      </c>
      <c r="L27" s="27">
        <v>268.05924013385436</v>
      </c>
      <c r="M27" s="27">
        <v>7.5875440149405557</v>
      </c>
      <c r="N27" s="79">
        <v>0.17756000017492449</v>
      </c>
      <c r="O27" s="27">
        <v>434.96109195068101</v>
      </c>
      <c r="P27" s="27">
        <v>3.0919254817470163</v>
      </c>
      <c r="Q27" s="79">
        <v>3.9802725269024578E-2</v>
      </c>
      <c r="R27" s="27">
        <v>97.503023364340095</v>
      </c>
      <c r="S27" s="27">
        <v>0.43105535254455163</v>
      </c>
      <c r="T27" s="79">
        <v>2.7575860104624215E-4</v>
      </c>
      <c r="U27" s="27">
        <v>0.67551397898007293</v>
      </c>
      <c r="V27" s="27">
        <v>3.5010533075546559E-3</v>
      </c>
    </row>
    <row r="28" spans="1:22" x14ac:dyDescent="0.2">
      <c r="A28" s="79">
        <v>2600</v>
      </c>
      <c r="B28" s="27">
        <v>8.7539580502632181E-3</v>
      </c>
      <c r="C28" s="27">
        <v>2549.5381465999999</v>
      </c>
      <c r="D28" s="27">
        <v>0.33120424417515648</v>
      </c>
      <c r="E28" s="79">
        <v>0.11316685996694252</v>
      </c>
      <c r="F28" s="27">
        <v>288.52322641666035</v>
      </c>
      <c r="G28" s="27">
        <v>1.9140766184564229</v>
      </c>
      <c r="H28" s="79">
        <v>7.2202434365303436E-2</v>
      </c>
      <c r="I28" s="27">
        <v>184.08286069172385</v>
      </c>
      <c r="J28" s="27">
        <v>1.1290185345426091</v>
      </c>
      <c r="K28" s="79">
        <v>0.10634242049713168</v>
      </c>
      <c r="L28" s="27">
        <v>271.12405765921494</v>
      </c>
      <c r="M28" s="27">
        <v>7.70674633592572</v>
      </c>
      <c r="N28" s="79">
        <v>0.18422479328757588</v>
      </c>
      <c r="O28" s="27">
        <v>469.68813803617428</v>
      </c>
      <c r="P28" s="27">
        <v>3.2922600993895541</v>
      </c>
      <c r="Q28" s="79">
        <v>4.053930648001873E-2</v>
      </c>
      <c r="R28" s="27">
        <v>103.35650830751632</v>
      </c>
      <c r="S28" s="27">
        <v>0.46723287963389409</v>
      </c>
      <c r="T28" s="79">
        <v>9.7723910430296581E-5</v>
      </c>
      <c r="U28" s="27">
        <v>0.24915083747696273</v>
      </c>
      <c r="V28" s="27">
        <v>1.2495996474547264E-3</v>
      </c>
    </row>
    <row r="29" spans="1:22" x14ac:dyDescent="0.2">
      <c r="A29" s="79">
        <v>2700</v>
      </c>
      <c r="B29" s="27">
        <v>8.5164814666636134E-3</v>
      </c>
      <c r="C29" s="27">
        <v>2649.6702249999998</v>
      </c>
      <c r="D29" s="27">
        <v>0.33329277322818768</v>
      </c>
      <c r="E29" s="79">
        <v>0.11117758647497095</v>
      </c>
      <c r="F29" s="27">
        <v>294.5839405700932</v>
      </c>
      <c r="G29" s="27">
        <v>1.9603709173723314</v>
      </c>
      <c r="H29" s="79">
        <v>6.9600848762308848E-2</v>
      </c>
      <c r="I29" s="27">
        <v>184.41929660021785</v>
      </c>
      <c r="J29" s="27">
        <v>1.137720006570184</v>
      </c>
      <c r="K29" s="79">
        <v>0.10411557597095893</v>
      </c>
      <c r="L29" s="27">
        <v>275.87194160897531</v>
      </c>
      <c r="M29" s="27">
        <v>7.7225467462772057</v>
      </c>
      <c r="N29" s="79">
        <v>0.18609995558343773</v>
      </c>
      <c r="O29" s="27">
        <v>493.10351118325741</v>
      </c>
      <c r="P29" s="27">
        <v>3.4796837752823504</v>
      </c>
      <c r="Q29" s="79">
        <v>4.2805203263816878E-2</v>
      </c>
      <c r="R29" s="27">
        <v>113.41967256320839</v>
      </c>
      <c r="S29" s="27">
        <v>0.48268381152323092</v>
      </c>
      <c r="T29" s="79">
        <v>2.7203840997366824E-4</v>
      </c>
      <c r="U29" s="27">
        <v>0.72081207496357169</v>
      </c>
      <c r="V29" s="27">
        <v>3.0193174924292411E-3</v>
      </c>
    </row>
    <row r="30" spans="1:22" x14ac:dyDescent="0.2">
      <c r="A30" s="79">
        <v>2800</v>
      </c>
      <c r="B30" s="27">
        <v>8.1447006830217619E-3</v>
      </c>
      <c r="C30" s="27">
        <v>2749.6393896999998</v>
      </c>
      <c r="D30" s="27">
        <v>0.33077097961559526</v>
      </c>
      <c r="E30" s="79">
        <v>0.10793698055628768</v>
      </c>
      <c r="F30" s="27">
        <v>296.78777334285161</v>
      </c>
      <c r="G30" s="27">
        <v>1.9722271324511793</v>
      </c>
      <c r="H30" s="79">
        <v>6.9305398370644269E-2</v>
      </c>
      <c r="I30" s="27">
        <v>190.56485327877365</v>
      </c>
      <c r="J30" s="27">
        <v>1.1667900280782773</v>
      </c>
      <c r="K30" s="79">
        <v>0.10245917092750428</v>
      </c>
      <c r="L30" s="27">
        <v>281.72577221827083</v>
      </c>
      <c r="M30" s="27">
        <v>7.7498297221072914</v>
      </c>
      <c r="N30" s="79">
        <v>0.18873126383198868</v>
      </c>
      <c r="O30" s="27">
        <v>518.94291710029904</v>
      </c>
      <c r="P30" s="27">
        <v>3.5965229096284759</v>
      </c>
      <c r="Q30" s="79">
        <v>3.9428877140385787E-2</v>
      </c>
      <c r="R30" s="27">
        <v>108.41519367684664</v>
      </c>
      <c r="S30" s="27">
        <v>0.46733852498023509</v>
      </c>
      <c r="T30" s="79">
        <v>1.5166771571739943E-4</v>
      </c>
      <c r="U30" s="27">
        <v>0.41703152528238324</v>
      </c>
      <c r="V30" s="27">
        <v>2.3607766967083644E-3</v>
      </c>
    </row>
    <row r="31" spans="1:22" x14ac:dyDescent="0.2">
      <c r="A31" s="79">
        <v>2900</v>
      </c>
      <c r="B31" s="27">
        <v>7.8784078725931701E-3</v>
      </c>
      <c r="C31" s="27">
        <v>2849.764068</v>
      </c>
      <c r="D31" s="27">
        <v>0.33553745657984646</v>
      </c>
      <c r="E31" s="79">
        <v>0.10455211964585318</v>
      </c>
      <c r="F31" s="27">
        <v>297.94887379998926</v>
      </c>
      <c r="G31" s="27">
        <v>1.9876158969778044</v>
      </c>
      <c r="H31" s="79">
        <v>6.771347654011256E-2</v>
      </c>
      <c r="I31" s="27">
        <v>192.96743236337372</v>
      </c>
      <c r="J31" s="27">
        <v>1.2122109311874441</v>
      </c>
      <c r="K31" s="79">
        <v>0.10052408422580963</v>
      </c>
      <c r="L31" s="27">
        <v>286.4699231953179</v>
      </c>
      <c r="M31" s="27">
        <v>7.7884785679098529</v>
      </c>
      <c r="N31" s="79">
        <v>0.1922598959541735</v>
      </c>
      <c r="O31" s="27">
        <v>547.8953432076222</v>
      </c>
      <c r="P31" s="27">
        <v>3.7887677141634093</v>
      </c>
      <c r="Q31" s="79">
        <v>4.2379618256786059E-2</v>
      </c>
      <c r="R31" s="27">
        <v>120.77191332374571</v>
      </c>
      <c r="S31" s="27">
        <v>0.51631042768856605</v>
      </c>
      <c r="T31" s="79">
        <v>3.7385814307623106E-4</v>
      </c>
      <c r="U31" s="27">
        <v>1.0654075026678462</v>
      </c>
      <c r="V31" s="27">
        <v>2.4605989489729246E-3</v>
      </c>
    </row>
    <row r="32" spans="1:22" x14ac:dyDescent="0.2">
      <c r="A32" s="79">
        <v>3000</v>
      </c>
      <c r="B32" s="27">
        <v>7.6391302748167536E-3</v>
      </c>
      <c r="C32" s="27">
        <v>2949.5261225999998</v>
      </c>
      <c r="D32" s="27">
        <v>0.33646326761645462</v>
      </c>
      <c r="E32" s="79">
        <v>0.1026050152298794</v>
      </c>
      <c r="F32" s="27">
        <v>302.63617273030013</v>
      </c>
      <c r="G32" s="27">
        <v>2.0108834856300453</v>
      </c>
      <c r="H32" s="79">
        <v>6.8259732930938052E-2</v>
      </c>
      <c r="I32" s="27">
        <v>201.33386540150121</v>
      </c>
      <c r="J32" s="27">
        <v>1.2470642609647937</v>
      </c>
      <c r="K32" s="79">
        <v>0.10120866698264608</v>
      </c>
      <c r="L32" s="27">
        <v>298.51760709883871</v>
      </c>
      <c r="M32" s="27">
        <v>8.1472247995033822</v>
      </c>
      <c r="N32" s="79">
        <v>0.19552112060557081</v>
      </c>
      <c r="O32" s="27">
        <v>576.69465274615618</v>
      </c>
      <c r="P32" s="27">
        <v>3.9561104300666661</v>
      </c>
      <c r="Q32" s="79">
        <v>3.9469558551870586E-2</v>
      </c>
      <c r="R32" s="27">
        <v>116.41649399623252</v>
      </c>
      <c r="S32" s="27">
        <v>0.49404396683860763</v>
      </c>
      <c r="T32" s="79">
        <v>2.6392147636788353E-4</v>
      </c>
      <c r="U32" s="27">
        <v>0.77844328886223102</v>
      </c>
      <c r="V32" s="27">
        <v>1.9051635525815893E-3</v>
      </c>
    </row>
    <row r="33" spans="1:22" x14ac:dyDescent="0.2">
      <c r="A33" s="79">
        <v>3100</v>
      </c>
      <c r="B33" s="27">
        <v>7.2773837130171385E-3</v>
      </c>
      <c r="C33" s="27">
        <v>3049.4758221000002</v>
      </c>
      <c r="D33" s="27">
        <v>0.33421905087751208</v>
      </c>
      <c r="E33" s="79">
        <v>0.1003117427087547</v>
      </c>
      <c r="F33" s="27">
        <v>305.89823406306346</v>
      </c>
      <c r="G33" s="27">
        <v>2.0447117384425364</v>
      </c>
      <c r="H33" s="79">
        <v>6.7345663311680432E-2</v>
      </c>
      <c r="I33" s="27">
        <v>205.36897199225652</v>
      </c>
      <c r="J33" s="27">
        <v>1.2819495361176907</v>
      </c>
      <c r="K33" s="79">
        <v>9.6769912440967318E-2</v>
      </c>
      <c r="L33" s="27">
        <v>295.09750829546385</v>
      </c>
      <c r="M33" s="27">
        <v>8.0378492154992962</v>
      </c>
      <c r="N33" s="79">
        <v>0.19480821953054434</v>
      </c>
      <c r="O33" s="27">
        <v>594.062955404744</v>
      </c>
      <c r="P33" s="27">
        <v>4.0819413502107622</v>
      </c>
      <c r="Q33" s="79">
        <v>4.2430302855088205E-2</v>
      </c>
      <c r="R33" s="27">
        <v>129.39018268097209</v>
      </c>
      <c r="S33" s="27">
        <v>0.54510650503067115</v>
      </c>
      <c r="T33" s="79">
        <v>2.1061605091184541E-4</v>
      </c>
      <c r="U33" s="27">
        <v>0.64226855500185531</v>
      </c>
      <c r="V33" s="27">
        <v>2.8834920593211995E-3</v>
      </c>
    </row>
    <row r="34" spans="1:22" x14ac:dyDescent="0.2">
      <c r="A34" s="79">
        <v>3200</v>
      </c>
      <c r="B34" s="27">
        <v>6.9668374113868864E-3</v>
      </c>
      <c r="C34" s="27">
        <v>3149.7135216000001</v>
      </c>
      <c r="D34" s="27">
        <v>0.33949104845010897</v>
      </c>
      <c r="E34" s="79">
        <v>9.8709969931666808E-2</v>
      </c>
      <c r="F34" s="27">
        <v>310.90812701050038</v>
      </c>
      <c r="G34" s="27">
        <v>2.0768045908273085</v>
      </c>
      <c r="H34" s="79">
        <v>6.6706296898585649E-2</v>
      </c>
      <c r="I34" s="27">
        <v>210.10572531733936</v>
      </c>
      <c r="J34" s="27">
        <v>1.3269504836779773</v>
      </c>
      <c r="K34" s="79">
        <v>9.5177246015538258E-2</v>
      </c>
      <c r="L34" s="27">
        <v>299.78105872379058</v>
      </c>
      <c r="M34" s="27">
        <v>8.0335546854019597</v>
      </c>
      <c r="N34" s="79">
        <v>0.20182889652559199</v>
      </c>
      <c r="O34" s="27">
        <v>635.7032044362644</v>
      </c>
      <c r="P34" s="27">
        <v>4.3945190976542214</v>
      </c>
      <c r="Q34" s="79">
        <v>4.2308127691570351E-2</v>
      </c>
      <c r="R34" s="27">
        <v>133.25848186371854</v>
      </c>
      <c r="S34" s="27">
        <v>0.54811029917261134</v>
      </c>
      <c r="T34" s="79">
        <v>1.7677821740882016E-4</v>
      </c>
      <c r="U34" s="27">
        <v>0.55680074169690541</v>
      </c>
      <c r="V34" s="27">
        <v>4.1816235750941691E-3</v>
      </c>
    </row>
    <row r="35" spans="1:22" x14ac:dyDescent="0.2">
      <c r="A35" s="79">
        <v>3300</v>
      </c>
      <c r="B35" s="27">
        <v>6.7116079737587087E-3</v>
      </c>
      <c r="C35" s="27">
        <v>3249.4981059000002</v>
      </c>
      <c r="D35" s="27">
        <v>0.34140510358500509</v>
      </c>
      <c r="E35" s="79">
        <v>9.566131405438133E-2</v>
      </c>
      <c r="F35" s="27">
        <v>310.85125882761719</v>
      </c>
      <c r="G35" s="27">
        <v>2.0562344937003387</v>
      </c>
      <c r="H35" s="79">
        <v>6.59426358917065E-2</v>
      </c>
      <c r="I35" s="27">
        <v>214.28047042815362</v>
      </c>
      <c r="J35" s="27">
        <v>1.3567641152178649</v>
      </c>
      <c r="K35" s="79">
        <v>9.4101638791450351E-2</v>
      </c>
      <c r="L35" s="27">
        <v>305.78309701490389</v>
      </c>
      <c r="M35" s="27">
        <v>8.1155045934534584</v>
      </c>
      <c r="N35" s="79">
        <v>0.20456299087339269</v>
      </c>
      <c r="O35" s="27">
        <v>664.72705138032859</v>
      </c>
      <c r="P35" s="27">
        <v>4.5007412772197473</v>
      </c>
      <c r="Q35" s="79">
        <v>4.2543230790233089E-2</v>
      </c>
      <c r="R35" s="27">
        <v>138.24414787172898</v>
      </c>
      <c r="S35" s="27">
        <v>0.57275652932172061</v>
      </c>
      <c r="T35" s="79">
        <v>1.9724312992926182E-4</v>
      </c>
      <c r="U35" s="27">
        <v>0.64094117710692389</v>
      </c>
      <c r="V35" s="27">
        <v>2.7237501355516346E-3</v>
      </c>
    </row>
    <row r="36" spans="1:22" x14ac:dyDescent="0.2">
      <c r="A36" s="79">
        <v>3400</v>
      </c>
      <c r="B36" s="27">
        <v>6.6194989630017657E-3</v>
      </c>
      <c r="C36" s="27">
        <v>3349.7696627999999</v>
      </c>
      <c r="D36" s="27">
        <v>0.33907502207934265</v>
      </c>
      <c r="E36" s="79">
        <v>9.3844811455892935E-2</v>
      </c>
      <c r="F36" s="27">
        <v>314.35850242613606</v>
      </c>
      <c r="G36" s="27">
        <v>2.1089752124721213</v>
      </c>
      <c r="H36" s="79">
        <v>6.5309051796808862E-2</v>
      </c>
      <c r="I36" s="27">
        <v>218.77028041518415</v>
      </c>
      <c r="J36" s="27">
        <v>1.3469685036821351</v>
      </c>
      <c r="K36" s="79">
        <v>9.1433253976709261E-2</v>
      </c>
      <c r="L36" s="27">
        <v>306.28034034226812</v>
      </c>
      <c r="M36" s="27">
        <v>8.2385982587797137</v>
      </c>
      <c r="N36" s="79">
        <v>0.20624772412558318</v>
      </c>
      <c r="O36" s="27">
        <v>690.8823692974222</v>
      </c>
      <c r="P36" s="27">
        <v>4.6953806804350773</v>
      </c>
      <c r="Q36" s="79">
        <v>4.1149876005068364E-2</v>
      </c>
      <c r="R36" s="27">
        <v>137.84260626975967</v>
      </c>
      <c r="S36" s="27">
        <v>0.57156740480433832</v>
      </c>
      <c r="T36" s="79">
        <v>2.4416797198304705E-4</v>
      </c>
      <c r="U36" s="27">
        <v>0.81790646517621135</v>
      </c>
      <c r="V36" s="27">
        <v>3.6952728849813507E-3</v>
      </c>
    </row>
    <row r="37" spans="1:22" x14ac:dyDescent="0.2">
      <c r="A37" s="79">
        <v>3500</v>
      </c>
      <c r="B37" s="27">
        <v>6.3207878973905616E-3</v>
      </c>
      <c r="C37" s="27">
        <v>3449.8662257999999</v>
      </c>
      <c r="D37" s="27">
        <v>0.34194144696493711</v>
      </c>
      <c r="E37" s="79">
        <v>9.2694326124579285E-2</v>
      </c>
      <c r="F37" s="27">
        <v>319.78302502047666</v>
      </c>
      <c r="G37" s="27">
        <v>2.1237443148987345</v>
      </c>
      <c r="H37" s="79">
        <v>6.5574328661124684E-2</v>
      </c>
      <c r="I37" s="27">
        <v>226.22266172752299</v>
      </c>
      <c r="J37" s="27">
        <v>1.4097836218481488</v>
      </c>
      <c r="K37" s="79">
        <v>9.2724795596351592E-2</v>
      </c>
      <c r="L37" s="27">
        <v>319.88814062206194</v>
      </c>
      <c r="M37" s="27">
        <v>8.4208737570195282</v>
      </c>
      <c r="N37" s="79">
        <v>0.20550500483175951</v>
      </c>
      <c r="O37" s="27">
        <v>708.96477540195292</v>
      </c>
      <c r="P37" s="27">
        <v>4.8131550434538131</v>
      </c>
      <c r="Q37" s="79">
        <v>4.3462460629663878E-2</v>
      </c>
      <c r="R37" s="27">
        <v>149.93967501643962</v>
      </c>
      <c r="S37" s="27">
        <v>0.60338809100525004</v>
      </c>
      <c r="T37" s="79">
        <v>2.4918590716089064E-4</v>
      </c>
      <c r="U37" s="27">
        <v>0.85965804505969101</v>
      </c>
      <c r="V37" s="27">
        <v>2.7786402563682979E-3</v>
      </c>
    </row>
    <row r="38" spans="1:22" x14ac:dyDescent="0.2">
      <c r="A38" s="79">
        <v>3600</v>
      </c>
      <c r="B38" s="27">
        <v>6.1818525180365137E-3</v>
      </c>
      <c r="C38" s="27">
        <v>3549.7953802000002</v>
      </c>
      <c r="D38" s="27">
        <v>0.34336371735396887</v>
      </c>
      <c r="E38" s="79">
        <v>9.0596235376915246E-2</v>
      </c>
      <c r="F38" s="27">
        <v>321.59809780448558</v>
      </c>
      <c r="G38" s="27">
        <v>2.1326750590041019</v>
      </c>
      <c r="H38" s="79">
        <v>6.2570968862104268E-2</v>
      </c>
      <c r="I38" s="27">
        <v>222.11413620133578</v>
      </c>
      <c r="J38" s="27">
        <v>1.3981594428171973</v>
      </c>
      <c r="K38" s="79">
        <v>9.0431962723499584E-2</v>
      </c>
      <c r="L38" s="27">
        <v>321.01496349829745</v>
      </c>
      <c r="M38" s="27">
        <v>8.4986249516849988</v>
      </c>
      <c r="N38" s="79">
        <v>0.21138516038316704</v>
      </c>
      <c r="O38" s="27">
        <v>750.37406577100251</v>
      </c>
      <c r="P38" s="27">
        <v>5.0549514402007301</v>
      </c>
      <c r="Q38" s="79">
        <v>4.1231147037881194E-2</v>
      </c>
      <c r="R38" s="27">
        <v>146.36213527541759</v>
      </c>
      <c r="S38" s="27">
        <v>0.60300377573849639</v>
      </c>
      <c r="T38" s="79">
        <v>3.1544720942120163E-4</v>
      </c>
      <c r="U38" s="27">
        <v>1.1197730467003635</v>
      </c>
      <c r="V38" s="27">
        <v>3.2020957702834181E-3</v>
      </c>
    </row>
    <row r="39" spans="1:22" x14ac:dyDescent="0.2">
      <c r="A39" s="79">
        <v>3700</v>
      </c>
      <c r="B39" s="27">
        <v>5.8898309336534683E-3</v>
      </c>
      <c r="C39" s="27">
        <v>3649.6508484000001</v>
      </c>
      <c r="D39" s="27">
        <v>0.339316485957741</v>
      </c>
      <c r="E39" s="79">
        <v>8.9967800630775266E-2</v>
      </c>
      <c r="F39" s="27">
        <v>328.35105990079103</v>
      </c>
      <c r="G39" s="27">
        <v>2.1937733912367663</v>
      </c>
      <c r="H39" s="79">
        <v>6.3313907094323926E-2</v>
      </c>
      <c r="I39" s="27">
        <v>231.07365474231813</v>
      </c>
      <c r="J39" s="27">
        <v>1.4473721969650135</v>
      </c>
      <c r="K39" s="79">
        <v>8.7410890322044146E-2</v>
      </c>
      <c r="L39" s="27">
        <v>319.01923002324776</v>
      </c>
      <c r="M39" s="27">
        <v>8.4705392283540615</v>
      </c>
      <c r="N39" s="79">
        <v>0.20878085792180345</v>
      </c>
      <c r="O39" s="27">
        <v>761.97723524398987</v>
      </c>
      <c r="P39" s="27">
        <v>5.1732572212835581</v>
      </c>
      <c r="Q39" s="79">
        <v>4.2883591980616323E-2</v>
      </c>
      <c r="R39" s="27">
        <v>156.51013785449581</v>
      </c>
      <c r="S39" s="27">
        <v>0.62883523392432805</v>
      </c>
      <c r="T39" s="79">
        <v>2.4114573327520641E-4</v>
      </c>
      <c r="U39" s="27">
        <v>0.8800977300358972</v>
      </c>
      <c r="V39" s="27">
        <v>2.2531241581600528E-3</v>
      </c>
    </row>
    <row r="40" spans="1:22" x14ac:dyDescent="0.2">
      <c r="A40" s="79">
        <v>3800</v>
      </c>
      <c r="B40" s="27">
        <v>5.7161617094609075E-3</v>
      </c>
      <c r="C40" s="27">
        <v>3749.8355793000001</v>
      </c>
      <c r="D40" s="27">
        <v>0.33667385681620682</v>
      </c>
      <c r="E40" s="79">
        <v>8.783295602084823E-2</v>
      </c>
      <c r="F40" s="27">
        <v>329.35914352206885</v>
      </c>
      <c r="G40" s="27">
        <v>2.1874588007757252</v>
      </c>
      <c r="H40" s="79">
        <v>6.2946989590809493E-2</v>
      </c>
      <c r="I40" s="27">
        <v>236.04086117744419</v>
      </c>
      <c r="J40" s="27">
        <v>1.5050901919805608</v>
      </c>
      <c r="K40" s="79">
        <v>8.794515131016678E-2</v>
      </c>
      <c r="L40" s="27">
        <v>329.77985740978539</v>
      </c>
      <c r="M40" s="27">
        <v>8.5719430948661159</v>
      </c>
      <c r="N40" s="79">
        <v>0.20491158446873425</v>
      </c>
      <c r="O40" s="27">
        <v>768.38475005159705</v>
      </c>
      <c r="P40" s="27">
        <v>5.18222943596595</v>
      </c>
      <c r="Q40" s="79">
        <v>4.3454027884774746E-2</v>
      </c>
      <c r="R40" s="27">
        <v>162.94545982622267</v>
      </c>
      <c r="S40" s="27">
        <v>0.65334273244459029</v>
      </c>
      <c r="T40" s="79">
        <v>3.6309315253155313E-4</v>
      </c>
      <c r="U40" s="27">
        <v>1.3615396219630198</v>
      </c>
      <c r="V40" s="27">
        <v>4.6266988851735346E-3</v>
      </c>
    </row>
    <row r="41" spans="1:22" x14ac:dyDescent="0.2">
      <c r="A41" s="79">
        <v>3900</v>
      </c>
      <c r="B41" s="27">
        <v>5.5134189706998148E-3</v>
      </c>
      <c r="C41" s="27">
        <v>3849.6253585999998</v>
      </c>
      <c r="D41" s="27">
        <v>0.341714889244016</v>
      </c>
      <c r="E41" s="79">
        <v>8.6202824218801474E-2</v>
      </c>
      <c r="F41" s="27">
        <v>331.84857809563636</v>
      </c>
      <c r="G41" s="27">
        <v>2.2254794205785049</v>
      </c>
      <c r="H41" s="79">
        <v>6.1382108764321236E-2</v>
      </c>
      <c r="I41" s="27">
        <v>236.29812246347433</v>
      </c>
      <c r="J41" s="27">
        <v>1.4826972726709784</v>
      </c>
      <c r="K41" s="79">
        <v>8.6921423983856133E-2</v>
      </c>
      <c r="L41" s="27">
        <v>334.61491797387481</v>
      </c>
      <c r="M41" s="27">
        <v>8.7540878105388487</v>
      </c>
      <c r="N41" s="79">
        <v>0.21350169121854018</v>
      </c>
      <c r="O41" s="27">
        <v>821.90152461887919</v>
      </c>
      <c r="P41" s="27">
        <v>5.4552631800264528</v>
      </c>
      <c r="Q41" s="79">
        <v>4.0750940808274565E-2</v>
      </c>
      <c r="R41" s="27">
        <v>156.87585512234133</v>
      </c>
      <c r="S41" s="27">
        <v>0.62829430296523459</v>
      </c>
      <c r="T41" s="79">
        <v>5.4083323334430287E-4</v>
      </c>
      <c r="U41" s="27">
        <v>2.0820053298558592</v>
      </c>
      <c r="V41" s="27">
        <v>5.8528914239535232E-3</v>
      </c>
    </row>
    <row r="42" spans="1:22" x14ac:dyDescent="0.2">
      <c r="A42" s="79">
        <v>4000</v>
      </c>
      <c r="B42" s="27">
        <v>5.3528714212240256E-3</v>
      </c>
      <c r="C42" s="27">
        <v>3949.8122156999998</v>
      </c>
      <c r="D42" s="27">
        <v>0.34220102001812941</v>
      </c>
      <c r="E42" s="79">
        <v>8.3581735509440855E-2</v>
      </c>
      <c r="F42" s="27">
        <v>330.13215992459595</v>
      </c>
      <c r="G42" s="27">
        <v>2.1952137847435256</v>
      </c>
      <c r="H42" s="79">
        <v>6.1085682975198702E-2</v>
      </c>
      <c r="I42" s="27">
        <v>241.27697681981735</v>
      </c>
      <c r="J42" s="27">
        <v>1.5013974399689733</v>
      </c>
      <c r="K42" s="79">
        <v>8.4392797537874403E-2</v>
      </c>
      <c r="L42" s="27">
        <v>333.3357026321932</v>
      </c>
      <c r="M42" s="27">
        <v>8.7673683385646957</v>
      </c>
      <c r="N42" s="79">
        <v>0.21559464616121596</v>
      </c>
      <c r="O42" s="27">
        <v>851.55836704708986</v>
      </c>
      <c r="P42" s="27">
        <v>5.6313221396002771</v>
      </c>
      <c r="Q42" s="79">
        <v>4.1631132696559103E-2</v>
      </c>
      <c r="R42" s="27">
        <v>164.43515647829682</v>
      </c>
      <c r="S42" s="27">
        <v>0.64775008150800018</v>
      </c>
      <c r="T42" s="79">
        <v>5.8244362248063928E-4</v>
      </c>
      <c r="U42" s="27">
        <v>2.3005429350305882</v>
      </c>
      <c r="V42" s="27">
        <v>5.4276115429463864E-3</v>
      </c>
    </row>
    <row r="43" spans="1:22" x14ac:dyDescent="0.2">
      <c r="A43" s="79">
        <v>4100</v>
      </c>
      <c r="B43" s="27">
        <v>5.2059601219440971E-3</v>
      </c>
      <c r="C43" s="27">
        <v>4049.8220792000002</v>
      </c>
      <c r="D43" s="27">
        <v>0.33470684407738605</v>
      </c>
      <c r="E43" s="79">
        <v>8.1080444355127748E-2</v>
      </c>
      <c r="F43" s="27">
        <v>328.36137374074337</v>
      </c>
      <c r="G43" s="27">
        <v>2.1795578104739297</v>
      </c>
      <c r="H43" s="79">
        <v>6.2836054917859832E-2</v>
      </c>
      <c r="I43" s="27">
        <v>254.47484257617251</v>
      </c>
      <c r="J43" s="27">
        <v>1.5991446293083129</v>
      </c>
      <c r="K43" s="79">
        <v>8.2563207208907252E-2</v>
      </c>
      <c r="L43" s="27">
        <v>334.36629948419721</v>
      </c>
      <c r="M43" s="27">
        <v>8.7936130724595092</v>
      </c>
      <c r="N43" s="79">
        <v>0.20882074777289222</v>
      </c>
      <c r="O43" s="27">
        <v>845.68687492571314</v>
      </c>
      <c r="P43" s="27">
        <v>5.58864824842684</v>
      </c>
      <c r="Q43" s="79">
        <v>4.267320687299133E-2</v>
      </c>
      <c r="R43" s="27">
        <v>172.81889538450949</v>
      </c>
      <c r="S43" s="27">
        <v>0.66500322008510637</v>
      </c>
      <c r="T43" s="79">
        <v>6.4968222259632815E-4</v>
      </c>
      <c r="U43" s="27">
        <v>2.6310974095343389</v>
      </c>
      <c r="V43" s="27">
        <v>5.553572087975675E-3</v>
      </c>
    </row>
    <row r="44" spans="1:22" x14ac:dyDescent="0.2">
      <c r="A44" s="79">
        <v>4200</v>
      </c>
      <c r="B44" s="27">
        <v>5.039752242198328E-3</v>
      </c>
      <c r="C44" s="27">
        <v>4149.3660362999999</v>
      </c>
      <c r="D44" s="27">
        <v>0.33818475215204596</v>
      </c>
      <c r="E44" s="79">
        <v>8.1186472360775627E-2</v>
      </c>
      <c r="F44" s="27">
        <v>336.87239102081105</v>
      </c>
      <c r="G44" s="27">
        <v>2.2596254284922104</v>
      </c>
      <c r="H44" s="79">
        <v>6.0556926108386699E-2</v>
      </c>
      <c r="I44" s="27">
        <v>251.27285245686849</v>
      </c>
      <c r="J44" s="27">
        <v>1.6500453874333774</v>
      </c>
      <c r="K44" s="79">
        <v>8.3010452138600616E-2</v>
      </c>
      <c r="L44" s="27">
        <v>344.4407507618161</v>
      </c>
      <c r="M44" s="27">
        <v>8.8765192540172873</v>
      </c>
      <c r="N44" s="79">
        <v>0.21217300391891777</v>
      </c>
      <c r="O44" s="27">
        <v>880.38345628090417</v>
      </c>
      <c r="P44" s="27">
        <v>5.8025172678384784</v>
      </c>
      <c r="Q44" s="79">
        <v>4.2695258878656467E-2</v>
      </c>
      <c r="R44" s="27">
        <v>177.15825710213315</v>
      </c>
      <c r="S44" s="27">
        <v>0.68500402135396588</v>
      </c>
      <c r="T44" s="79">
        <v>3.0603721586910693E-4</v>
      </c>
      <c r="U44" s="27">
        <v>1.2698604293710836</v>
      </c>
      <c r="V44" s="27">
        <v>3.3490477687614872E-3</v>
      </c>
    </row>
    <row r="45" spans="1:22" x14ac:dyDescent="0.2">
      <c r="A45" s="79">
        <v>4300</v>
      </c>
      <c r="B45" s="27">
        <v>4.8431844091863041E-3</v>
      </c>
      <c r="C45" s="27">
        <v>4250.1688647000001</v>
      </c>
      <c r="D45" s="27">
        <v>0.33615721145194305</v>
      </c>
      <c r="E45" s="79">
        <v>8.0940929309302981E-2</v>
      </c>
      <c r="F45" s="27">
        <v>344.01261763028322</v>
      </c>
      <c r="G45" s="27">
        <v>2.2819494944927126</v>
      </c>
      <c r="H45" s="79">
        <v>5.9382000299890242E-2</v>
      </c>
      <c r="I45" s="27">
        <v>252.38352879819956</v>
      </c>
      <c r="J45" s="27">
        <v>1.6102013710476684</v>
      </c>
      <c r="K45" s="79">
        <v>8.2220870572142682E-2</v>
      </c>
      <c r="L45" s="27">
        <v>349.45258413424932</v>
      </c>
      <c r="M45" s="27">
        <v>8.9737338516475287</v>
      </c>
      <c r="N45" s="79">
        <v>0.21126938907079459</v>
      </c>
      <c r="O45" s="27">
        <v>897.93057949288163</v>
      </c>
      <c r="P45" s="27">
        <v>5.9849286558439951</v>
      </c>
      <c r="Q45" s="79">
        <v>4.219053320642499E-2</v>
      </c>
      <c r="R45" s="27">
        <v>179.31689061903896</v>
      </c>
      <c r="S45" s="27">
        <v>0.68486559797177871</v>
      </c>
      <c r="T45" s="79">
        <v>4.7641860258260788E-4</v>
      </c>
      <c r="U45" s="27">
        <v>2.024859511260483</v>
      </c>
      <c r="V45" s="27">
        <v>5.1257033045686538E-3</v>
      </c>
    </row>
    <row r="46" spans="1:22" x14ac:dyDescent="0.2">
      <c r="A46" s="79">
        <v>4400</v>
      </c>
      <c r="B46" s="27">
        <v>4.7029625911345335E-3</v>
      </c>
      <c r="C46" s="27">
        <v>4349.8288124000001</v>
      </c>
      <c r="D46" s="27">
        <v>0.33864079776092898</v>
      </c>
      <c r="E46" s="79">
        <v>7.7961603426809328E-2</v>
      </c>
      <c r="F46" s="27">
        <v>339.11962884683777</v>
      </c>
      <c r="G46" s="27">
        <v>2.2738995230776826</v>
      </c>
      <c r="H46" s="79">
        <v>5.9704049946733145E-2</v>
      </c>
      <c r="I46" s="27">
        <v>259.70239667526852</v>
      </c>
      <c r="J46" s="27">
        <v>1.6498994060187604</v>
      </c>
      <c r="K46" s="79">
        <v>7.9703899572083126E-2</v>
      </c>
      <c r="L46" s="27">
        <v>346.6983188192832</v>
      </c>
      <c r="M46" s="27">
        <v>8.8443605284497959</v>
      </c>
      <c r="N46" s="79">
        <v>0.217212644914245</v>
      </c>
      <c r="O46" s="27">
        <v>944.83782126559322</v>
      </c>
      <c r="P46" s="27">
        <v>6.2346673774515091</v>
      </c>
      <c r="Q46" s="79">
        <v>4.1303930373918468E-2</v>
      </c>
      <c r="R46" s="27">
        <v>179.66502640583406</v>
      </c>
      <c r="S46" s="27">
        <v>0.69611001185982468</v>
      </c>
      <c r="T46" s="79">
        <v>4.2032290068078223E-4</v>
      </c>
      <c r="U46" s="27">
        <v>1.8283326638928101</v>
      </c>
      <c r="V46" s="27">
        <v>5.6562758029542201E-3</v>
      </c>
    </row>
    <row r="47" spans="1:22" x14ac:dyDescent="0.2">
      <c r="A47" s="79">
        <v>4500</v>
      </c>
      <c r="B47" s="27">
        <v>4.5704594052690985E-3</v>
      </c>
      <c r="C47" s="27">
        <v>4449.9582344999999</v>
      </c>
      <c r="D47" s="27">
        <v>0.33876967203788283</v>
      </c>
      <c r="E47" s="79">
        <v>7.640094975931469E-2</v>
      </c>
      <c r="F47" s="27">
        <v>339.98103550508318</v>
      </c>
      <c r="G47" s="27">
        <v>2.2782798955168824</v>
      </c>
      <c r="H47" s="79">
        <v>5.8614071362055688E-2</v>
      </c>
      <c r="I47" s="27">
        <v>260.83016951515032</v>
      </c>
      <c r="J47" s="27">
        <v>1.6783702194515491</v>
      </c>
      <c r="K47" s="79">
        <v>7.9433188444841749E-2</v>
      </c>
      <c r="L47" s="27">
        <v>353.47437101271379</v>
      </c>
      <c r="M47" s="27">
        <v>9.0428087539066819</v>
      </c>
      <c r="N47" s="79">
        <v>0.21621533205076351</v>
      </c>
      <c r="O47" s="27">
        <v>962.14919728444681</v>
      </c>
      <c r="P47" s="27">
        <v>6.2494648610357784</v>
      </c>
      <c r="Q47" s="79">
        <v>4.2600720366805428E-2</v>
      </c>
      <c r="R47" s="27">
        <v>189.57142639189766</v>
      </c>
      <c r="S47" s="27">
        <v>0.73181411197728818</v>
      </c>
      <c r="T47" s="79">
        <v>5.2043117547452566E-4</v>
      </c>
      <c r="U47" s="27">
        <v>2.3158969947933796</v>
      </c>
      <c r="V47" s="27">
        <v>4.1576244579486603E-3</v>
      </c>
    </row>
    <row r="48" spans="1:22" x14ac:dyDescent="0.2">
      <c r="A48" s="79">
        <v>4600</v>
      </c>
      <c r="B48" s="27">
        <v>4.4333250400918622E-3</v>
      </c>
      <c r="C48" s="27">
        <v>4549.7896828000003</v>
      </c>
      <c r="D48" s="27">
        <v>0.33866628531247889</v>
      </c>
      <c r="E48" s="79">
        <v>7.6099332435418318E-2</v>
      </c>
      <c r="F48" s="27">
        <v>346.23595758263366</v>
      </c>
      <c r="G48" s="27">
        <v>2.313363876274241</v>
      </c>
      <c r="H48" s="79">
        <v>5.7658183704885624E-2</v>
      </c>
      <c r="I48" s="27">
        <v>262.33260934947572</v>
      </c>
      <c r="J48" s="27">
        <v>1.720813861426199</v>
      </c>
      <c r="K48" s="79">
        <v>7.8780516917974344E-2</v>
      </c>
      <c r="L48" s="27">
        <v>358.43478307905053</v>
      </c>
      <c r="M48" s="27">
        <v>9.1122195033189968</v>
      </c>
      <c r="N48" s="79">
        <v>0.21581100496412386</v>
      </c>
      <c r="O48" s="27">
        <v>981.89468382047039</v>
      </c>
      <c r="P48" s="27">
        <v>6.4928937252580869</v>
      </c>
      <c r="Q48" s="79">
        <v>4.3242063077992304E-2</v>
      </c>
      <c r="R48" s="27">
        <v>196.7422924552362</v>
      </c>
      <c r="S48" s="27">
        <v>0.7412139270654019</v>
      </c>
      <c r="T48" s="79">
        <v>8.327003523833042E-4</v>
      </c>
      <c r="U48" s="27">
        <v>3.788611472137482</v>
      </c>
      <c r="V48" s="27">
        <v>6.3465168153328151E-3</v>
      </c>
    </row>
    <row r="49" spans="1:22" x14ac:dyDescent="0.2">
      <c r="A49" s="79">
        <v>4700</v>
      </c>
      <c r="B49" s="27">
        <v>4.3152299676409208E-3</v>
      </c>
      <c r="C49" s="27">
        <v>4649.8572821999996</v>
      </c>
      <c r="D49" s="27">
        <v>0.33612820649581865</v>
      </c>
      <c r="E49" s="79">
        <v>7.3949225292838067E-2</v>
      </c>
      <c r="F49" s="27">
        <v>343.85334374095146</v>
      </c>
      <c r="G49" s="27">
        <v>2.298269162683499</v>
      </c>
      <c r="H49" s="79">
        <v>5.9019377489881467E-2</v>
      </c>
      <c r="I49" s="27">
        <v>274.43168221223607</v>
      </c>
      <c r="J49" s="27">
        <v>1.7530789089047729</v>
      </c>
      <c r="K49" s="79">
        <v>7.7437296978563275E-2</v>
      </c>
      <c r="L49" s="27">
        <v>360.07237926965649</v>
      </c>
      <c r="M49" s="27">
        <v>9.1665105547306407</v>
      </c>
      <c r="N49" s="79">
        <v>0.21604151041995606</v>
      </c>
      <c r="O49" s="27">
        <v>1004.5621904837199</v>
      </c>
      <c r="P49" s="27">
        <v>6.5692302439989119</v>
      </c>
      <c r="Q49" s="79">
        <v>4.2138446761164773E-2</v>
      </c>
      <c r="R49" s="27">
        <v>195.93776353299901</v>
      </c>
      <c r="S49" s="27">
        <v>0.73361317607186127</v>
      </c>
      <c r="T49" s="79">
        <v>5.1095233613989788E-4</v>
      </c>
      <c r="U49" s="27">
        <v>2.3758554410572064</v>
      </c>
      <c r="V49" s="27">
        <v>6.3210059389935489E-3</v>
      </c>
    </row>
    <row r="50" spans="1:22" x14ac:dyDescent="0.2">
      <c r="A50" s="79">
        <v>4800</v>
      </c>
      <c r="B50" s="27">
        <v>4.176037300547328E-3</v>
      </c>
      <c r="C50" s="27">
        <v>4749.7428129999998</v>
      </c>
      <c r="D50" s="27">
        <v>0.33808409936329181</v>
      </c>
      <c r="E50" s="79">
        <v>7.4215420777773905E-2</v>
      </c>
      <c r="F50" s="27">
        <v>352.5041614530025</v>
      </c>
      <c r="G50" s="27">
        <v>2.3542286412747155</v>
      </c>
      <c r="H50" s="79">
        <v>5.8283534613287627E-2</v>
      </c>
      <c r="I50" s="27">
        <v>276.83179964569962</v>
      </c>
      <c r="J50" s="27">
        <v>1.7273114487878614</v>
      </c>
      <c r="K50" s="79">
        <v>7.7503934847417133E-2</v>
      </c>
      <c r="L50" s="27">
        <v>368.12375752073979</v>
      </c>
      <c r="M50" s="27">
        <v>9.0926290066093056</v>
      </c>
      <c r="N50" s="79">
        <v>0.21816219020965807</v>
      </c>
      <c r="O50" s="27">
        <v>1036.2142950166624</v>
      </c>
      <c r="P50" s="27">
        <v>6.6283603911103031</v>
      </c>
      <c r="Q50" s="79">
        <v>4.1909227794181741E-2</v>
      </c>
      <c r="R50" s="27">
        <v>199.05805351379456</v>
      </c>
      <c r="S50" s="27">
        <v>0.7602334988521624</v>
      </c>
      <c r="T50" s="79">
        <v>5.0874651203385707E-4</v>
      </c>
      <c r="U50" s="27">
        <v>2.4164150891716307</v>
      </c>
      <c r="V50" s="27">
        <v>6.4562675589058061E-3</v>
      </c>
    </row>
    <row r="51" spans="1:22" x14ac:dyDescent="0.2">
      <c r="A51" s="79">
        <v>4900</v>
      </c>
      <c r="B51" s="27">
        <v>4.1405315924901822E-3</v>
      </c>
      <c r="C51" s="27">
        <v>4849.2001688999999</v>
      </c>
      <c r="D51" s="27">
        <v>0.33255915167887518</v>
      </c>
      <c r="E51" s="79">
        <v>7.252327977701481E-2</v>
      </c>
      <c r="F51" s="27">
        <v>351.67990054388218</v>
      </c>
      <c r="G51" s="27">
        <v>2.3633431189544258</v>
      </c>
      <c r="H51" s="79">
        <v>5.6050735163309225E-2</v>
      </c>
      <c r="I51" s="27">
        <v>271.80123442088825</v>
      </c>
      <c r="J51" s="27">
        <v>1.7303575988335376</v>
      </c>
      <c r="K51" s="79">
        <v>7.139290161501026E-2</v>
      </c>
      <c r="L51" s="27">
        <v>346.1984705697688</v>
      </c>
      <c r="M51" s="27">
        <v>8.7901055565048214</v>
      </c>
      <c r="N51" s="79">
        <v>0.21881194673231463</v>
      </c>
      <c r="O51" s="27">
        <v>1061.0629290516779</v>
      </c>
      <c r="P51" s="27">
        <v>6.847358348287532</v>
      </c>
      <c r="Q51" s="79">
        <v>4.1697314892959664E-2</v>
      </c>
      <c r="R51" s="27">
        <v>202.1986264216165</v>
      </c>
      <c r="S51" s="27">
        <v>0.76067922661275233</v>
      </c>
      <c r="T51" s="79">
        <v>6.5698843859074223E-4</v>
      </c>
      <c r="U51" s="27">
        <v>3.1858684473795744</v>
      </c>
      <c r="V51" s="27">
        <v>4.2599912256198573E-3</v>
      </c>
    </row>
    <row r="52" spans="1:22" x14ac:dyDescent="0.2">
      <c r="A52" s="79">
        <v>5000</v>
      </c>
      <c r="B52" s="27">
        <v>3.9946494441684315E-3</v>
      </c>
      <c r="C52" s="27">
        <v>4949.4575961999999</v>
      </c>
      <c r="D52" s="27">
        <v>0.3375195534978479</v>
      </c>
      <c r="E52" s="79">
        <v>7.0986930571881171E-2</v>
      </c>
      <c r="F52" s="27">
        <v>351.34680274991928</v>
      </c>
      <c r="G52" s="27">
        <v>2.3630299178723453</v>
      </c>
      <c r="H52" s="79">
        <v>5.6678638651896811E-2</v>
      </c>
      <c r="I52" s="27">
        <v>280.5285186179056</v>
      </c>
      <c r="J52" s="27">
        <v>1.7793333261333877</v>
      </c>
      <c r="K52" s="79">
        <v>7.2332561604559503E-2</v>
      </c>
      <c r="L52" s="27">
        <v>358.0069464862915</v>
      </c>
      <c r="M52" s="27">
        <v>9.1772769167534616</v>
      </c>
      <c r="N52" s="79">
        <v>0.22039289940549484</v>
      </c>
      <c r="O52" s="27">
        <v>1090.8253101110688</v>
      </c>
      <c r="P52" s="27">
        <v>6.9269516977993693</v>
      </c>
      <c r="Q52" s="79">
        <v>4.4287051705119519E-2</v>
      </c>
      <c r="R52" s="27">
        <v>219.19688447520596</v>
      </c>
      <c r="S52" s="27">
        <v>0.8039678696119531</v>
      </c>
      <c r="T52" s="79">
        <v>5.0704078267432861E-4</v>
      </c>
      <c r="U52" s="27">
        <v>2.5095768533906493</v>
      </c>
      <c r="V52" s="27">
        <v>6.0103415515328964E-3</v>
      </c>
    </row>
    <row r="53" spans="1:22" x14ac:dyDescent="0.2">
      <c r="A53" s="79">
        <v>5100</v>
      </c>
      <c r="B53" s="27">
        <v>3.8804136878106588E-3</v>
      </c>
      <c r="C53" s="27">
        <v>5049.5342657000001</v>
      </c>
      <c r="D53" s="27">
        <v>0.33457253346735139</v>
      </c>
      <c r="E53" s="79">
        <v>6.9717219465541644E-2</v>
      </c>
      <c r="F53" s="27">
        <v>352.0394886005796</v>
      </c>
      <c r="G53" s="27">
        <v>2.369678404193774</v>
      </c>
      <c r="H53" s="79">
        <v>5.704930847299277E-2</v>
      </c>
      <c r="I53" s="27">
        <v>288.07243796886632</v>
      </c>
      <c r="J53" s="27">
        <v>1.8787958952591943</v>
      </c>
      <c r="K53" s="79">
        <v>7.0512078875122661E-2</v>
      </c>
      <c r="L53" s="27">
        <v>356.05315842567302</v>
      </c>
      <c r="M53" s="27">
        <v>9.0256798683394361</v>
      </c>
      <c r="N53" s="79">
        <v>0.21900124784273919</v>
      </c>
      <c r="O53" s="27">
        <v>1105.8543052129698</v>
      </c>
      <c r="P53" s="27">
        <v>7.1054674940346283</v>
      </c>
      <c r="Q53" s="79">
        <v>4.4475805462017702E-2</v>
      </c>
      <c r="R53" s="27">
        <v>224.58210367506561</v>
      </c>
      <c r="S53" s="27">
        <v>0.83515337225046304</v>
      </c>
      <c r="T53" s="79">
        <v>5.8340128747093128E-4</v>
      </c>
      <c r="U53" s="27">
        <v>2.9459047917379637</v>
      </c>
      <c r="V53" s="27">
        <v>6.0613040151903178E-3</v>
      </c>
    </row>
    <row r="54" spans="1:22" x14ac:dyDescent="0.2">
      <c r="A54" s="79">
        <v>5200</v>
      </c>
      <c r="B54" s="27">
        <v>3.7924212808864285E-3</v>
      </c>
      <c r="C54" s="27">
        <v>5149.819281</v>
      </c>
      <c r="D54" s="27">
        <v>0.33331962669114829</v>
      </c>
      <c r="E54" s="79">
        <v>6.8844666927423262E-2</v>
      </c>
      <c r="F54" s="27">
        <v>354.53759313686732</v>
      </c>
      <c r="G54" s="27">
        <v>2.3719077776250299</v>
      </c>
      <c r="H54" s="79">
        <v>5.5977476935295485E-2</v>
      </c>
      <c r="I54" s="27">
        <v>288.27389002311747</v>
      </c>
      <c r="J54" s="27">
        <v>1.7994053252912638</v>
      </c>
      <c r="K54" s="79">
        <v>7.1664959853464508E-2</v>
      </c>
      <c r="L54" s="27">
        <v>369.06159202546246</v>
      </c>
      <c r="M54" s="27">
        <v>9.3767796920670587</v>
      </c>
      <c r="N54" s="79">
        <v>0.22219952002227294</v>
      </c>
      <c r="O54" s="27">
        <v>1144.2873724396468</v>
      </c>
      <c r="P54" s="27">
        <v>7.3065726083190921</v>
      </c>
      <c r="Q54" s="79">
        <v>3.8780508223165013E-2</v>
      </c>
      <c r="R54" s="27">
        <v>199.71260897463424</v>
      </c>
      <c r="S54" s="27">
        <v>0.72434671509666138</v>
      </c>
      <c r="T54" s="79">
        <v>6.746385922438376E-4</v>
      </c>
      <c r="U54" s="27">
        <v>3.4742668300440118</v>
      </c>
      <c r="V54" s="27">
        <v>5.10481532773402E-3</v>
      </c>
    </row>
    <row r="55" spans="1:22" x14ac:dyDescent="0.2">
      <c r="A55" s="79">
        <v>5300</v>
      </c>
      <c r="B55" s="27">
        <v>3.6714960433004975E-3</v>
      </c>
      <c r="C55" s="27">
        <v>5249.8320856</v>
      </c>
      <c r="D55" s="27">
        <v>0.32882073861614464</v>
      </c>
      <c r="E55" s="79">
        <v>6.880319990785555E-2</v>
      </c>
      <c r="F55" s="27">
        <v>361.20524646821104</v>
      </c>
      <c r="G55" s="27">
        <v>2.4232332021775953</v>
      </c>
      <c r="H55" s="79">
        <v>5.5816117403392776E-2</v>
      </c>
      <c r="I55" s="27">
        <v>293.02524403794797</v>
      </c>
      <c r="J55" s="27">
        <v>1.853149646453327</v>
      </c>
      <c r="K55" s="79">
        <v>6.9348809479664292E-2</v>
      </c>
      <c r="L55" s="27">
        <v>364.06960510450307</v>
      </c>
      <c r="M55" s="27">
        <v>9.2051330633890913</v>
      </c>
      <c r="N55" s="79">
        <v>0.21851266963994367</v>
      </c>
      <c r="O55" s="27">
        <v>1147.1548241858893</v>
      </c>
      <c r="P55" s="27">
        <v>7.2347538246647227</v>
      </c>
      <c r="Q55" s="79">
        <v>4.0363748808167683E-2</v>
      </c>
      <c r="R55" s="27">
        <v>211.90290358821747</v>
      </c>
      <c r="S55" s="27">
        <v>0.76291099603525436</v>
      </c>
      <c r="T55" s="79">
        <v>5.9551068837309935E-4</v>
      </c>
      <c r="U55" s="27">
        <v>3.1263311191388397</v>
      </c>
      <c r="V55" s="27">
        <v>5.767584168086916E-3</v>
      </c>
    </row>
    <row r="56" spans="1:22" x14ac:dyDescent="0.2">
      <c r="A56" s="79">
        <v>5400</v>
      </c>
      <c r="B56" s="27">
        <v>3.585561938292623E-3</v>
      </c>
      <c r="C56" s="27">
        <v>5349.6850807999999</v>
      </c>
      <c r="D56" s="27">
        <v>0.33757795949064268</v>
      </c>
      <c r="E56" s="79">
        <v>6.6041127180424986E-2</v>
      </c>
      <c r="F56" s="27">
        <v>353.29923279633493</v>
      </c>
      <c r="G56" s="27">
        <v>2.3657156965446653</v>
      </c>
      <c r="H56" s="79">
        <v>5.4712737211530547E-2</v>
      </c>
      <c r="I56" s="27">
        <v>292.69591399025597</v>
      </c>
      <c r="J56" s="27">
        <v>1.9252559660182793</v>
      </c>
      <c r="K56" s="79">
        <v>7.1392783375712171E-2</v>
      </c>
      <c r="L56" s="27">
        <v>381.92890810183366</v>
      </c>
      <c r="M56" s="27">
        <v>9.4977051366723906</v>
      </c>
      <c r="N56" s="79">
        <v>0.22449755622017206</v>
      </c>
      <c r="O56" s="27">
        <v>1200.9912271871137</v>
      </c>
      <c r="P56" s="27">
        <v>7.6249372225711749</v>
      </c>
      <c r="Q56" s="79">
        <v>4.1122640654468412E-2</v>
      </c>
      <c r="R56" s="27">
        <v>219.99317719230919</v>
      </c>
      <c r="S56" s="27">
        <v>0.80162302272956465</v>
      </c>
      <c r="T56" s="79">
        <v>5.6497924028901109E-4</v>
      </c>
      <c r="U56" s="27">
        <v>3.0224610127358411</v>
      </c>
      <c r="V56" s="27">
        <v>5.3463585975961582E-3</v>
      </c>
    </row>
    <row r="57" spans="1:22" x14ac:dyDescent="0.2">
      <c r="A57" s="79">
        <v>5500</v>
      </c>
      <c r="B57" s="27">
        <v>3.5088901919083522E-3</v>
      </c>
      <c r="C57" s="27">
        <v>5449.7602567000004</v>
      </c>
      <c r="D57" s="27">
        <v>0.3339938557831395</v>
      </c>
      <c r="E57" s="79">
        <v>6.7093895297970468E-2</v>
      </c>
      <c r="F57" s="27">
        <v>365.64564406207046</v>
      </c>
      <c r="G57" s="27">
        <v>2.4522452771537058</v>
      </c>
      <c r="H57" s="79">
        <v>5.6195809971900705E-2</v>
      </c>
      <c r="I57" s="27">
        <v>306.25369177793004</v>
      </c>
      <c r="J57" s="27">
        <v>1.9658786102723991</v>
      </c>
      <c r="K57" s="79">
        <v>6.8125087194717021E-2</v>
      </c>
      <c r="L57" s="27">
        <v>371.26539267799097</v>
      </c>
      <c r="M57" s="27">
        <v>9.3982679383073418</v>
      </c>
      <c r="N57" s="79">
        <v>0.22501568318308693</v>
      </c>
      <c r="O57" s="27">
        <v>1226.2815273453857</v>
      </c>
      <c r="P57" s="27">
        <v>7.814350297815075</v>
      </c>
      <c r="Q57" s="79">
        <v>4.0580016690800393E-2</v>
      </c>
      <c r="R57" s="27">
        <v>221.15136217774665</v>
      </c>
      <c r="S57" s="27">
        <v>0.81411082133643131</v>
      </c>
      <c r="T57" s="79">
        <v>2.7306871453472545E-4</v>
      </c>
      <c r="U57" s="27">
        <v>1.4881590278195045</v>
      </c>
      <c r="V57" s="27">
        <v>3.9016372555799976E-3</v>
      </c>
    </row>
    <row r="58" spans="1:22" x14ac:dyDescent="0.2">
      <c r="A58" s="79">
        <v>5600</v>
      </c>
      <c r="B58" s="27">
        <v>3.3702121002938483E-3</v>
      </c>
      <c r="C58" s="27">
        <v>5549.5926741000003</v>
      </c>
      <c r="D58" s="27">
        <v>0.33415971303793013</v>
      </c>
      <c r="E58" s="79">
        <v>6.5400446611235022E-2</v>
      </c>
      <c r="F58" s="27">
        <v>362.94583939657804</v>
      </c>
      <c r="G58" s="27">
        <v>2.4194565112404289</v>
      </c>
      <c r="H58" s="79">
        <v>5.3549472884884236E-2</v>
      </c>
      <c r="I58" s="27">
        <v>297.17776242387015</v>
      </c>
      <c r="J58" s="27">
        <v>1.8852654971075768</v>
      </c>
      <c r="K58" s="79">
        <v>6.6527152561178221E-2</v>
      </c>
      <c r="L58" s="27">
        <v>369.19859848224769</v>
      </c>
      <c r="M58" s="27">
        <v>9.2976877434594822</v>
      </c>
      <c r="N58" s="79">
        <v>0.2260448713110427</v>
      </c>
      <c r="O58" s="27">
        <v>1254.4569618456399</v>
      </c>
      <c r="P58" s="27">
        <v>7.8332307232468175</v>
      </c>
      <c r="Q58" s="79">
        <v>4.0754491189248815E-2</v>
      </c>
      <c r="R58" s="27">
        <v>226.17082574052824</v>
      </c>
      <c r="S58" s="27">
        <v>0.82883226603366411</v>
      </c>
      <c r="T58" s="79">
        <v>8.3319797646030187E-4</v>
      </c>
      <c r="U58" s="27">
        <v>4.6239093862390357</v>
      </c>
      <c r="V58" s="27">
        <v>8.6512488566455291E-3</v>
      </c>
    </row>
    <row r="59" spans="1:22" x14ac:dyDescent="0.2">
      <c r="A59" s="79">
        <v>5700</v>
      </c>
      <c r="B59" s="27">
        <v>3.3354782554553364E-3</v>
      </c>
      <c r="C59" s="27">
        <v>5650.1906062999997</v>
      </c>
      <c r="D59" s="27">
        <v>0.33705103646059598</v>
      </c>
      <c r="E59" s="79">
        <v>6.4366324232704011E-2</v>
      </c>
      <c r="F59" s="27">
        <v>363.68200054168426</v>
      </c>
      <c r="G59" s="27">
        <v>2.4553576720807291</v>
      </c>
      <c r="H59" s="79">
        <v>5.3227279573324023E-2</v>
      </c>
      <c r="I59" s="27">
        <v>300.74427504409925</v>
      </c>
      <c r="J59" s="27">
        <v>1.9420418058416908</v>
      </c>
      <c r="K59" s="79">
        <v>6.737361561485318E-2</v>
      </c>
      <c r="L59" s="27">
        <v>380.67377005951045</v>
      </c>
      <c r="M59" s="27">
        <v>9.3836078864337793</v>
      </c>
      <c r="N59" s="79">
        <v>0.22556249339736462</v>
      </c>
      <c r="O59" s="27">
        <v>1274.4710813273953</v>
      </c>
      <c r="P59" s="27">
        <v>7.9703003562963435</v>
      </c>
      <c r="Q59" s="79">
        <v>4.3146948956990602E-2</v>
      </c>
      <c r="R59" s="27">
        <v>243.78848568729387</v>
      </c>
      <c r="S59" s="27">
        <v>0.86033397473955786</v>
      </c>
      <c r="T59" s="79">
        <v>9.6797849138801739E-4</v>
      </c>
      <c r="U59" s="27">
        <v>5.4692629791410212</v>
      </c>
      <c r="V59" s="27">
        <v>8.1408230244060555E-3</v>
      </c>
    </row>
    <row r="60" spans="1:22" x14ac:dyDescent="0.2">
      <c r="A60" s="79">
        <v>5800</v>
      </c>
      <c r="B60" s="27">
        <v>3.2526316033219963E-3</v>
      </c>
      <c r="C60" s="27">
        <v>5749.9995791000001</v>
      </c>
      <c r="D60" s="27">
        <v>0.33147471889739921</v>
      </c>
      <c r="E60" s="79">
        <v>6.3583808573601477E-2</v>
      </c>
      <c r="F60" s="27">
        <v>365.60687253578351</v>
      </c>
      <c r="G60" s="27">
        <v>2.4711318180568589</v>
      </c>
      <c r="H60" s="79">
        <v>5.3343575721596495E-2</v>
      </c>
      <c r="I60" s="27">
        <v>306.72553794686883</v>
      </c>
      <c r="J60" s="27">
        <v>1.9570735225119626</v>
      </c>
      <c r="K60" s="79">
        <v>6.4161026853473913E-2</v>
      </c>
      <c r="L60" s="27">
        <v>368.92587740209882</v>
      </c>
      <c r="M60" s="27">
        <v>9.4474872222085953</v>
      </c>
      <c r="N60" s="79">
        <v>0.22439282792266901</v>
      </c>
      <c r="O60" s="27">
        <v>1290.2586661084056</v>
      </c>
      <c r="P60" s="27">
        <v>8.0572348196407777</v>
      </c>
      <c r="Q60" s="79">
        <v>4.2079824026970525E-2</v>
      </c>
      <c r="R60" s="27">
        <v>241.95897044368257</v>
      </c>
      <c r="S60" s="27">
        <v>0.84262422013227711</v>
      </c>
      <c r="T60" s="79">
        <v>8.4104009428376725E-4</v>
      </c>
      <c r="U60" s="27">
        <v>4.8359801881378859</v>
      </c>
      <c r="V60" s="27">
        <v>1.0560048165495979E-2</v>
      </c>
    </row>
    <row r="61" spans="1:22" x14ac:dyDescent="0.2">
      <c r="A61" s="79">
        <v>5900</v>
      </c>
      <c r="B61" s="27">
        <v>3.1957710128826546E-3</v>
      </c>
      <c r="C61" s="27">
        <v>5849.8157031000001</v>
      </c>
      <c r="D61" s="27">
        <v>0.32721929465387201</v>
      </c>
      <c r="E61" s="79">
        <v>6.2645645983648635E-2</v>
      </c>
      <c r="F61" s="27">
        <v>366.46548360599121</v>
      </c>
      <c r="G61" s="27">
        <v>2.4636736908095211</v>
      </c>
      <c r="H61" s="79">
        <v>5.2998736088553579E-2</v>
      </c>
      <c r="I61" s="27">
        <v>310.03283861527342</v>
      </c>
      <c r="J61" s="27">
        <v>2.0142306146063764</v>
      </c>
      <c r="K61" s="79">
        <v>6.3392543659894995E-2</v>
      </c>
      <c r="L61" s="27">
        <v>370.83469736110607</v>
      </c>
      <c r="M61" s="27">
        <v>9.384029235744368</v>
      </c>
      <c r="N61" s="79">
        <v>0.22121182272505521</v>
      </c>
      <c r="O61" s="27">
        <v>1294.0483942884014</v>
      </c>
      <c r="P61" s="27">
        <v>8.0823944863966695</v>
      </c>
      <c r="Q61" s="79">
        <v>4.1666516215231764E-2</v>
      </c>
      <c r="R61" s="27">
        <v>243.74144084933357</v>
      </c>
      <c r="S61" s="27">
        <v>0.87068139869269978</v>
      </c>
      <c r="T61" s="79">
        <v>9.4841205369282399E-4</v>
      </c>
      <c r="U61" s="27">
        <v>5.5480357247016023</v>
      </c>
      <c r="V61" s="27">
        <v>7.6469310373560844E-3</v>
      </c>
    </row>
    <row r="62" spans="1:22" x14ac:dyDescent="0.2">
      <c r="A62" s="79">
        <v>6000</v>
      </c>
      <c r="B62" s="27">
        <v>3.0370244775836772E-3</v>
      </c>
      <c r="C62" s="27">
        <v>5949.7955181999996</v>
      </c>
      <c r="D62" s="27">
        <v>0.32841842180045688</v>
      </c>
      <c r="E62" s="79">
        <v>6.2947913988606552E-2</v>
      </c>
      <c r="F62" s="27">
        <v>374.5272165294503</v>
      </c>
      <c r="G62" s="27">
        <v>2.536692888520848</v>
      </c>
      <c r="H62" s="79">
        <v>5.2047081665169276E-2</v>
      </c>
      <c r="I62" s="27">
        <v>309.66949322681353</v>
      </c>
      <c r="J62" s="27">
        <v>1.9979750495854123</v>
      </c>
      <c r="K62" s="79">
        <v>6.5007349686591942E-2</v>
      </c>
      <c r="L62" s="27">
        <v>386.7804378153449</v>
      </c>
      <c r="M62" s="27">
        <v>9.7444957281588778</v>
      </c>
      <c r="N62" s="79">
        <v>0.22123784170356608</v>
      </c>
      <c r="O62" s="27">
        <v>1316.3199190241185</v>
      </c>
      <c r="P62" s="27">
        <v>8.1713459626209755</v>
      </c>
      <c r="Q62" s="79">
        <v>4.1519288425777186E-2</v>
      </c>
      <c r="R62" s="27">
        <v>247.03127619454222</v>
      </c>
      <c r="S62" s="27">
        <v>0.87731806556749048</v>
      </c>
      <c r="T62" s="79">
        <v>6.5394198451988598E-4</v>
      </c>
      <c r="U62" s="27">
        <v>3.8908210886592314</v>
      </c>
      <c r="V62" s="27">
        <v>9.3632002034733791E-3</v>
      </c>
    </row>
    <row r="63" spans="1:22" x14ac:dyDescent="0.2">
      <c r="A63" s="79">
        <v>6100</v>
      </c>
      <c r="B63" s="27">
        <v>3.0218445009505494E-3</v>
      </c>
      <c r="C63" s="27">
        <v>6049.5534015000003</v>
      </c>
      <c r="D63" s="27">
        <v>0.33015660981567457</v>
      </c>
      <c r="E63" s="79">
        <v>6.1796015347210471E-2</v>
      </c>
      <c r="F63" s="27">
        <v>373.83829484286332</v>
      </c>
      <c r="G63" s="27">
        <v>2.4865592374680059</v>
      </c>
      <c r="H63" s="79">
        <v>5.2397590078950319E-2</v>
      </c>
      <c r="I63" s="27">
        <v>316.98201929251655</v>
      </c>
      <c r="J63" s="27">
        <v>2.0255199097561984</v>
      </c>
      <c r="K63" s="79">
        <v>6.3396524714363092E-2</v>
      </c>
      <c r="L63" s="27">
        <v>383.52066172905404</v>
      </c>
      <c r="M63" s="27">
        <v>9.748518624182088</v>
      </c>
      <c r="N63" s="79">
        <v>0.22433009846176363</v>
      </c>
      <c r="O63" s="27">
        <v>1357.0969102081922</v>
      </c>
      <c r="P63" s="27">
        <v>8.3488678733618009</v>
      </c>
      <c r="Q63" s="79">
        <v>4.1427095854888678E-2</v>
      </c>
      <c r="R63" s="27">
        <v>250.61542864320836</v>
      </c>
      <c r="S63" s="27">
        <v>0.90995836384138884</v>
      </c>
      <c r="T63" s="79">
        <v>1.0028907846615096E-3</v>
      </c>
      <c r="U63" s="27">
        <v>6.0670413576820392</v>
      </c>
      <c r="V63" s="27">
        <v>9.86515356786722E-3</v>
      </c>
    </row>
    <row r="64" spans="1:22" x14ac:dyDescent="0.2">
      <c r="A64" s="79">
        <v>6200</v>
      </c>
      <c r="B64" s="27">
        <v>2.8808508196801448E-3</v>
      </c>
      <c r="C64" s="27">
        <v>6149.9152456000002</v>
      </c>
      <c r="D64" s="27">
        <v>0.325566888121395</v>
      </c>
      <c r="E64" s="79">
        <v>6.017293948719591E-2</v>
      </c>
      <c r="F64" s="27">
        <v>370.05847792487236</v>
      </c>
      <c r="G64" s="27">
        <v>2.483828709287331</v>
      </c>
      <c r="H64" s="79">
        <v>5.2704686024797831E-2</v>
      </c>
      <c r="I64" s="27">
        <v>324.12935209846546</v>
      </c>
      <c r="J64" s="27">
        <v>2.048648061847238</v>
      </c>
      <c r="K64" s="79">
        <v>6.190785709975917E-2</v>
      </c>
      <c r="L64" s="27">
        <v>380.72807420023514</v>
      </c>
      <c r="M64" s="27">
        <v>9.4939086341611105</v>
      </c>
      <c r="N64" s="79">
        <v>0.2249082418825368</v>
      </c>
      <c r="O64" s="27">
        <v>1383.1666256145056</v>
      </c>
      <c r="P64" s="27">
        <v>8.4067796583820495</v>
      </c>
      <c r="Q64" s="79">
        <v>3.7820550078115751E-2</v>
      </c>
      <c r="R64" s="27">
        <v>232.59317752238235</v>
      </c>
      <c r="S64" s="27">
        <v>0.84473690180143046</v>
      </c>
      <c r="T64" s="79">
        <v>9.3023906098038786E-4</v>
      </c>
      <c r="U64" s="27">
        <v>5.7208913831759158</v>
      </c>
      <c r="V64" s="27">
        <v>7.0807060679377795E-3</v>
      </c>
    </row>
    <row r="65" spans="1:22" x14ac:dyDescent="0.2">
      <c r="A65" s="79">
        <v>6300</v>
      </c>
      <c r="B65" s="27">
        <v>2.807523813909953E-3</v>
      </c>
      <c r="C65" s="27">
        <v>6249.5734666999997</v>
      </c>
      <c r="D65" s="27">
        <v>0.33063737082159878</v>
      </c>
      <c r="E65" s="79">
        <v>5.9313217848180978E-2</v>
      </c>
      <c r="F65" s="27">
        <v>370.68231248858871</v>
      </c>
      <c r="G65" s="27">
        <v>2.4782635827551447</v>
      </c>
      <c r="H65" s="79">
        <v>5.1103392911413983E-2</v>
      </c>
      <c r="I65" s="27">
        <v>319.3744083975177</v>
      </c>
      <c r="J65" s="27">
        <v>1.991762929535879</v>
      </c>
      <c r="K65" s="79">
        <v>6.1619371894421911E-2</v>
      </c>
      <c r="L65" s="27">
        <v>385.09479162609887</v>
      </c>
      <c r="M65" s="27">
        <v>9.6740729541417423</v>
      </c>
      <c r="N65" s="79">
        <v>0.22433542800169134</v>
      </c>
      <c r="O65" s="27">
        <v>1402.0007384801584</v>
      </c>
      <c r="P65" s="27">
        <v>8.5937457456091479</v>
      </c>
      <c r="Q65" s="79">
        <v>4.3869234111953773E-2</v>
      </c>
      <c r="R65" s="27">
        <v>274.16400151051681</v>
      </c>
      <c r="S65" s="27">
        <v>0.943505350502991</v>
      </c>
      <c r="T65" s="79">
        <v>8.1333681353538989E-4</v>
      </c>
      <c r="U65" s="27">
        <v>5.083008169361098</v>
      </c>
      <c r="V65" s="27">
        <v>6.9024704858687835E-3</v>
      </c>
    </row>
    <row r="66" spans="1:22" x14ac:dyDescent="0.2">
      <c r="A66" s="79">
        <v>6400</v>
      </c>
      <c r="B66" s="27">
        <v>2.7087253219248517E-3</v>
      </c>
      <c r="C66" s="27">
        <v>6349.5611363999997</v>
      </c>
      <c r="D66" s="27">
        <v>0.33953353574668943</v>
      </c>
      <c r="E66" s="79">
        <v>5.9515039450133367E-2</v>
      </c>
      <c r="F66" s="27">
        <v>377.89438152387964</v>
      </c>
      <c r="G66" s="27">
        <v>2.5368744530998568</v>
      </c>
      <c r="H66" s="79">
        <v>5.1230166770713174E-2</v>
      </c>
      <c r="I66" s="27">
        <v>325.28907593861106</v>
      </c>
      <c r="J66" s="27">
        <v>2.1254696523268937</v>
      </c>
      <c r="K66" s="79">
        <v>6.131528382380956E-2</v>
      </c>
      <c r="L66" s="27">
        <v>389.32514323499674</v>
      </c>
      <c r="M66" s="27">
        <v>9.5210062221236136</v>
      </c>
      <c r="N66" s="79">
        <v>0.23221629442067837</v>
      </c>
      <c r="O66" s="27">
        <v>1474.4715582923595</v>
      </c>
      <c r="P66" s="27">
        <v>9.0613832349117072</v>
      </c>
      <c r="Q66" s="79">
        <v>4.5110192044567822E-2</v>
      </c>
      <c r="R66" s="27">
        <v>286.42992226172828</v>
      </c>
      <c r="S66" s="27">
        <v>1.0053828701816547</v>
      </c>
      <c r="T66" s="79">
        <v>8.9176545763182456E-4</v>
      </c>
      <c r="U66" s="27">
        <v>5.6623192925629935</v>
      </c>
      <c r="V66" s="27">
        <v>1.1322266133425182E-2</v>
      </c>
    </row>
    <row r="67" spans="1:22" x14ac:dyDescent="0.2">
      <c r="A67" s="79">
        <v>6500</v>
      </c>
      <c r="B67" s="27">
        <v>2.7347113836188497E-3</v>
      </c>
      <c r="C67" s="27">
        <v>6449.8851083</v>
      </c>
      <c r="D67" s="27">
        <v>0.33101431825943434</v>
      </c>
      <c r="E67" s="79">
        <v>5.7864297912117203E-2</v>
      </c>
      <c r="F67" s="27">
        <v>373.21807340559951</v>
      </c>
      <c r="G67" s="27">
        <v>2.506597829944611</v>
      </c>
      <c r="H67" s="79">
        <v>5.2695067450217924E-2</v>
      </c>
      <c r="I67" s="27">
        <v>339.87713082802463</v>
      </c>
      <c r="J67" s="27">
        <v>2.0995626683312403</v>
      </c>
      <c r="K67" s="79">
        <v>6.272758814861433E-2</v>
      </c>
      <c r="L67" s="27">
        <v>404.58573667932313</v>
      </c>
      <c r="M67" s="27">
        <v>9.7595235341545639</v>
      </c>
      <c r="N67" s="79">
        <v>0.22488869180536947</v>
      </c>
      <c r="O67" s="27">
        <v>1450.5062243005207</v>
      </c>
      <c r="P67" s="27">
        <v>8.7711691898813822</v>
      </c>
      <c r="Q67" s="79">
        <v>4.2370967022332368E-2</v>
      </c>
      <c r="R67" s="27">
        <v>273.28786922161191</v>
      </c>
      <c r="S67" s="27">
        <v>0.9506342649841516</v>
      </c>
      <c r="T67" s="79">
        <v>1.0270712831156011E-3</v>
      </c>
      <c r="U67" s="27">
        <v>6.624491774129889</v>
      </c>
      <c r="V67" s="27">
        <v>6.8505831205757329E-3</v>
      </c>
    </row>
    <row r="68" spans="1:22" x14ac:dyDescent="0.2">
      <c r="A68" s="79">
        <v>7500</v>
      </c>
      <c r="B68" s="27">
        <v>2.3824844681823831E-2</v>
      </c>
      <c r="C68" s="27">
        <v>6982.1209214</v>
      </c>
      <c r="D68" s="27">
        <v>0.32362482430921713</v>
      </c>
      <c r="E68" s="79">
        <v>5.4747182541538549E-2</v>
      </c>
      <c r="F68" s="27">
        <v>382.25144861098113</v>
      </c>
      <c r="G68" s="27">
        <v>2.5620886314188867</v>
      </c>
      <c r="H68" s="79">
        <v>4.9864317963481571E-2</v>
      </c>
      <c r="I68" s="27">
        <v>348.1586976841665</v>
      </c>
      <c r="J68" s="27">
        <v>2.1797529759309677</v>
      </c>
      <c r="K68" s="79">
        <v>5.7179813843201581E-2</v>
      </c>
      <c r="L68" s="27">
        <v>399.23637451637512</v>
      </c>
      <c r="M68" s="27">
        <v>9.8774224000136908</v>
      </c>
      <c r="N68" s="79">
        <v>0.22427248352000731</v>
      </c>
      <c r="O68" s="27">
        <v>1565.8975992793798</v>
      </c>
      <c r="P68" s="27">
        <v>9.432309058396644</v>
      </c>
      <c r="Q68" s="79">
        <v>4.0932774216723936E-2</v>
      </c>
      <c r="R68" s="27">
        <v>285.7975792295307</v>
      </c>
      <c r="S68" s="27">
        <v>0.97335832095167396</v>
      </c>
      <c r="T68" s="79">
        <v>1.239752729284539E-3</v>
      </c>
      <c r="U68" s="27">
        <v>8.65610346850033</v>
      </c>
      <c r="V68" s="27">
        <v>1.1681759751054002E-2</v>
      </c>
    </row>
    <row r="69" spans="1:22" x14ac:dyDescent="0.2">
      <c r="A69" s="79">
        <v>10000</v>
      </c>
      <c r="B69" s="27">
        <v>4.2034899023567301E-2</v>
      </c>
      <c r="C69" s="27">
        <v>8654.5769748000002</v>
      </c>
      <c r="D69" s="27">
        <v>0.30754159791302699</v>
      </c>
      <c r="E69" s="79">
        <v>4.6476041341003908E-2</v>
      </c>
      <c r="F69" s="27">
        <v>402.23047726970537</v>
      </c>
      <c r="G69" s="27">
        <v>2.7038454344732803</v>
      </c>
      <c r="H69" s="79">
        <v>4.5321009987809427E-2</v>
      </c>
      <c r="I69" s="27">
        <v>392.23416951517629</v>
      </c>
      <c r="J69" s="27">
        <v>2.4461473575417663</v>
      </c>
      <c r="K69" s="79">
        <v>4.8521503967092074E-2</v>
      </c>
      <c r="L69" s="27">
        <v>419.93309101626193</v>
      </c>
      <c r="M69" s="27">
        <v>10.391115385142189</v>
      </c>
      <c r="N69" s="79">
        <v>0.21729562617859602</v>
      </c>
      <c r="O69" s="27">
        <v>1880.6017230500252</v>
      </c>
      <c r="P69" s="27">
        <v>10.848755066304008</v>
      </c>
      <c r="Q69" s="79">
        <v>3.9694538675672207E-2</v>
      </c>
      <c r="R69" s="27">
        <v>343.53944044778075</v>
      </c>
      <c r="S69" s="27">
        <v>1.1043833465831119</v>
      </c>
      <c r="T69" s="79">
        <v>2.0299290916666029E-3</v>
      </c>
      <c r="U69" s="27">
        <v>17.56817757721446</v>
      </c>
      <c r="V69" s="27">
        <v>1.7551895004764444E-2</v>
      </c>
    </row>
    <row r="70" spans="1:22" x14ac:dyDescent="0.2">
      <c r="A70" s="79">
        <v>15000</v>
      </c>
      <c r="B70" s="27">
        <v>4.7443859172012035E-2</v>
      </c>
      <c r="C70" s="27">
        <v>12213.66762</v>
      </c>
      <c r="D70" s="27">
        <v>0.26263495594722547</v>
      </c>
      <c r="E70" s="79">
        <v>3.396753117809042E-2</v>
      </c>
      <c r="F70" s="27">
        <v>414.86813568118339</v>
      </c>
      <c r="G70" s="27">
        <v>2.7750126497431076</v>
      </c>
      <c r="H70" s="79">
        <v>3.7003430860689988E-2</v>
      </c>
      <c r="I70" s="27">
        <v>451.94760533211803</v>
      </c>
      <c r="J70" s="27">
        <v>2.7732051648476608</v>
      </c>
      <c r="K70" s="79">
        <v>3.6438326528579632E-2</v>
      </c>
      <c r="L70" s="27">
        <v>445.04560884910006</v>
      </c>
      <c r="M70" s="27">
        <v>11.09697121196978</v>
      </c>
      <c r="N70" s="79">
        <v>0.18810383852460921</v>
      </c>
      <c r="O70" s="27">
        <v>2297.4377617857281</v>
      </c>
      <c r="P70" s="27">
        <v>12.360097585951621</v>
      </c>
      <c r="Q70" s="79">
        <v>3.3540083638021766E-2</v>
      </c>
      <c r="R70" s="27">
        <v>409.64743350179828</v>
      </c>
      <c r="S70" s="27">
        <v>1.2426909285257171</v>
      </c>
      <c r="T70" s="79">
        <v>4.5527072560151462E-3</v>
      </c>
      <c r="U70" s="27">
        <v>55.605253196131244</v>
      </c>
      <c r="V70" s="27">
        <v>3.7420634693129604E-2</v>
      </c>
    </row>
    <row r="71" spans="1:22" x14ac:dyDescent="0.2">
      <c r="A71" s="79">
        <v>20000</v>
      </c>
      <c r="B71" s="27">
        <v>2.5286239042436782E-2</v>
      </c>
      <c r="C71" s="27">
        <v>17271.077359999999</v>
      </c>
      <c r="D71" s="27">
        <v>0.21414625797265915</v>
      </c>
      <c r="E71" s="79">
        <v>2.4742470623760775E-2</v>
      </c>
      <c r="F71" s="27">
        <v>427.32912422049975</v>
      </c>
      <c r="G71" s="27">
        <v>2.8481509609674784</v>
      </c>
      <c r="H71" s="79">
        <v>2.9642278695071987E-2</v>
      </c>
      <c r="I71" s="27">
        <v>511.95408846926813</v>
      </c>
      <c r="J71" s="27">
        <v>3.0589463529020842</v>
      </c>
      <c r="K71" s="79">
        <v>2.7719721360357677E-2</v>
      </c>
      <c r="L71" s="27">
        <v>478.74945201238188</v>
      </c>
      <c r="M71" s="27">
        <v>12.050594398685787</v>
      </c>
      <c r="N71" s="79">
        <v>0.14950868217613944</v>
      </c>
      <c r="O71" s="27">
        <v>2582.1760158557572</v>
      </c>
      <c r="P71" s="27">
        <v>12.978460305978404</v>
      </c>
      <c r="Q71" s="79">
        <v>2.6616753389439932E-2</v>
      </c>
      <c r="R71" s="27">
        <v>459.70000686105925</v>
      </c>
      <c r="S71" s="27">
        <v>1.3375436799312028</v>
      </c>
      <c r="T71" s="79">
        <v>1.030110104672209E-2</v>
      </c>
      <c r="U71" s="27">
        <v>177.91111307111419</v>
      </c>
      <c r="V71" s="27">
        <v>9.6238685860927986E-2</v>
      </c>
    </row>
    <row r="72" spans="1:22" x14ac:dyDescent="0.2">
      <c r="A72" s="79">
        <v>25000</v>
      </c>
      <c r="B72" s="27">
        <v>1.4671833347527041E-2</v>
      </c>
      <c r="C72" s="27">
        <v>22286.980856999999</v>
      </c>
      <c r="D72" s="27">
        <v>0.19651580527579102</v>
      </c>
      <c r="E72" s="79">
        <v>2.0227692580218413E-2</v>
      </c>
      <c r="F72" s="27">
        <v>450.81419731660873</v>
      </c>
      <c r="G72" s="27">
        <v>2.9776570639489663</v>
      </c>
      <c r="H72" s="79">
        <v>2.6519867343357161E-2</v>
      </c>
      <c r="I72" s="27">
        <v>591.04777581158044</v>
      </c>
      <c r="J72" s="27">
        <v>3.3877672278361968</v>
      </c>
      <c r="K72" s="79">
        <v>2.3906194504307567E-2</v>
      </c>
      <c r="L72" s="27">
        <v>532.79689928122127</v>
      </c>
      <c r="M72" s="27">
        <v>13.325379852230993</v>
      </c>
      <c r="N72" s="79">
        <v>0.13074988882004021</v>
      </c>
      <c r="O72" s="27">
        <v>2914.0202691871145</v>
      </c>
      <c r="P72" s="27">
        <v>13.692294255599954</v>
      </c>
      <c r="Q72" s="79">
        <v>2.3501581424850999E-2</v>
      </c>
      <c r="R72" s="27">
        <v>523.77929532488099</v>
      </c>
      <c r="S72" s="27">
        <v>1.4238046764955252</v>
      </c>
      <c r="T72" s="79">
        <v>1.8358140526592088E-2</v>
      </c>
      <c r="U72" s="27">
        <v>409.1475264862737</v>
      </c>
      <c r="V72" s="27">
        <v>0.18791177539468121</v>
      </c>
    </row>
    <row r="73" spans="1:22" x14ac:dyDescent="0.2">
      <c r="A73" s="79">
        <v>30000</v>
      </c>
      <c r="B73" s="27">
        <v>9.2446057695746448E-3</v>
      </c>
      <c r="C73" s="27">
        <v>27326.440060000001</v>
      </c>
      <c r="D73" s="27">
        <v>0.20179261864426054</v>
      </c>
      <c r="E73" s="79">
        <v>1.7200073905793173E-2</v>
      </c>
      <c r="F73" s="27">
        <v>470.01678861422721</v>
      </c>
      <c r="G73" s="27">
        <v>3.0607227955110141</v>
      </c>
      <c r="H73" s="79">
        <v>2.4457009993163536E-2</v>
      </c>
      <c r="I73" s="27">
        <v>668.32301762500435</v>
      </c>
      <c r="J73" s="27">
        <v>3.7068680728055559</v>
      </c>
      <c r="K73" s="79">
        <v>2.1194018024159114E-2</v>
      </c>
      <c r="L73" s="27">
        <v>579.15706316774367</v>
      </c>
      <c r="M73" s="27">
        <v>14.407726236260974</v>
      </c>
      <c r="N73" s="79">
        <v>0.12499991596408552</v>
      </c>
      <c r="O73" s="27">
        <v>3415.8027110976204</v>
      </c>
      <c r="P73" s="27">
        <v>14.495413405929279</v>
      </c>
      <c r="Q73" s="79">
        <v>2.2338546408743328E-2</v>
      </c>
      <c r="R73" s="27">
        <v>610.43294946605283</v>
      </c>
      <c r="S73" s="27">
        <v>1.4809676131705001</v>
      </c>
      <c r="T73" s="79">
        <v>3.3260138247272211E-2</v>
      </c>
      <c r="U73" s="27">
        <v>908.88117420139758</v>
      </c>
      <c r="V73" s="27">
        <v>0.38207693437800511</v>
      </c>
    </row>
    <row r="74" spans="1:22" x14ac:dyDescent="0.2">
      <c r="A74" s="79">
        <v>35000</v>
      </c>
      <c r="B74" s="27">
        <v>6.3274773786187195E-3</v>
      </c>
      <c r="C74" s="27">
        <v>32359.214279</v>
      </c>
      <c r="D74" s="27">
        <v>0.21347552619888541</v>
      </c>
      <c r="E74" s="79">
        <v>1.5243879585166912E-2</v>
      </c>
      <c r="F74" s="27">
        <v>493.2799659396897</v>
      </c>
      <c r="G74" s="27">
        <v>3.1899294673843848</v>
      </c>
      <c r="H74" s="79">
        <v>2.2953398854376861E-2</v>
      </c>
      <c r="I74" s="27">
        <v>742.75395196013392</v>
      </c>
      <c r="J74" s="27">
        <v>3.8933093847800224</v>
      </c>
      <c r="K74" s="79">
        <v>1.9114530617947129E-2</v>
      </c>
      <c r="L74" s="27">
        <v>618.53119210865736</v>
      </c>
      <c r="M74" s="27">
        <v>15.187808303577278</v>
      </c>
      <c r="N74" s="79">
        <v>0.11860338568364494</v>
      </c>
      <c r="O74" s="27">
        <v>3837.9123715519472</v>
      </c>
      <c r="P74" s="27">
        <v>14.945516864540695</v>
      </c>
      <c r="Q74" s="79">
        <v>2.0470090411235681E-2</v>
      </c>
      <c r="R74" s="27">
        <v>662.39604192767865</v>
      </c>
      <c r="S74" s="27">
        <v>1.4919276752922086</v>
      </c>
      <c r="T74" s="79">
        <v>5.5287519486057583E-2</v>
      </c>
      <c r="U74" s="27">
        <v>1789.0606900037253</v>
      </c>
      <c r="V74" s="27">
        <v>0.69366957283037822</v>
      </c>
    </row>
    <row r="75" spans="1:22" x14ac:dyDescent="0.2">
      <c r="A75" s="79">
        <v>40000</v>
      </c>
      <c r="B75" s="27">
        <v>4.4760348048562548E-3</v>
      </c>
      <c r="C75" s="27">
        <v>37367.143090999998</v>
      </c>
      <c r="D75" s="27">
        <v>0.20276649511289957</v>
      </c>
      <c r="E75" s="79">
        <v>1.3958681387412814E-2</v>
      </c>
      <c r="F75" s="27">
        <v>521.596044765133</v>
      </c>
      <c r="G75" s="27">
        <v>3.2416877330966014</v>
      </c>
      <c r="H75" s="79">
        <v>2.1516779918097955E-2</v>
      </c>
      <c r="I75" s="27">
        <v>804.02059405712157</v>
      </c>
      <c r="J75" s="27">
        <v>4.0619873467111924</v>
      </c>
      <c r="K75" s="79">
        <v>1.7480583090928269E-2</v>
      </c>
      <c r="L75" s="27">
        <v>653.19944967283163</v>
      </c>
      <c r="M75" s="27">
        <v>16.09826831644294</v>
      </c>
      <c r="N75" s="79">
        <v>0.10758158615604171</v>
      </c>
      <c r="O75" s="27">
        <v>4020.0165238495551</v>
      </c>
      <c r="P75" s="27">
        <v>15.504247748343571</v>
      </c>
      <c r="Q75" s="79">
        <v>1.9854724714406927E-2</v>
      </c>
      <c r="R75" s="27">
        <v>741.91433943565767</v>
      </c>
      <c r="S75" s="27">
        <v>1.5249752240453309</v>
      </c>
      <c r="T75" s="79">
        <v>5.784960115152258E-2</v>
      </c>
      <c r="U75" s="27">
        <v>2161.6743239862226</v>
      </c>
      <c r="V75" s="27">
        <v>0.7925186138290512</v>
      </c>
    </row>
    <row r="76" spans="1:22" x14ac:dyDescent="0.2">
      <c r="A76" s="79">
        <v>45000</v>
      </c>
      <c r="B76" s="27">
        <v>3.2871081604209638E-3</v>
      </c>
      <c r="C76" s="27">
        <v>42376.995106000002</v>
      </c>
      <c r="D76" s="27">
        <v>0.18792924998060853</v>
      </c>
      <c r="E76" s="79">
        <v>1.3065016134695002E-2</v>
      </c>
      <c r="F76" s="27">
        <v>553.6561247997812</v>
      </c>
      <c r="G76" s="27">
        <v>3.349885212045741</v>
      </c>
      <c r="H76" s="79">
        <v>2.0965895401705691E-2</v>
      </c>
      <c r="I76" s="27">
        <v>888.47164683099004</v>
      </c>
      <c r="J76" s="27">
        <v>4.2423569798506646</v>
      </c>
      <c r="K76" s="79">
        <v>1.5922083744292114E-2</v>
      </c>
      <c r="L76" s="27">
        <v>674.73006490918908</v>
      </c>
      <c r="M76" s="27">
        <v>16.451395077027879</v>
      </c>
      <c r="N76" s="79">
        <v>9.7299432927190732E-2</v>
      </c>
      <c r="O76" s="27">
        <v>4123.257592972137</v>
      </c>
      <c r="P76" s="27">
        <v>16.019973373018541</v>
      </c>
      <c r="Q76" s="79">
        <v>1.7986938735447669E-2</v>
      </c>
      <c r="R76" s="27">
        <v>762.23241476398766</v>
      </c>
      <c r="S76" s="27">
        <v>1.5619425404743497</v>
      </c>
      <c r="T76" s="79">
        <v>5.6720794573678304E-2</v>
      </c>
      <c r="U76" s="27">
        <v>2403.6568340571971</v>
      </c>
      <c r="V76" s="27">
        <v>0.82528582104288595</v>
      </c>
    </row>
    <row r="77" spans="1:22" x14ac:dyDescent="0.2">
      <c r="A77" s="79">
        <v>50000</v>
      </c>
      <c r="B77" s="27">
        <v>2.6027227732325041E-3</v>
      </c>
      <c r="C77" s="27">
        <v>47409.342155999999</v>
      </c>
      <c r="D77" s="27">
        <v>0.18440341508686472</v>
      </c>
      <c r="E77" s="79">
        <v>1.122460150263583E-2</v>
      </c>
      <c r="F77" s="27">
        <v>532.15097320321377</v>
      </c>
      <c r="G77" s="27">
        <v>3.2316348310475287</v>
      </c>
      <c r="H77" s="79">
        <v>2.0272653185214182E-2</v>
      </c>
      <c r="I77" s="27">
        <v>961.11315126774241</v>
      </c>
      <c r="J77" s="27">
        <v>4.4104058472678558</v>
      </c>
      <c r="K77" s="79">
        <v>1.5550019795766335E-2</v>
      </c>
      <c r="L77" s="27">
        <v>737.21620903005942</v>
      </c>
      <c r="M77" s="27">
        <v>17.168883549286285</v>
      </c>
      <c r="N77" s="79">
        <v>9.0305397029238607E-2</v>
      </c>
      <c r="O77" s="27">
        <v>4281.3194662925989</v>
      </c>
      <c r="P77" s="27">
        <v>16.178114512498528</v>
      </c>
      <c r="Q77" s="79">
        <v>1.5215045092227165E-2</v>
      </c>
      <c r="R77" s="27">
        <v>721.33527869636623</v>
      </c>
      <c r="S77" s="27">
        <v>1.5317029405951497</v>
      </c>
      <c r="T77" s="79">
        <v>6.3332953169633124E-2</v>
      </c>
      <c r="U77" s="27">
        <v>3002.5736465690611</v>
      </c>
      <c r="V77" s="27">
        <v>0.92364362622407992</v>
      </c>
    </row>
    <row r="78" spans="1:22" x14ac:dyDescent="0.2">
      <c r="A78" s="79">
        <v>100000</v>
      </c>
      <c r="B78" s="27">
        <v>1.0226415783676585E-2</v>
      </c>
      <c r="C78" s="27">
        <v>67790.064784000002</v>
      </c>
      <c r="D78" s="27">
        <v>0.15423071230073288</v>
      </c>
      <c r="E78" s="79">
        <v>8.595151851108521E-3</v>
      </c>
      <c r="F78" s="27">
        <v>582.66590081496417</v>
      </c>
      <c r="G78" s="27">
        <v>3.3909681592042005</v>
      </c>
      <c r="H78" s="79">
        <v>1.9740100273577164E-2</v>
      </c>
      <c r="I78" s="27">
        <v>1338.1826763884521</v>
      </c>
      <c r="J78" s="27">
        <v>4.9792412604567513</v>
      </c>
      <c r="K78" s="79">
        <v>1.2069768315317331E-2</v>
      </c>
      <c r="L78" s="27">
        <v>818.21037602323247</v>
      </c>
      <c r="M78" s="27">
        <v>18.317624815645054</v>
      </c>
      <c r="N78" s="79">
        <v>6.4087140613800289E-2</v>
      </c>
      <c r="O78" s="27">
        <v>4344.4714140308388</v>
      </c>
      <c r="P78" s="27">
        <v>16.530992649841917</v>
      </c>
      <c r="Q78" s="79">
        <v>1.2844241334513441E-2</v>
      </c>
      <c r="R78" s="27">
        <v>870.71195216799674</v>
      </c>
      <c r="S78" s="27">
        <v>1.592040853818399</v>
      </c>
      <c r="T78" s="79">
        <v>6.5229562037101507E-2</v>
      </c>
      <c r="U78" s="27">
        <v>4421.916236327058</v>
      </c>
      <c r="V78" s="27">
        <v>1.1170820907925354</v>
      </c>
    </row>
    <row r="79" spans="1:22" x14ac:dyDescent="0.2">
      <c r="A79" s="79">
        <v>200000</v>
      </c>
      <c r="B79" s="27">
        <v>3.4219269359422998E-3</v>
      </c>
      <c r="C79" s="27">
        <v>135528.84332000001</v>
      </c>
      <c r="D79" s="27">
        <v>8.1190295408644794E-2</v>
      </c>
      <c r="E79" s="79">
        <v>6.05371677228518E-3</v>
      </c>
      <c r="F79" s="27">
        <v>820.45323193469437</v>
      </c>
      <c r="G79" s="27">
        <v>3.6328774734069698</v>
      </c>
      <c r="H79" s="79">
        <v>2.3485546878547342E-2</v>
      </c>
      <c r="I79" s="27">
        <v>3182.9690031871583</v>
      </c>
      <c r="J79" s="27">
        <v>6.646292939262703</v>
      </c>
      <c r="K79" s="79">
        <v>7.8716020867972084E-3</v>
      </c>
      <c r="L79" s="27">
        <v>1066.8291258989241</v>
      </c>
      <c r="M79" s="27">
        <v>21.527590521362828</v>
      </c>
      <c r="N79" s="79">
        <v>3.4285798428803076E-2</v>
      </c>
      <c r="O79" s="27">
        <v>4646.7146033583549</v>
      </c>
      <c r="P79" s="27">
        <v>16.944964763890475</v>
      </c>
      <c r="Q79" s="79">
        <v>6.4568237864501875E-3</v>
      </c>
      <c r="R79" s="27">
        <v>875.08585929865671</v>
      </c>
      <c r="S79" s="27">
        <v>1.4695268743980985</v>
      </c>
      <c r="T79" s="79">
        <v>3.2576071106594488E-2</v>
      </c>
      <c r="U79" s="27">
        <v>4414.9972369868237</v>
      </c>
      <c r="V79" s="27">
        <v>0.85851858942189363</v>
      </c>
    </row>
    <row r="80" spans="1:22" x14ac:dyDescent="0.2">
      <c r="A80" s="79">
        <v>300000</v>
      </c>
      <c r="B80" s="27">
        <v>7.8961607266217428E-4</v>
      </c>
      <c r="C80" s="27">
        <v>239942.79032</v>
      </c>
      <c r="D80" s="27">
        <v>5.8876438742977606E-2</v>
      </c>
      <c r="E80" s="79">
        <v>5.0553218336360879E-3</v>
      </c>
      <c r="F80" s="27">
        <v>1212.9880267282617</v>
      </c>
      <c r="G80" s="27">
        <v>3.778130363306087</v>
      </c>
      <c r="H80" s="79">
        <v>2.543695044982552E-2</v>
      </c>
      <c r="I80" s="27">
        <v>6103.4128681627144</v>
      </c>
      <c r="J80" s="27">
        <v>8.2722077157391478</v>
      </c>
      <c r="K80" s="79">
        <v>5.7625239891655206E-3</v>
      </c>
      <c r="L80" s="27">
        <v>1382.6760852463124</v>
      </c>
      <c r="M80" s="27">
        <v>23.962755644893647</v>
      </c>
      <c r="N80" s="79">
        <v>2.2186949103747949E-2</v>
      </c>
      <c r="O80" s="27">
        <v>5323.5984766411057</v>
      </c>
      <c r="P80" s="27">
        <v>17.578192104037115</v>
      </c>
      <c r="Q80" s="79">
        <v>5.4249855829139127E-3</v>
      </c>
      <c r="R80" s="27">
        <v>1301.6861782101359</v>
      </c>
      <c r="S80" s="27">
        <v>1.7752129254319016</v>
      </c>
      <c r="T80" s="79">
        <v>2.5501980067150386E-2</v>
      </c>
      <c r="U80" s="27">
        <v>6119.016255997085</v>
      </c>
      <c r="V80" s="27">
        <v>1.1289402472103969</v>
      </c>
    </row>
    <row r="81" spans="1:22" x14ac:dyDescent="0.2">
      <c r="A81" s="79">
        <v>400000</v>
      </c>
      <c r="B81" s="27">
        <v>2.6269078207496902E-4</v>
      </c>
      <c r="C81" s="27">
        <v>342869.84759000002</v>
      </c>
      <c r="D81" s="27">
        <v>4.2561390372921455E-2</v>
      </c>
      <c r="E81" s="79">
        <v>3.2038630668536502E-3</v>
      </c>
      <c r="F81" s="27">
        <v>1098.5080414313411</v>
      </c>
      <c r="G81" s="27">
        <v>3.5566910968848982</v>
      </c>
      <c r="H81" s="79">
        <v>1.4101984235416675E-2</v>
      </c>
      <c r="I81" s="27">
        <v>4835.1451855138985</v>
      </c>
      <c r="J81" s="27">
        <v>8.2890891532389031</v>
      </c>
      <c r="K81" s="79">
        <v>3.5915833168368235E-3</v>
      </c>
      <c r="L81" s="27">
        <v>1231.4456244506284</v>
      </c>
      <c r="M81" s="27">
        <v>22.418772515343697</v>
      </c>
      <c r="N81" s="79">
        <v>1.838862581189293E-2</v>
      </c>
      <c r="O81" s="27">
        <v>6304.9053295132699</v>
      </c>
      <c r="P81" s="27">
        <v>17.967231465195262</v>
      </c>
      <c r="Q81" s="79">
        <v>2.8465917583218926E-3</v>
      </c>
      <c r="R81" s="27">
        <v>976.01048232677749</v>
      </c>
      <c r="S81" s="27">
        <v>1.4855788704395534</v>
      </c>
      <c r="T81" s="79">
        <v>1.7734589485868445E-2</v>
      </c>
      <c r="U81" s="27">
        <v>6080.655994090931</v>
      </c>
      <c r="V81" s="27">
        <v>1.0696670473282155</v>
      </c>
    </row>
    <row r="82" spans="1:22" x14ac:dyDescent="0.2">
      <c r="A82" s="79">
        <v>500000</v>
      </c>
      <c r="B82" s="27">
        <v>1.2298353950228715E-4</v>
      </c>
      <c r="C82" s="27">
        <v>443571.48762999999</v>
      </c>
      <c r="D82" s="27">
        <v>5.2150854702684324E-2</v>
      </c>
      <c r="E82" s="79">
        <v>2.2190412506291161E-3</v>
      </c>
      <c r="F82" s="27">
        <v>984.30342865389264</v>
      </c>
      <c r="G82" s="27">
        <v>3.650669038395113</v>
      </c>
      <c r="H82" s="79">
        <v>7.6243215877233126E-3</v>
      </c>
      <c r="I82" s="27">
        <v>3381.9316688359531</v>
      </c>
      <c r="J82" s="27">
        <v>9.0289741767157317</v>
      </c>
      <c r="K82" s="79">
        <v>3.9360715168393259E-3</v>
      </c>
      <c r="L82" s="27">
        <v>1745.9290981424901</v>
      </c>
      <c r="M82" s="27">
        <v>25.31024728363154</v>
      </c>
      <c r="N82" s="79">
        <v>1.8913207051221126E-2</v>
      </c>
      <c r="O82" s="27">
        <v>8389.3593875643601</v>
      </c>
      <c r="P82" s="27">
        <v>18.827751060000868</v>
      </c>
      <c r="Q82" s="79">
        <v>7.2451032942359127E-3</v>
      </c>
      <c r="R82" s="27">
        <v>3213.7212462572375</v>
      </c>
      <c r="S82" s="27">
        <v>1.5742270134771281</v>
      </c>
      <c r="T82" s="79">
        <v>2.2056472840394702E-2</v>
      </c>
      <c r="U82" s="27">
        <v>9783.6224696845693</v>
      </c>
      <c r="V82" s="27">
        <v>1.7660555285480795</v>
      </c>
    </row>
    <row r="83" spans="1:22" x14ac:dyDescent="0.2">
      <c r="A83" s="79">
        <v>1000000</v>
      </c>
      <c r="B83" s="27">
        <v>1.5385806824763122E-4</v>
      </c>
      <c r="C83" s="27">
        <v>648500.43969000003</v>
      </c>
      <c r="D83" s="27">
        <v>3.4848884955969016E-2</v>
      </c>
      <c r="E83" s="79">
        <v>1.6800981923757482E-3</v>
      </c>
      <c r="F83" s="27">
        <v>1089.544416478047</v>
      </c>
      <c r="G83" s="27">
        <v>3.3408521871755279</v>
      </c>
      <c r="H83" s="79">
        <v>4.9360101662883245E-3</v>
      </c>
      <c r="I83" s="27">
        <v>3201.0047631522884</v>
      </c>
      <c r="J83" s="27">
        <v>7.8703718643688463</v>
      </c>
      <c r="K83" s="79">
        <v>2.5023844608020934E-3</v>
      </c>
      <c r="L83" s="27">
        <v>1622.7974231035812</v>
      </c>
      <c r="M83" s="27">
        <v>23.403842506139075</v>
      </c>
      <c r="N83" s="79">
        <v>1.1809897177567986E-2</v>
      </c>
      <c r="O83" s="27">
        <v>7658.7235123465289</v>
      </c>
      <c r="P83" s="27">
        <v>17.682280734265504</v>
      </c>
      <c r="Q83" s="79">
        <v>1.8130315797704466E-3</v>
      </c>
      <c r="R83" s="27">
        <v>1175.75177665299</v>
      </c>
      <c r="S83" s="27">
        <v>1.434668278615193</v>
      </c>
      <c r="T83" s="79">
        <v>1.8723571737828335E-2</v>
      </c>
      <c r="U83" s="27">
        <v>12142.244504548933</v>
      </c>
      <c r="V83" s="27">
        <v>1.3617966926665326</v>
      </c>
    </row>
    <row r="84" spans="1:22" x14ac:dyDescent="0.2">
      <c r="A84" s="79">
        <v>2000000</v>
      </c>
      <c r="B84" s="27">
        <v>2.7015212652176048E-5</v>
      </c>
      <c r="C84" s="27">
        <v>1343127.7834000001</v>
      </c>
      <c r="D84" s="27">
        <v>1.2265971378731264E-2</v>
      </c>
      <c r="E84" s="79">
        <v>2.893513116216023E-4</v>
      </c>
      <c r="F84" s="27">
        <v>388.63578580220542</v>
      </c>
      <c r="G84" s="27">
        <v>1.9808781378325961</v>
      </c>
      <c r="H84" s="79">
        <v>1.6673466600157145E-3</v>
      </c>
      <c r="I84" s="27">
        <v>2239.4596236263001</v>
      </c>
      <c r="J84" s="27">
        <v>8.3668714187684508</v>
      </c>
      <c r="K84" s="79">
        <v>9.0188960823894165E-4</v>
      </c>
      <c r="L84" s="27">
        <v>1211.3529903854642</v>
      </c>
      <c r="M84" s="27">
        <v>19.480346598334254</v>
      </c>
      <c r="N84" s="79">
        <v>5.357429965034838E-3</v>
      </c>
      <c r="O84" s="27">
        <v>7195.7130336579821</v>
      </c>
      <c r="P84" s="27">
        <v>14.876244315717901</v>
      </c>
      <c r="Q84" s="79">
        <v>1.1864767189981758E-3</v>
      </c>
      <c r="R84" s="27">
        <v>1593.5898456437246</v>
      </c>
      <c r="S84" s="27">
        <v>2.1267696872907913</v>
      </c>
      <c r="T84" s="79">
        <v>4.8201750864533908E-3</v>
      </c>
      <c r="U84" s="27">
        <v>6474.1110794680462</v>
      </c>
      <c r="V84" s="27">
        <v>1.1614769896334369</v>
      </c>
    </row>
    <row r="85" spans="1:22" x14ac:dyDescent="0.2">
      <c r="A85" s="82" t="s">
        <v>11</v>
      </c>
      <c r="B85" s="27">
        <v>3.0874528745344058E-6</v>
      </c>
      <c r="C85" s="83">
        <v>2694283.6702999999</v>
      </c>
      <c r="D85" s="27">
        <v>4.9202855087562551E-2</v>
      </c>
      <c r="E85" s="79">
        <v>2.1653026138773612E-4</v>
      </c>
      <c r="F85" s="27">
        <v>583.39394738276803</v>
      </c>
      <c r="G85" s="27">
        <v>3.1290833124270043</v>
      </c>
      <c r="H85" s="79">
        <v>6.0350105345403102E-4</v>
      </c>
      <c r="I85" s="27">
        <v>1626.0030333300431</v>
      </c>
      <c r="J85" s="27">
        <v>8.3107082160034533</v>
      </c>
      <c r="K85" s="79">
        <v>1.8413104981770628E-4</v>
      </c>
      <c r="L85" s="27">
        <v>496.10128071904182</v>
      </c>
      <c r="M85" s="27">
        <v>13.199208531839153</v>
      </c>
      <c r="N85" s="79">
        <v>2.2563374359109429E-3</v>
      </c>
      <c r="O85" s="27">
        <v>6079.213108261426</v>
      </c>
      <c r="P85" s="27">
        <v>25.438249269500375</v>
      </c>
      <c r="Q85" s="79">
        <v>5.1118462668348472E-5</v>
      </c>
      <c r="R85" s="27">
        <v>137.72763921817099</v>
      </c>
      <c r="S85" s="27">
        <v>1.1873439125871907</v>
      </c>
      <c r="T85" s="79">
        <v>4.67112681391674E-2</v>
      </c>
      <c r="U85" s="27">
        <v>125853.40696636339</v>
      </c>
      <c r="V85" s="27">
        <v>2.5914550187832597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 enableFormatConditionsCalculation="0"/>
  <dimension ref="A1:FE88"/>
  <sheetViews>
    <sheetView workbookViewId="0">
      <pane xSplit="7" ySplit="4" topLeftCell="H5" activePane="bottomRight" state="frozen"/>
      <selection activeCell="E5" sqref="E5"/>
      <selection pane="topRight" activeCell="E5" sqref="E5"/>
      <selection pane="bottomLeft" activeCell="E5" sqref="E5"/>
      <selection pane="bottomRight" activeCell="J9" sqref="J9"/>
    </sheetView>
  </sheetViews>
  <sheetFormatPr baseColWidth="10" defaultColWidth="8.83203125" defaultRowHeight="15" x14ac:dyDescent="0.2"/>
  <cols>
    <col min="1" max="5" width="12.5" style="1" customWidth="1"/>
    <col min="6" max="6" width="12.5" style="19" customWidth="1"/>
    <col min="7" max="13" width="15.1640625" style="1" customWidth="1"/>
    <col min="14" max="19" width="12.5" style="1" customWidth="1"/>
    <col min="20" max="20" width="12.1640625" style="1" customWidth="1"/>
    <col min="21" max="22" width="12.5" style="1" customWidth="1"/>
    <col min="23" max="23" width="13.83203125" style="1" bestFit="1" customWidth="1"/>
    <col min="24" max="25" width="12.5" style="1" hidden="1" customWidth="1"/>
    <col min="26" max="27" width="12.5" style="1" customWidth="1"/>
    <col min="28" max="31" width="12.5" style="1" hidden="1" customWidth="1"/>
    <col min="32" max="35" width="12.5" style="1" customWidth="1"/>
    <col min="36" max="37" width="12.5" style="1" hidden="1" customWidth="1"/>
    <col min="38" max="39" width="12.5" style="1" customWidth="1"/>
    <col min="40" max="43" width="12.5" style="1" hidden="1" customWidth="1"/>
    <col min="44" max="44" width="12.5" style="1" customWidth="1"/>
    <col min="45" max="47" width="12.1640625" style="1" customWidth="1"/>
    <col min="48" max="53" width="12.1640625" style="1" hidden="1" customWidth="1"/>
    <col min="54" max="64" width="12.1640625" style="1" customWidth="1"/>
    <col min="65" max="73" width="12.5" style="1" customWidth="1"/>
    <col min="74" max="77" width="12.83203125" style="1" customWidth="1"/>
    <col min="78" max="81" width="12.83203125" style="1" hidden="1" customWidth="1"/>
    <col min="82" max="83" width="12.83203125" style="1" customWidth="1"/>
    <col min="84" max="85" width="13" style="1" customWidth="1"/>
    <col min="86" max="89" width="13" style="1" hidden="1" customWidth="1"/>
    <col min="90" max="93" width="13" style="1" customWidth="1"/>
    <col min="94" max="101" width="13" style="1" hidden="1" customWidth="1"/>
    <col min="102" max="109" width="13" style="1" customWidth="1"/>
    <col min="110" max="113" width="13" style="1" hidden="1" customWidth="1"/>
    <col min="114" max="121" width="13" style="1" customWidth="1"/>
    <col min="122" max="16384" width="8.83203125" style="1"/>
  </cols>
  <sheetData>
    <row r="1" spans="1:161" x14ac:dyDescent="0.2">
      <c r="A1" s="18" t="s">
        <v>18</v>
      </c>
    </row>
    <row r="2" spans="1:161" x14ac:dyDescent="0.2">
      <c r="A2" s="18" t="s">
        <v>19</v>
      </c>
    </row>
    <row r="3" spans="1:161" x14ac:dyDescent="0.2">
      <c r="A3" s="18"/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20"/>
      <c r="P3" s="18"/>
      <c r="Q3" s="18"/>
      <c r="R3" s="20"/>
      <c r="S3" s="18"/>
      <c r="T3" s="18"/>
      <c r="U3" s="20"/>
      <c r="V3" s="18"/>
      <c r="W3" s="18"/>
      <c r="X3" s="20"/>
      <c r="Y3" s="18"/>
      <c r="Z3" s="18"/>
      <c r="AA3" s="20"/>
      <c r="AB3" s="18"/>
      <c r="AC3" s="18"/>
      <c r="AD3" s="20"/>
      <c r="AE3" s="18"/>
      <c r="AF3" s="18"/>
      <c r="AG3" s="20"/>
      <c r="AH3" s="18"/>
      <c r="AI3" s="18"/>
      <c r="AJ3" s="20"/>
      <c r="AK3" s="18"/>
      <c r="AL3" s="18"/>
      <c r="AM3" s="20"/>
      <c r="AN3" s="18"/>
      <c r="AO3" s="18"/>
      <c r="AP3" s="20"/>
      <c r="AQ3" s="18"/>
      <c r="AR3" s="18"/>
      <c r="AS3" s="20"/>
      <c r="AT3" s="18"/>
      <c r="AU3" s="18"/>
      <c r="AV3" s="20"/>
      <c r="AW3" s="18"/>
      <c r="AX3" s="18"/>
      <c r="AY3" s="20"/>
      <c r="AZ3" s="18"/>
      <c r="BA3" s="18"/>
      <c r="BB3" s="20"/>
      <c r="BC3" s="18"/>
      <c r="BD3" s="18"/>
      <c r="BE3" s="20"/>
      <c r="BF3" s="18"/>
      <c r="BG3" s="18"/>
      <c r="BH3" s="20"/>
      <c r="BI3" s="18"/>
      <c r="BJ3" s="18"/>
      <c r="BK3" s="20"/>
      <c r="BL3" s="18"/>
      <c r="BM3" s="18"/>
      <c r="BN3" s="20"/>
      <c r="BO3" s="18"/>
      <c r="BP3" s="18"/>
      <c r="BQ3" s="20"/>
      <c r="BR3" s="18"/>
      <c r="BS3" s="18"/>
      <c r="BT3" s="20"/>
      <c r="BU3" s="18"/>
      <c r="BV3" s="18"/>
      <c r="BW3" s="20"/>
      <c r="BX3" s="18"/>
      <c r="BY3" s="18"/>
      <c r="BZ3" s="20"/>
      <c r="CA3" s="18"/>
      <c r="CB3" s="18"/>
      <c r="CC3" s="20"/>
      <c r="CD3" s="18"/>
      <c r="CE3" s="18"/>
      <c r="CF3" s="20"/>
      <c r="CG3" s="18"/>
      <c r="CH3" s="18"/>
      <c r="CI3" s="20"/>
      <c r="CJ3" s="18"/>
      <c r="CK3" s="18"/>
      <c r="CL3" s="20"/>
      <c r="CM3" s="18"/>
      <c r="CN3" s="18"/>
      <c r="CO3" s="20"/>
      <c r="CP3" s="18"/>
      <c r="CQ3" s="18"/>
      <c r="CR3" s="20"/>
      <c r="CS3" s="18"/>
      <c r="CT3" s="18"/>
      <c r="CU3" s="20"/>
      <c r="CV3" s="18"/>
      <c r="CW3" s="18"/>
      <c r="CX3" s="20"/>
      <c r="CY3" s="18"/>
      <c r="CZ3" s="18"/>
      <c r="DA3" s="20"/>
      <c r="DB3" s="18"/>
      <c r="DC3" s="18"/>
      <c r="DD3" s="20"/>
      <c r="DE3" s="18"/>
      <c r="DF3" s="18"/>
      <c r="DG3" s="20"/>
      <c r="DH3" s="18"/>
      <c r="DI3" s="18"/>
      <c r="DJ3" s="20"/>
      <c r="DK3" s="18"/>
      <c r="DL3" s="18"/>
      <c r="DM3" s="20"/>
      <c r="DN3" s="18"/>
      <c r="DO3" s="18"/>
      <c r="DP3" s="20"/>
      <c r="DQ3" s="18"/>
    </row>
    <row r="4" spans="1:161" s="25" customFormat="1" ht="45" customHeight="1" x14ac:dyDescent="0.2">
      <c r="A4" s="11" t="s">
        <v>10</v>
      </c>
      <c r="B4" s="14" t="s">
        <v>20</v>
      </c>
      <c r="C4" s="14" t="s">
        <v>0</v>
      </c>
      <c r="D4" s="14"/>
      <c r="E4" s="14"/>
      <c r="F4" s="21" t="s">
        <v>21</v>
      </c>
      <c r="G4" s="14" t="s">
        <v>12</v>
      </c>
      <c r="H4" s="14" t="s">
        <v>22</v>
      </c>
      <c r="I4" s="14" t="s">
        <v>23</v>
      </c>
      <c r="J4" s="14" t="s">
        <v>24</v>
      </c>
      <c r="K4" s="14" t="s">
        <v>25</v>
      </c>
      <c r="L4" s="14" t="s">
        <v>26</v>
      </c>
      <c r="M4" s="14" t="s">
        <v>27</v>
      </c>
      <c r="N4" s="22" t="s">
        <v>28</v>
      </c>
      <c r="O4" s="14" t="s">
        <v>29</v>
      </c>
      <c r="P4" s="22" t="s">
        <v>30</v>
      </c>
      <c r="Q4" s="14" t="s">
        <v>31</v>
      </c>
      <c r="R4" s="14" t="s">
        <v>32</v>
      </c>
      <c r="S4" s="14" t="s">
        <v>33</v>
      </c>
      <c r="T4" s="14" t="s">
        <v>34</v>
      </c>
      <c r="U4" s="14" t="s">
        <v>35</v>
      </c>
      <c r="V4" s="14" t="s">
        <v>36</v>
      </c>
      <c r="W4" s="14" t="s">
        <v>37</v>
      </c>
      <c r="X4" s="14" t="s">
        <v>38</v>
      </c>
      <c r="Y4" s="14" t="s">
        <v>38</v>
      </c>
      <c r="Z4" s="14" t="s">
        <v>39</v>
      </c>
      <c r="AA4" s="14" t="s">
        <v>40</v>
      </c>
      <c r="AB4" s="14" t="s">
        <v>38</v>
      </c>
      <c r="AC4" s="14" t="s">
        <v>38</v>
      </c>
      <c r="AD4" s="14" t="s">
        <v>38</v>
      </c>
      <c r="AE4" s="14" t="s">
        <v>38</v>
      </c>
      <c r="AF4" s="14" t="s">
        <v>41</v>
      </c>
      <c r="AG4" s="14" t="s">
        <v>42</v>
      </c>
      <c r="AH4" s="14" t="s">
        <v>43</v>
      </c>
      <c r="AI4" s="14" t="s">
        <v>44</v>
      </c>
      <c r="AJ4" s="14" t="s">
        <v>38</v>
      </c>
      <c r="AK4" s="14" t="s">
        <v>38</v>
      </c>
      <c r="AL4" s="14" t="s">
        <v>45</v>
      </c>
      <c r="AM4" s="14" t="s">
        <v>46</v>
      </c>
      <c r="AN4" s="14" t="s">
        <v>38</v>
      </c>
      <c r="AO4" s="14" t="s">
        <v>38</v>
      </c>
      <c r="AP4" s="14" t="s">
        <v>38</v>
      </c>
      <c r="AQ4" s="14" t="s">
        <v>38</v>
      </c>
      <c r="AR4" s="14" t="s">
        <v>47</v>
      </c>
      <c r="AS4" s="14" t="s">
        <v>48</v>
      </c>
      <c r="AT4" s="14" t="s">
        <v>49</v>
      </c>
      <c r="AU4" s="14" t="s">
        <v>50</v>
      </c>
      <c r="AV4" s="14" t="s">
        <v>38</v>
      </c>
      <c r="AW4" s="14" t="s">
        <v>38</v>
      </c>
      <c r="AX4" s="14" t="s">
        <v>38</v>
      </c>
      <c r="AY4" s="14" t="s">
        <v>38</v>
      </c>
      <c r="AZ4" s="14" t="s">
        <v>38</v>
      </c>
      <c r="BA4" s="14" t="s">
        <v>38</v>
      </c>
      <c r="BB4" s="14" t="s">
        <v>51</v>
      </c>
      <c r="BC4" s="14" t="s">
        <v>52</v>
      </c>
      <c r="BD4" s="14" t="s">
        <v>53</v>
      </c>
      <c r="BE4" s="14" t="s">
        <v>54</v>
      </c>
      <c r="BF4" s="14" t="s">
        <v>55</v>
      </c>
      <c r="BG4" s="14" t="s">
        <v>56</v>
      </c>
      <c r="BH4" s="14" t="s">
        <v>57</v>
      </c>
      <c r="BI4" s="14" t="s">
        <v>58</v>
      </c>
      <c r="BJ4" s="14" t="s">
        <v>59</v>
      </c>
      <c r="BK4" s="14" t="s">
        <v>60</v>
      </c>
      <c r="BL4" s="14" t="s">
        <v>61</v>
      </c>
      <c r="BM4" s="14" t="s">
        <v>62</v>
      </c>
      <c r="BN4" s="14" t="s">
        <v>63</v>
      </c>
      <c r="BO4" s="14" t="s">
        <v>64</v>
      </c>
      <c r="BP4" s="22" t="s">
        <v>65</v>
      </c>
      <c r="BQ4" s="23" t="s">
        <v>66</v>
      </c>
      <c r="BR4" s="14" t="s">
        <v>67</v>
      </c>
      <c r="BS4" s="14" t="s">
        <v>68</v>
      </c>
      <c r="BT4" s="14" t="s">
        <v>69</v>
      </c>
      <c r="BU4" s="14" t="s">
        <v>70</v>
      </c>
      <c r="BV4" s="14" t="s">
        <v>71</v>
      </c>
      <c r="BW4" s="14" t="s">
        <v>72</v>
      </c>
      <c r="BX4" s="14" t="s">
        <v>73</v>
      </c>
      <c r="BY4" s="14" t="s">
        <v>74</v>
      </c>
      <c r="BZ4" s="14" t="s">
        <v>75</v>
      </c>
      <c r="CA4" s="14" t="s">
        <v>76</v>
      </c>
      <c r="CB4" s="14" t="s">
        <v>63</v>
      </c>
      <c r="CC4" s="14" t="s">
        <v>77</v>
      </c>
      <c r="CD4" s="22" t="s">
        <v>78</v>
      </c>
      <c r="CE4" s="14" t="s">
        <v>79</v>
      </c>
      <c r="CF4" s="14" t="s">
        <v>80</v>
      </c>
      <c r="CG4" s="14" t="s">
        <v>81</v>
      </c>
      <c r="CH4" s="24" t="s">
        <v>82</v>
      </c>
      <c r="CI4" s="14" t="s">
        <v>83</v>
      </c>
      <c r="CJ4" s="24" t="s">
        <v>84</v>
      </c>
      <c r="CK4" s="14" t="s">
        <v>85</v>
      </c>
      <c r="CL4" s="14" t="s">
        <v>86</v>
      </c>
      <c r="CM4" s="14" t="s">
        <v>87</v>
      </c>
      <c r="CN4" s="14" t="s">
        <v>88</v>
      </c>
      <c r="CO4" s="23" t="s">
        <v>89</v>
      </c>
      <c r="CP4" s="14" t="s">
        <v>38</v>
      </c>
      <c r="CQ4" s="14" t="s">
        <v>38</v>
      </c>
      <c r="CR4" s="14" t="s">
        <v>38</v>
      </c>
      <c r="CS4" s="14" t="s">
        <v>38</v>
      </c>
      <c r="CT4" s="14" t="s">
        <v>38</v>
      </c>
      <c r="CU4" s="14" t="s">
        <v>38</v>
      </c>
      <c r="CV4" s="14" t="s">
        <v>38</v>
      </c>
      <c r="CW4" s="14" t="s">
        <v>38</v>
      </c>
      <c r="CX4" s="22" t="s">
        <v>90</v>
      </c>
      <c r="CY4" s="14" t="s">
        <v>91</v>
      </c>
      <c r="CZ4" s="14" t="s">
        <v>92</v>
      </c>
      <c r="DA4" s="14" t="s">
        <v>93</v>
      </c>
      <c r="DB4" s="14" t="s">
        <v>94</v>
      </c>
      <c r="DC4" s="14" t="s">
        <v>95</v>
      </c>
      <c r="DD4" s="14" t="s">
        <v>96</v>
      </c>
      <c r="DE4" s="23" t="s">
        <v>97</v>
      </c>
      <c r="DF4" s="22" t="s">
        <v>38</v>
      </c>
      <c r="DG4" s="14" t="s">
        <v>38</v>
      </c>
      <c r="DH4" s="14" t="s">
        <v>38</v>
      </c>
      <c r="DI4" s="23" t="s">
        <v>38</v>
      </c>
      <c r="DJ4" s="22" t="s">
        <v>98</v>
      </c>
      <c r="DK4" s="14" t="s">
        <v>99</v>
      </c>
      <c r="DL4" s="14" t="s">
        <v>100</v>
      </c>
      <c r="DM4" s="14" t="s">
        <v>101</v>
      </c>
      <c r="DN4" s="14" t="s">
        <v>102</v>
      </c>
      <c r="DO4" s="14" t="s">
        <v>103</v>
      </c>
      <c r="DP4" s="14" t="s">
        <v>104</v>
      </c>
      <c r="DQ4" s="23" t="s">
        <v>105</v>
      </c>
      <c r="DR4" s="22" t="s">
        <v>106</v>
      </c>
      <c r="DS4" s="14" t="s">
        <v>107</v>
      </c>
      <c r="DT4" s="14" t="s">
        <v>108</v>
      </c>
      <c r="DU4" s="14" t="s">
        <v>109</v>
      </c>
      <c r="DV4" s="14" t="s">
        <v>110</v>
      </c>
      <c r="DW4" s="14" t="s">
        <v>111</v>
      </c>
      <c r="DX4" s="14" t="s">
        <v>112</v>
      </c>
      <c r="DY4" s="14" t="s">
        <v>113</v>
      </c>
      <c r="DZ4" s="14" t="s">
        <v>114</v>
      </c>
      <c r="EA4" s="23" t="s">
        <v>115</v>
      </c>
      <c r="EB4" s="22" t="s">
        <v>116</v>
      </c>
      <c r="EC4" s="14" t="s">
        <v>117</v>
      </c>
      <c r="ED4" s="14" t="s">
        <v>118</v>
      </c>
      <c r="EE4" s="14" t="s">
        <v>119</v>
      </c>
      <c r="EF4" s="14" t="s">
        <v>120</v>
      </c>
      <c r="EG4" s="14" t="s">
        <v>121</v>
      </c>
      <c r="EH4" s="14" t="s">
        <v>122</v>
      </c>
      <c r="EI4" s="14" t="s">
        <v>123</v>
      </c>
      <c r="EJ4" s="14" t="s">
        <v>124</v>
      </c>
      <c r="EK4" s="14" t="s">
        <v>125</v>
      </c>
      <c r="EL4" s="14" t="s">
        <v>126</v>
      </c>
      <c r="EM4" s="14" t="s">
        <v>127</v>
      </c>
      <c r="EN4" s="14" t="s">
        <v>128</v>
      </c>
      <c r="EO4" s="14" t="s">
        <v>129</v>
      </c>
      <c r="EP4" s="14" t="s">
        <v>130</v>
      </c>
      <c r="EQ4" s="14" t="s">
        <v>131</v>
      </c>
      <c r="ER4" s="14" t="s">
        <v>132</v>
      </c>
      <c r="ES4" s="14" t="s">
        <v>133</v>
      </c>
      <c r="ET4" s="14" t="s">
        <v>134</v>
      </c>
      <c r="EU4" s="23" t="s">
        <v>135</v>
      </c>
      <c r="EV4" s="14"/>
      <c r="EW4" s="14"/>
      <c r="EX4" s="14"/>
      <c r="EY4" s="14"/>
      <c r="EZ4" s="14"/>
      <c r="FA4" s="14"/>
      <c r="FB4" s="14"/>
      <c r="FC4" s="14"/>
      <c r="FD4" s="14"/>
      <c r="FE4" s="23"/>
    </row>
    <row r="5" spans="1:161" x14ac:dyDescent="0.2">
      <c r="A5" s="12">
        <v>0</v>
      </c>
      <c r="B5" s="2">
        <v>479830</v>
      </c>
      <c r="C5" s="15">
        <f>B5/SUM(B$5:B$88)</f>
        <v>0.12345437606565365</v>
      </c>
      <c r="D5" s="15">
        <f>C5</f>
        <v>0.12345437606565365</v>
      </c>
      <c r="E5" s="15"/>
      <c r="F5" s="26">
        <v>0</v>
      </c>
      <c r="G5" s="4">
        <v>0</v>
      </c>
      <c r="H5" s="27"/>
      <c r="I5" s="4">
        <f>BR5+BT5+BV5+BX5</f>
        <v>0</v>
      </c>
      <c r="J5" s="4"/>
      <c r="K5" s="4">
        <f>N5+P5+R5+T5+V5+Z5+AF5+AH5+AL5+AR5+AT5+BB5+BD5+BL5+BN5+BR5+BT5+BV5+BX5</f>
        <v>0</v>
      </c>
      <c r="L5" s="4"/>
      <c r="M5" s="4"/>
      <c r="N5" s="4">
        <v>0</v>
      </c>
      <c r="O5" s="28">
        <v>3.0013571999999999E-6</v>
      </c>
      <c r="P5" s="26">
        <v>0</v>
      </c>
      <c r="Q5" s="28">
        <v>0</v>
      </c>
      <c r="R5" s="4">
        <v>0</v>
      </c>
      <c r="S5" s="28">
        <v>0</v>
      </c>
      <c r="T5" s="4">
        <v>0</v>
      </c>
      <c r="U5" s="28">
        <v>7.3934715999999999E-6</v>
      </c>
      <c r="V5" s="4">
        <v>0</v>
      </c>
      <c r="W5" s="28">
        <v>0</v>
      </c>
      <c r="X5" s="29" t="s">
        <v>136</v>
      </c>
      <c r="Y5" s="30">
        <v>0</v>
      </c>
      <c r="Z5" s="4">
        <v>0</v>
      </c>
      <c r="AA5" s="28">
        <v>0</v>
      </c>
      <c r="AB5" s="29" t="s">
        <v>136</v>
      </c>
      <c r="AC5" s="30">
        <v>0</v>
      </c>
      <c r="AD5" s="29" t="s">
        <v>136</v>
      </c>
      <c r="AE5" s="30">
        <v>0</v>
      </c>
      <c r="AF5" s="4">
        <v>0</v>
      </c>
      <c r="AG5" s="28">
        <v>0</v>
      </c>
      <c r="AH5" s="4">
        <v>0</v>
      </c>
      <c r="AI5" s="28">
        <v>5.7707700000000003E-5</v>
      </c>
      <c r="AJ5" s="29" t="s">
        <v>136</v>
      </c>
      <c r="AK5" s="30">
        <v>0</v>
      </c>
      <c r="AL5" s="4">
        <v>0</v>
      </c>
      <c r="AM5" s="28">
        <v>0</v>
      </c>
      <c r="AN5" s="29" t="s">
        <v>136</v>
      </c>
      <c r="AO5" s="30">
        <v>0</v>
      </c>
      <c r="AP5" s="29" t="s">
        <v>136</v>
      </c>
      <c r="AQ5" s="30">
        <v>0</v>
      </c>
      <c r="AR5" s="4">
        <f>AL5</f>
        <v>0</v>
      </c>
      <c r="AS5" s="28">
        <f>AM5</f>
        <v>0</v>
      </c>
      <c r="AT5" s="4">
        <v>0</v>
      </c>
      <c r="AU5" s="28">
        <v>1.3511E-5</v>
      </c>
      <c r="AV5" s="29" t="s">
        <v>136</v>
      </c>
      <c r="AW5" s="30">
        <v>0</v>
      </c>
      <c r="AX5" s="29" t="s">
        <v>136</v>
      </c>
      <c r="AY5" s="30">
        <v>0</v>
      </c>
      <c r="AZ5" s="29" t="s">
        <v>136</v>
      </c>
      <c r="BA5" s="30">
        <v>0</v>
      </c>
      <c r="BB5" s="4">
        <v>0</v>
      </c>
      <c r="BC5" s="28">
        <v>1.35372E-5</v>
      </c>
      <c r="BD5" s="4">
        <v>0</v>
      </c>
      <c r="BE5" s="28">
        <v>0</v>
      </c>
      <c r="BF5" s="4">
        <v>0</v>
      </c>
      <c r="BG5" s="28">
        <v>0</v>
      </c>
      <c r="BH5" s="4">
        <v>0</v>
      </c>
      <c r="BI5" s="28">
        <v>0</v>
      </c>
      <c r="BJ5" s="31">
        <v>0</v>
      </c>
      <c r="BK5" s="30">
        <v>0</v>
      </c>
      <c r="BL5" s="4">
        <v>0</v>
      </c>
      <c r="BM5" s="30">
        <v>0</v>
      </c>
      <c r="BN5" s="4">
        <v>0</v>
      </c>
      <c r="BO5" s="28">
        <v>1.8661900000000002E-5</v>
      </c>
      <c r="BP5" s="28">
        <v>0</v>
      </c>
      <c r="BQ5" s="32">
        <v>0</v>
      </c>
      <c r="BR5" s="4">
        <v>0</v>
      </c>
      <c r="BS5" s="28">
        <v>0</v>
      </c>
      <c r="BT5" s="4">
        <v>0</v>
      </c>
      <c r="BU5" s="28">
        <v>0</v>
      </c>
      <c r="BV5" s="4">
        <v>0</v>
      </c>
      <c r="BW5" s="28">
        <v>0</v>
      </c>
      <c r="BX5" s="4">
        <v>0</v>
      </c>
      <c r="BY5" s="28">
        <v>0</v>
      </c>
      <c r="BZ5" s="4">
        <v>0</v>
      </c>
      <c r="CA5" s="33">
        <v>0</v>
      </c>
      <c r="CB5" s="29" t="s">
        <v>136</v>
      </c>
      <c r="CC5" s="30">
        <v>0</v>
      </c>
      <c r="CD5" s="4">
        <v>0</v>
      </c>
      <c r="CE5" s="28">
        <v>0</v>
      </c>
      <c r="CF5" s="4">
        <v>0</v>
      </c>
      <c r="CG5" s="28">
        <v>0</v>
      </c>
      <c r="CH5" s="34" t="s">
        <v>136</v>
      </c>
      <c r="CI5" s="30">
        <v>0</v>
      </c>
      <c r="CJ5" s="34" t="s">
        <v>136</v>
      </c>
      <c r="CK5" s="30">
        <v>0</v>
      </c>
      <c r="CL5" s="4">
        <v>0</v>
      </c>
      <c r="CM5" s="28">
        <v>0</v>
      </c>
      <c r="CN5" s="4">
        <v>0</v>
      </c>
      <c r="CO5" s="28">
        <v>0</v>
      </c>
      <c r="CP5" s="34" t="s">
        <v>136</v>
      </c>
      <c r="CQ5" s="30">
        <v>0</v>
      </c>
      <c r="CR5" s="34" t="s">
        <v>136</v>
      </c>
      <c r="CS5" s="30">
        <v>0</v>
      </c>
      <c r="CT5" s="34" t="s">
        <v>136</v>
      </c>
      <c r="CU5" s="30">
        <v>0</v>
      </c>
      <c r="CV5" s="34" t="s">
        <v>136</v>
      </c>
      <c r="CW5" s="30">
        <v>0</v>
      </c>
      <c r="CX5" s="4">
        <v>0</v>
      </c>
      <c r="CY5" s="28">
        <v>0</v>
      </c>
      <c r="CZ5" s="4">
        <v>0</v>
      </c>
      <c r="DA5" s="28">
        <v>0</v>
      </c>
      <c r="DB5" s="4">
        <v>0</v>
      </c>
      <c r="DC5" s="28">
        <v>0</v>
      </c>
      <c r="DD5" s="4">
        <v>0</v>
      </c>
      <c r="DE5" s="28">
        <v>5.7707700000000003E-5</v>
      </c>
      <c r="DF5" s="35" t="s">
        <v>136</v>
      </c>
      <c r="DG5" s="30">
        <v>0</v>
      </c>
      <c r="DH5" s="34" t="s">
        <v>136</v>
      </c>
      <c r="DI5" s="36">
        <v>0</v>
      </c>
      <c r="DJ5" s="4">
        <v>0</v>
      </c>
      <c r="DK5" s="28">
        <v>0</v>
      </c>
      <c r="DL5" s="4">
        <v>0</v>
      </c>
      <c r="DM5" s="28">
        <v>1.35372E-5</v>
      </c>
      <c r="DN5" s="4">
        <v>0</v>
      </c>
      <c r="DO5" s="28">
        <v>2.3032630000000001E-6</v>
      </c>
      <c r="DP5" s="4">
        <v>0</v>
      </c>
      <c r="DQ5" s="28">
        <v>1.63586E-5</v>
      </c>
      <c r="DR5" s="37">
        <v>0</v>
      </c>
      <c r="DS5" s="38">
        <v>0</v>
      </c>
      <c r="DT5" s="38">
        <v>0</v>
      </c>
      <c r="DU5" s="38">
        <v>0</v>
      </c>
      <c r="DV5" s="38">
        <v>0</v>
      </c>
      <c r="DW5" s="38">
        <v>0</v>
      </c>
      <c r="DX5" s="38">
        <v>0</v>
      </c>
      <c r="DY5" s="38">
        <v>0</v>
      </c>
      <c r="DZ5" s="38">
        <v>0</v>
      </c>
      <c r="EA5" s="39">
        <v>0</v>
      </c>
      <c r="EB5" s="40">
        <v>0</v>
      </c>
      <c r="EC5" s="30">
        <v>0</v>
      </c>
      <c r="ED5" s="31">
        <v>0</v>
      </c>
      <c r="EE5" s="30">
        <v>0</v>
      </c>
      <c r="EF5" s="31">
        <v>0</v>
      </c>
      <c r="EG5" s="30">
        <v>0</v>
      </c>
      <c r="EH5" s="31">
        <v>0</v>
      </c>
      <c r="EI5" s="30">
        <v>0</v>
      </c>
      <c r="EJ5" s="31">
        <v>0</v>
      </c>
      <c r="EK5" s="30">
        <v>0</v>
      </c>
      <c r="EL5" s="31">
        <v>0</v>
      </c>
      <c r="EM5" s="30">
        <v>0</v>
      </c>
      <c r="EN5" s="31">
        <v>0</v>
      </c>
      <c r="EO5" s="30">
        <v>0</v>
      </c>
      <c r="EP5" s="31">
        <v>0</v>
      </c>
      <c r="EQ5" s="30">
        <v>0</v>
      </c>
      <c r="ER5" s="31">
        <v>0</v>
      </c>
      <c r="ES5" s="30">
        <v>0</v>
      </c>
      <c r="ET5" s="31">
        <v>0</v>
      </c>
      <c r="EU5" s="36">
        <v>0</v>
      </c>
      <c r="EV5" s="31"/>
      <c r="EW5" s="30"/>
      <c r="EX5" s="31"/>
      <c r="EY5" s="30"/>
      <c r="EZ5" s="31"/>
      <c r="FA5" s="30"/>
      <c r="FB5" s="31"/>
      <c r="FC5" s="30"/>
      <c r="FD5" s="31"/>
      <c r="FE5" s="36"/>
    </row>
    <row r="6" spans="1:161" x14ac:dyDescent="0.2">
      <c r="A6" s="12">
        <v>100</v>
      </c>
      <c r="B6" s="2">
        <v>96726</v>
      </c>
      <c r="C6" s="15">
        <f t="shared" ref="C6:C69" si="0">B6/SUM(B$5:B$88)</f>
        <v>2.4886413895184575E-2</v>
      </c>
      <c r="D6" s="15">
        <f>D5+C6</f>
        <v>0.14834078996083822</v>
      </c>
      <c r="E6" s="15">
        <f>C6*G6</f>
        <v>1.1677135688205491</v>
      </c>
      <c r="F6" s="26">
        <v>85.025465659000005</v>
      </c>
      <c r="G6" s="4">
        <v>46.92172901</v>
      </c>
      <c r="H6" s="41">
        <f>J6/G6</f>
        <v>0.4408898700819564</v>
      </c>
      <c r="I6" s="4">
        <f t="shared" ref="I6:I69" si="1">BR6+BT6+BV6+BX6</f>
        <v>3.4706103681</v>
      </c>
      <c r="J6" s="4">
        <f>(I6*SUM($B$5:$B6)-I5*SUM($B$5:$B5))/$B6</f>
        <v>20.687315007239665</v>
      </c>
      <c r="K6" s="4">
        <f t="shared" ref="K6:K69" si="2">N6+P6+R6+T6+V6+Z6+AF6+AH6+AL6+AR6+AT6+BB6+BD6+BL6+BN6+BR6+BT6+BV6+BX6</f>
        <v>7.7319284976000002</v>
      </c>
      <c r="L6" s="4">
        <f>(K6*SUM($B$5:$B6)-K5*SUM($B$5:$B5))/$B6</f>
        <v>46.087812654945573</v>
      </c>
      <c r="M6" s="41">
        <f>(L6-G6)/G6</f>
        <v>-1.777249842768373E-2</v>
      </c>
      <c r="N6" s="4">
        <v>8.3626655999999994E-3</v>
      </c>
      <c r="O6" s="28">
        <v>1.6790960000000001E-4</v>
      </c>
      <c r="P6" s="26">
        <v>3.2743800000000003E-5</v>
      </c>
      <c r="Q6" s="28">
        <v>1.4440433E-6</v>
      </c>
      <c r="R6" s="4">
        <v>0.87330250880000004</v>
      </c>
      <c r="S6" s="28">
        <v>1.14973148E-2</v>
      </c>
      <c r="T6" s="4">
        <v>0.31515425190000002</v>
      </c>
      <c r="U6" s="28">
        <v>4.0684247E-3</v>
      </c>
      <c r="V6" s="4">
        <v>4.8002308700000003E-2</v>
      </c>
      <c r="W6" s="28">
        <v>6.7736160000000001E-4</v>
      </c>
      <c r="X6" s="29" t="s">
        <v>136</v>
      </c>
      <c r="Y6" s="30">
        <v>0</v>
      </c>
      <c r="Z6" s="4">
        <v>1.0518086E-3</v>
      </c>
      <c r="AA6" s="28">
        <v>3.0858000000000002E-5</v>
      </c>
      <c r="AB6" s="29" t="s">
        <v>136</v>
      </c>
      <c r="AC6" s="30">
        <v>0</v>
      </c>
      <c r="AD6" s="29" t="s">
        <v>136</v>
      </c>
      <c r="AE6" s="30">
        <v>0</v>
      </c>
      <c r="AF6" s="4">
        <v>4.45785E-5</v>
      </c>
      <c r="AG6" s="28">
        <v>1.8800711999999999E-6</v>
      </c>
      <c r="AH6" s="4">
        <v>7.5540348300000004E-2</v>
      </c>
      <c r="AI6" s="28">
        <v>2.5866559000000001E-3</v>
      </c>
      <c r="AJ6" s="29" t="s">
        <v>136</v>
      </c>
      <c r="AK6" s="30">
        <v>0</v>
      </c>
      <c r="AL6" s="4">
        <v>0</v>
      </c>
      <c r="AM6" s="28">
        <v>0</v>
      </c>
      <c r="AN6" s="29" t="s">
        <v>136</v>
      </c>
      <c r="AO6" s="30">
        <v>0</v>
      </c>
      <c r="AP6" s="29" t="s">
        <v>136</v>
      </c>
      <c r="AQ6" s="30">
        <v>0</v>
      </c>
      <c r="AR6" s="4">
        <f t="shared" ref="AR6:AS69" si="3">AL6</f>
        <v>0</v>
      </c>
      <c r="AS6" s="28">
        <f t="shared" si="3"/>
        <v>0</v>
      </c>
      <c r="AT6" s="4">
        <v>1.230236753</v>
      </c>
      <c r="AU6" s="28">
        <v>2.8001287600000001E-2</v>
      </c>
      <c r="AV6" s="29" t="s">
        <v>136</v>
      </c>
      <c r="AW6" s="30">
        <v>0</v>
      </c>
      <c r="AX6" s="29" t="s">
        <v>136</v>
      </c>
      <c r="AY6" s="30">
        <v>0</v>
      </c>
      <c r="AZ6" s="29" t="s">
        <v>136</v>
      </c>
      <c r="BA6" s="30">
        <v>0</v>
      </c>
      <c r="BB6" s="4">
        <v>0.25322531349999999</v>
      </c>
      <c r="BC6" s="28">
        <v>1.74617613E-2</v>
      </c>
      <c r="BD6" s="4">
        <v>8.7676154100000001E-2</v>
      </c>
      <c r="BE6" s="28">
        <v>2.4021607999999998E-3</v>
      </c>
      <c r="BF6" s="4">
        <v>6.7467537399999999E-2</v>
      </c>
      <c r="BG6" s="28">
        <v>1.9961000999999998E-3</v>
      </c>
      <c r="BH6" s="4">
        <v>6.0685686999999997E-3</v>
      </c>
      <c r="BI6" s="28">
        <v>1.4400130000000001E-4</v>
      </c>
      <c r="BJ6" s="31">
        <f t="shared" ref="BJ6:BK69" si="4">BD6-(BF6+BH6)</f>
        <v>1.4140048000000002E-2</v>
      </c>
      <c r="BK6" s="30">
        <f t="shared" si="4"/>
        <v>2.6205939999999995E-4</v>
      </c>
      <c r="BL6" s="4">
        <v>0</v>
      </c>
      <c r="BM6" s="30">
        <v>0</v>
      </c>
      <c r="BN6" s="4">
        <v>1.3686886947000001</v>
      </c>
      <c r="BO6" s="28">
        <v>4.6554219500000001E-2</v>
      </c>
      <c r="BP6" s="28">
        <v>4.33213E-6</v>
      </c>
      <c r="BQ6" s="28">
        <v>0</v>
      </c>
      <c r="BR6" s="4">
        <v>3.2044398404000001</v>
      </c>
      <c r="BS6" s="28">
        <v>0.23253329119999999</v>
      </c>
      <c r="BT6" s="4">
        <v>0.15843359509999999</v>
      </c>
      <c r="BU6" s="28">
        <v>3.7549077999999999E-3</v>
      </c>
      <c r="BV6" s="4">
        <v>0.10753872890000001</v>
      </c>
      <c r="BW6" s="28">
        <v>2.5239626E-3</v>
      </c>
      <c r="BX6" s="4">
        <v>1.9820370000000001E-4</v>
      </c>
      <c r="BY6" s="28">
        <v>2.3840788999999999E-6</v>
      </c>
      <c r="BZ6" s="4">
        <v>0</v>
      </c>
      <c r="CA6" s="33">
        <v>0</v>
      </c>
      <c r="CB6" s="29" t="s">
        <v>136</v>
      </c>
      <c r="CC6" s="30">
        <v>0</v>
      </c>
      <c r="CD6" s="4">
        <v>5.4531009999999995E-4</v>
      </c>
      <c r="CE6" s="28">
        <v>1.4645500000000001E-5</v>
      </c>
      <c r="CF6" s="4">
        <v>4.7456998600000001E-2</v>
      </c>
      <c r="CG6" s="28">
        <v>6.627162E-4</v>
      </c>
      <c r="CH6" s="29" t="s">
        <v>136</v>
      </c>
      <c r="CI6" s="30">
        <v>0</v>
      </c>
      <c r="CJ6" s="29" t="s">
        <v>136</v>
      </c>
      <c r="CK6" s="30">
        <v>0</v>
      </c>
      <c r="CL6" s="4">
        <v>2.74329E-5</v>
      </c>
      <c r="CM6" s="28">
        <v>5.5255193999999999E-6</v>
      </c>
      <c r="CN6" s="4">
        <v>1.0243756999999999E-3</v>
      </c>
      <c r="CO6" s="28">
        <v>2.5332499999999998E-5</v>
      </c>
      <c r="CP6" s="29" t="s">
        <v>136</v>
      </c>
      <c r="CQ6" s="30">
        <v>0</v>
      </c>
      <c r="CR6" s="29" t="s">
        <v>136</v>
      </c>
      <c r="CS6" s="30">
        <v>0</v>
      </c>
      <c r="CT6" s="29" t="s">
        <v>136</v>
      </c>
      <c r="CU6" s="30">
        <v>0</v>
      </c>
      <c r="CV6" s="29" t="s">
        <v>136</v>
      </c>
      <c r="CW6" s="30">
        <v>0</v>
      </c>
      <c r="CX6" s="4">
        <v>0</v>
      </c>
      <c r="CY6" s="28">
        <v>0</v>
      </c>
      <c r="CZ6" s="4">
        <v>4.45785E-5</v>
      </c>
      <c r="DA6" s="28">
        <v>1.8800711999999999E-6</v>
      </c>
      <c r="DB6" s="4">
        <v>2.9455099999999999E-5</v>
      </c>
      <c r="DC6" s="28">
        <v>1.6690004E-6</v>
      </c>
      <c r="DD6" s="4">
        <v>7.5510893199999998E-2</v>
      </c>
      <c r="DE6" s="28">
        <v>2.5849868999999999E-3</v>
      </c>
      <c r="DF6" s="29" t="s">
        <v>136</v>
      </c>
      <c r="DG6" s="30">
        <v>0</v>
      </c>
      <c r="DH6" s="29" t="s">
        <v>136</v>
      </c>
      <c r="DI6" s="30">
        <v>0</v>
      </c>
      <c r="DJ6" s="4">
        <v>4.4827236299999997E-2</v>
      </c>
      <c r="DK6" s="28">
        <v>2.0622028999999998E-3</v>
      </c>
      <c r="DL6" s="4">
        <v>0.2083980772</v>
      </c>
      <c r="DM6" s="28">
        <v>1.5399558400000001E-2</v>
      </c>
      <c r="DN6" s="4">
        <v>2.4601733000000001E-2</v>
      </c>
      <c r="DO6" s="28">
        <v>4.4107564999999998E-3</v>
      </c>
      <c r="DP6" s="4">
        <v>1.3440869617</v>
      </c>
      <c r="DQ6" s="28">
        <v>4.2143462999999999E-2</v>
      </c>
      <c r="DR6" s="37">
        <v>1.4440433E-6</v>
      </c>
      <c r="DS6" s="38">
        <v>2.8880866E-6</v>
      </c>
      <c r="DT6" s="38">
        <v>4.33213E-6</v>
      </c>
      <c r="DU6" s="38">
        <v>4.33213E-6</v>
      </c>
      <c r="DV6" s="38">
        <v>4.33213E-6</v>
      </c>
      <c r="DW6" s="38">
        <v>4.33213E-6</v>
      </c>
      <c r="DX6" s="38">
        <v>4.33213E-6</v>
      </c>
      <c r="DY6" s="38">
        <v>4.33213E-6</v>
      </c>
      <c r="DZ6" s="38">
        <v>4.33213E-6</v>
      </c>
      <c r="EA6" s="39">
        <v>4.33213E-6</v>
      </c>
      <c r="EB6" s="40">
        <v>7.8872937000000008E-3</v>
      </c>
      <c r="EC6" s="30">
        <v>3.485389E-4</v>
      </c>
      <c r="ED6" s="31">
        <v>1.166706E-3</v>
      </c>
      <c r="EE6" s="30">
        <v>6.5824899999999994E-5</v>
      </c>
      <c r="EF6" s="31">
        <v>2.1004960000000001E-4</v>
      </c>
      <c r="EG6" s="30">
        <v>1.7065999999999999E-5</v>
      </c>
      <c r="EH6" s="31">
        <v>2.5268600000000001E-5</v>
      </c>
      <c r="EI6" s="30">
        <v>3.0670435999999998E-6</v>
      </c>
      <c r="EJ6" s="31">
        <v>0</v>
      </c>
      <c r="EK6" s="30">
        <v>0</v>
      </c>
      <c r="EL6" s="31">
        <v>0</v>
      </c>
      <c r="EM6" s="30">
        <v>0</v>
      </c>
      <c r="EN6" s="31">
        <v>0</v>
      </c>
      <c r="EO6" s="30">
        <v>0</v>
      </c>
      <c r="EP6" s="31">
        <v>0</v>
      </c>
      <c r="EQ6" s="30">
        <v>0</v>
      </c>
      <c r="ER6" s="31">
        <v>0</v>
      </c>
      <c r="ES6" s="30">
        <v>0</v>
      </c>
      <c r="ET6" s="31">
        <v>0</v>
      </c>
      <c r="EU6" s="36">
        <v>0</v>
      </c>
      <c r="EV6" s="31"/>
      <c r="EW6" s="30"/>
      <c r="EX6" s="31"/>
      <c r="EY6" s="30"/>
      <c r="EZ6" s="31"/>
      <c r="FA6" s="30"/>
      <c r="FB6" s="31"/>
      <c r="FC6" s="30"/>
      <c r="FD6" s="31"/>
      <c r="FE6" s="36"/>
    </row>
    <row r="7" spans="1:161" x14ac:dyDescent="0.2">
      <c r="A7" s="12">
        <v>200</v>
      </c>
      <c r="B7" s="2">
        <v>147714</v>
      </c>
      <c r="C7" s="15">
        <f t="shared" si="0"/>
        <v>3.8005001159081266E-2</v>
      </c>
      <c r="D7" s="15">
        <f t="shared" ref="D7:D70" si="5">D6+C7</f>
        <v>0.18634579111991947</v>
      </c>
      <c r="E7" s="15">
        <f>C7/(1-C$5)*F7+E6</f>
        <v>8.4107971616525905</v>
      </c>
      <c r="F7" s="26">
        <v>167.05415164999999</v>
      </c>
      <c r="G7" s="4">
        <v>151.36886636</v>
      </c>
      <c r="H7" s="41">
        <f t="shared" ref="H7:H70" si="6">J7/G7</f>
        <v>0.1737994544571822</v>
      </c>
      <c r="I7" s="4">
        <f t="shared" si="1"/>
        <v>8.1282332548999996</v>
      </c>
      <c r="J7" s="4">
        <f>(I7*SUM($B$5:$B7)-I6*SUM($B$5:$B6))/$B7</f>
        <v>26.307826395170117</v>
      </c>
      <c r="K7" s="4">
        <f t="shared" si="2"/>
        <v>34.921277977999992</v>
      </c>
      <c r="L7" s="4">
        <f>(K7*SUM($B$5:$B7)-K6*SUM($B$5:$B6))/$B7</f>
        <v>141.04651037994901</v>
      </c>
      <c r="M7" s="41">
        <f t="shared" ref="M7:M70" si="7">(L7-G7)/G7</f>
        <v>-6.8193388959532572E-2</v>
      </c>
      <c r="N7" s="4">
        <v>0.1133551606</v>
      </c>
      <c r="O7" s="28">
        <v>8.6679490000000003E-4</v>
      </c>
      <c r="P7" s="26">
        <v>1.804105E-4</v>
      </c>
      <c r="Q7" s="28">
        <v>4.4190035999999999E-6</v>
      </c>
      <c r="R7" s="4">
        <v>10.597666078</v>
      </c>
      <c r="S7" s="28">
        <v>9.1228764700000006E-2</v>
      </c>
      <c r="T7" s="4">
        <v>3.5900464772</v>
      </c>
      <c r="U7" s="28">
        <v>3.0189349800000001E-2</v>
      </c>
      <c r="V7" s="4">
        <v>0.3769993667</v>
      </c>
      <c r="W7" s="28">
        <v>3.7846251999999999E-3</v>
      </c>
      <c r="X7" s="29" t="s">
        <v>136</v>
      </c>
      <c r="Y7" s="30">
        <v>0</v>
      </c>
      <c r="Z7" s="4">
        <v>1.32918685E-2</v>
      </c>
      <c r="AA7" s="28">
        <v>1.621894E-4</v>
      </c>
      <c r="AB7" s="29" t="s">
        <v>136</v>
      </c>
      <c r="AC7" s="30">
        <v>0</v>
      </c>
      <c r="AD7" s="29" t="s">
        <v>136</v>
      </c>
      <c r="AE7" s="30">
        <v>0</v>
      </c>
      <c r="AF7" s="4">
        <v>5.5652559999999998E-4</v>
      </c>
      <c r="AG7" s="28">
        <v>6.939708E-6</v>
      </c>
      <c r="AH7" s="4">
        <v>0.345722904</v>
      </c>
      <c r="AI7" s="28">
        <v>1.00330314E-2</v>
      </c>
      <c r="AJ7" s="29" t="s">
        <v>136</v>
      </c>
      <c r="AK7" s="30">
        <v>0</v>
      </c>
      <c r="AL7" s="4">
        <v>0</v>
      </c>
      <c r="AM7" s="28">
        <v>0</v>
      </c>
      <c r="AN7" s="29" t="s">
        <v>136</v>
      </c>
      <c r="AO7" s="30">
        <v>0</v>
      </c>
      <c r="AP7" s="29" t="s">
        <v>136</v>
      </c>
      <c r="AQ7" s="30">
        <v>0</v>
      </c>
      <c r="AR7" s="4">
        <f t="shared" si="3"/>
        <v>0</v>
      </c>
      <c r="AS7" s="28">
        <f t="shared" si="3"/>
        <v>0</v>
      </c>
      <c r="AT7" s="4">
        <v>4.5480375985999997</v>
      </c>
      <c r="AU7" s="28">
        <v>8.1202157600000005E-2</v>
      </c>
      <c r="AV7" s="29" t="s">
        <v>136</v>
      </c>
      <c r="AW7" s="30">
        <v>0</v>
      </c>
      <c r="AX7" s="29" t="s">
        <v>136</v>
      </c>
      <c r="AY7" s="30">
        <v>0</v>
      </c>
      <c r="AZ7" s="29" t="s">
        <v>136</v>
      </c>
      <c r="BA7" s="30">
        <v>0</v>
      </c>
      <c r="BB7" s="4">
        <v>1.2974240866</v>
      </c>
      <c r="BC7" s="28">
        <v>7.9639042699999996E-2</v>
      </c>
      <c r="BD7" s="4">
        <v>0.47036894089999998</v>
      </c>
      <c r="BE7" s="28">
        <v>9.5762035999999995E-3</v>
      </c>
      <c r="BF7" s="4">
        <v>0.2847129055</v>
      </c>
      <c r="BG7" s="28">
        <v>6.5697020000000002E-3</v>
      </c>
      <c r="BH7" s="4">
        <v>0.1088033729</v>
      </c>
      <c r="BI7" s="28">
        <v>1.9458975E-3</v>
      </c>
      <c r="BJ7" s="31">
        <f t="shared" si="4"/>
        <v>7.6852662499999946E-2</v>
      </c>
      <c r="BK7" s="30">
        <f t="shared" si="4"/>
        <v>1.0606040999999993E-3</v>
      </c>
      <c r="BL7" s="4">
        <v>0</v>
      </c>
      <c r="BM7" s="30">
        <v>0</v>
      </c>
      <c r="BN7" s="4">
        <v>5.4393953058999998</v>
      </c>
      <c r="BO7" s="28">
        <v>0.1057735553</v>
      </c>
      <c r="BP7" s="28">
        <v>1.08937E-5</v>
      </c>
      <c r="BQ7" s="28">
        <v>0</v>
      </c>
      <c r="BR7" s="4">
        <v>6.7423974989</v>
      </c>
      <c r="BS7" s="28">
        <v>0.41283816249999999</v>
      </c>
      <c r="BT7" s="4">
        <v>1.0056490949000001</v>
      </c>
      <c r="BU7" s="28">
        <v>1.20921081E-2</v>
      </c>
      <c r="BV7" s="4">
        <v>0.37976124880000001</v>
      </c>
      <c r="BW7" s="28">
        <v>5.4002288000000002E-3</v>
      </c>
      <c r="BX7" s="4">
        <v>4.2541230000000001E-4</v>
      </c>
      <c r="BY7" s="28">
        <v>5.4640446999999996E-6</v>
      </c>
      <c r="BZ7" s="4">
        <v>0</v>
      </c>
      <c r="CA7" s="33">
        <v>0</v>
      </c>
      <c r="CB7" s="29" t="s">
        <v>136</v>
      </c>
      <c r="CC7" s="30">
        <v>0</v>
      </c>
      <c r="CD7" s="4">
        <v>7.0905283999999997E-3</v>
      </c>
      <c r="CE7" s="28">
        <v>1.2295230000000001E-4</v>
      </c>
      <c r="CF7" s="4">
        <v>0.3699088384</v>
      </c>
      <c r="CG7" s="28">
        <v>3.6616728000000002E-3</v>
      </c>
      <c r="CH7" s="29" t="s">
        <v>136</v>
      </c>
      <c r="CI7" s="30">
        <v>0</v>
      </c>
      <c r="CJ7" s="29" t="s">
        <v>136</v>
      </c>
      <c r="CK7" s="30">
        <v>0</v>
      </c>
      <c r="CL7" s="4">
        <v>1.5175150000000001E-3</v>
      </c>
      <c r="CM7" s="28">
        <v>3.7570300000000002E-5</v>
      </c>
      <c r="CN7" s="4">
        <v>1.1774353499999999E-2</v>
      </c>
      <c r="CO7" s="28">
        <v>1.246191E-4</v>
      </c>
      <c r="CP7" s="29" t="s">
        <v>136</v>
      </c>
      <c r="CQ7" s="30">
        <v>0</v>
      </c>
      <c r="CR7" s="29" t="s">
        <v>136</v>
      </c>
      <c r="CS7" s="30">
        <v>0</v>
      </c>
      <c r="CT7" s="29" t="s">
        <v>136</v>
      </c>
      <c r="CU7" s="30">
        <v>0</v>
      </c>
      <c r="CV7" s="29" t="s">
        <v>136</v>
      </c>
      <c r="CW7" s="30">
        <v>0</v>
      </c>
      <c r="CX7" s="4">
        <v>0</v>
      </c>
      <c r="CY7" s="28">
        <v>0</v>
      </c>
      <c r="CZ7" s="4">
        <v>5.5652559999999998E-4</v>
      </c>
      <c r="DA7" s="28">
        <v>6.939708E-6</v>
      </c>
      <c r="DB7" s="4">
        <v>1.9504646E-3</v>
      </c>
      <c r="DC7" s="28">
        <v>5.6506299999999998E-5</v>
      </c>
      <c r="DD7" s="4">
        <v>0.34377243940000002</v>
      </c>
      <c r="DE7" s="28">
        <v>9.9765250999999996E-3</v>
      </c>
      <c r="DF7" s="29" t="s">
        <v>136</v>
      </c>
      <c r="DG7" s="30">
        <v>0</v>
      </c>
      <c r="DH7" s="29" t="s">
        <v>136</v>
      </c>
      <c r="DI7" s="30">
        <v>0</v>
      </c>
      <c r="DJ7" s="4">
        <v>0.18225926849999999</v>
      </c>
      <c r="DK7" s="28">
        <v>6.8344779999999997E-3</v>
      </c>
      <c r="DL7" s="4">
        <v>1.1151648181</v>
      </c>
      <c r="DM7" s="28">
        <v>7.2804564700000005E-2</v>
      </c>
      <c r="DN7" s="4">
        <v>0.12582653190000001</v>
      </c>
      <c r="DO7" s="28">
        <v>1.3685758399999999E-2</v>
      </c>
      <c r="DP7" s="4">
        <v>5.3135687739000002</v>
      </c>
      <c r="DQ7" s="28">
        <v>9.2087796900000005E-2</v>
      </c>
      <c r="DR7" s="37">
        <v>4.4190035999999999E-6</v>
      </c>
      <c r="DS7" s="38">
        <v>7.8101768000000007E-6</v>
      </c>
      <c r="DT7" s="38">
        <v>9.8658378000000004E-6</v>
      </c>
      <c r="DU7" s="38">
        <v>1.08937E-5</v>
      </c>
      <c r="DV7" s="38">
        <v>1.08937E-5</v>
      </c>
      <c r="DW7" s="38">
        <v>1.08937E-5</v>
      </c>
      <c r="DX7" s="38">
        <v>1.08937E-5</v>
      </c>
      <c r="DY7" s="38">
        <v>1.08937E-5</v>
      </c>
      <c r="DZ7" s="38">
        <v>1.08937E-5</v>
      </c>
      <c r="EA7" s="39">
        <v>1.08937E-5</v>
      </c>
      <c r="EB7" s="40">
        <v>0.15902194</v>
      </c>
      <c r="EC7" s="30">
        <v>2.4051786999999998E-3</v>
      </c>
      <c r="ED7" s="31">
        <v>5.3117879999999996E-3</v>
      </c>
      <c r="EE7" s="30">
        <v>2.007764E-4</v>
      </c>
      <c r="EF7" s="31">
        <v>8.6048400000000001E-4</v>
      </c>
      <c r="EG7" s="30">
        <v>4.5608600000000002E-5</v>
      </c>
      <c r="EH7" s="31">
        <v>1.803206E-4</v>
      </c>
      <c r="EI7" s="30">
        <v>1.14306E-5</v>
      </c>
      <c r="EJ7" s="31">
        <v>0</v>
      </c>
      <c r="EK7" s="30">
        <v>0</v>
      </c>
      <c r="EL7" s="31">
        <v>0</v>
      </c>
      <c r="EM7" s="30">
        <v>0</v>
      </c>
      <c r="EN7" s="31">
        <v>0</v>
      </c>
      <c r="EO7" s="30">
        <v>0</v>
      </c>
      <c r="EP7" s="31">
        <v>0</v>
      </c>
      <c r="EQ7" s="30">
        <v>0</v>
      </c>
      <c r="ER7" s="31">
        <v>0</v>
      </c>
      <c r="ES7" s="30">
        <v>0</v>
      </c>
      <c r="ET7" s="31">
        <v>0</v>
      </c>
      <c r="EU7" s="36">
        <v>0</v>
      </c>
      <c r="EV7" s="31"/>
      <c r="EW7" s="30"/>
      <c r="EX7" s="31"/>
      <c r="EY7" s="30"/>
      <c r="EZ7" s="31"/>
      <c r="FA7" s="30"/>
      <c r="FB7" s="31"/>
      <c r="FC7" s="30"/>
      <c r="FD7" s="31"/>
      <c r="FE7" s="36"/>
    </row>
    <row r="8" spans="1:161" x14ac:dyDescent="0.2">
      <c r="A8" s="12">
        <v>300</v>
      </c>
      <c r="B8" s="2">
        <v>142292</v>
      </c>
      <c r="C8" s="15">
        <f t="shared" si="0"/>
        <v>3.6609987035270804E-2</v>
      </c>
      <c r="D8" s="15">
        <f t="shared" si="5"/>
        <v>0.22295577815519027</v>
      </c>
      <c r="E8" s="15">
        <f t="shared" ref="E8:E71" si="8">C8/(1-C$5)*F8+E7</f>
        <v>18.666281905277895</v>
      </c>
      <c r="F8" s="26">
        <v>245.5450275</v>
      </c>
      <c r="G8" s="4">
        <v>248.86385594999999</v>
      </c>
      <c r="H8" s="41">
        <f t="shared" si="6"/>
        <v>0.16830380982125601</v>
      </c>
      <c r="I8" s="4">
        <f t="shared" si="1"/>
        <v>13.671149004900002</v>
      </c>
      <c r="J8" s="4">
        <f>(I8*SUM($B$5:$B8)-I7*SUM($B$5:$B7))/$B8</f>
        <v>41.884735083193249</v>
      </c>
      <c r="K8" s="4">
        <f t="shared" si="2"/>
        <v>67.7825968378</v>
      </c>
      <c r="L8" s="4">
        <f>(K8*SUM(B$5:B8)-K7*SUM(B$5:B7))/B8</f>
        <v>235.04756894155392</v>
      </c>
      <c r="M8" s="41">
        <f t="shared" si="7"/>
        <v>-5.5517451321745737E-2</v>
      </c>
      <c r="N8" s="4">
        <v>0.47189470220000002</v>
      </c>
      <c r="O8" s="28">
        <v>2.3757206999999998E-3</v>
      </c>
      <c r="P8" s="26">
        <v>9.3088269999999998E-4</v>
      </c>
      <c r="Q8" s="28">
        <v>1.03573E-5</v>
      </c>
      <c r="R8" s="4">
        <v>21.139105593</v>
      </c>
      <c r="S8" s="28">
        <v>0.16378030260000001</v>
      </c>
      <c r="T8" s="4">
        <v>7.6452370494000004</v>
      </c>
      <c r="U8" s="28">
        <v>5.6638805200000003E-2</v>
      </c>
      <c r="V8" s="4">
        <v>0.78685942789999996</v>
      </c>
      <c r="W8" s="28">
        <v>7.4442505999999997E-3</v>
      </c>
      <c r="X8" s="29" t="s">
        <v>136</v>
      </c>
      <c r="Y8" s="30">
        <v>0</v>
      </c>
      <c r="Z8" s="4">
        <v>3.0770477800000001E-2</v>
      </c>
      <c r="AA8" s="28">
        <v>2.8373070000000002E-4</v>
      </c>
      <c r="AB8" s="29" t="s">
        <v>136</v>
      </c>
      <c r="AC8" s="30">
        <v>0</v>
      </c>
      <c r="AD8" s="29" t="s">
        <v>136</v>
      </c>
      <c r="AE8" s="30">
        <v>0</v>
      </c>
      <c r="AF8" s="4">
        <v>1.1275999000000001E-3</v>
      </c>
      <c r="AG8" s="28">
        <v>1.45627E-5</v>
      </c>
      <c r="AH8" s="4">
        <v>0.77983287990000005</v>
      </c>
      <c r="AI8" s="28">
        <v>2.13708474E-2</v>
      </c>
      <c r="AJ8" s="29" t="s">
        <v>136</v>
      </c>
      <c r="AK8" s="30">
        <v>0</v>
      </c>
      <c r="AL8" s="4">
        <v>0</v>
      </c>
      <c r="AM8" s="28">
        <v>0</v>
      </c>
      <c r="AN8" s="29" t="s">
        <v>136</v>
      </c>
      <c r="AO8" s="30">
        <v>0</v>
      </c>
      <c r="AP8" s="29" t="s">
        <v>136</v>
      </c>
      <c r="AQ8" s="30">
        <v>0</v>
      </c>
      <c r="AR8" s="4">
        <f t="shared" si="3"/>
        <v>0</v>
      </c>
      <c r="AS8" s="28">
        <f t="shared" si="3"/>
        <v>0</v>
      </c>
      <c r="AT8" s="4">
        <v>8.4725108415000001</v>
      </c>
      <c r="AU8" s="28">
        <v>0.15428903020000001</v>
      </c>
      <c r="AV8" s="29" t="s">
        <v>136</v>
      </c>
      <c r="AW8" s="30">
        <v>0</v>
      </c>
      <c r="AX8" s="29" t="s">
        <v>136</v>
      </c>
      <c r="AY8" s="30">
        <v>0</v>
      </c>
      <c r="AZ8" s="29" t="s">
        <v>136</v>
      </c>
      <c r="BA8" s="30">
        <v>0</v>
      </c>
      <c r="BB8" s="4">
        <v>2.9882461724999998</v>
      </c>
      <c r="BC8" s="28">
        <v>0.1738069679</v>
      </c>
      <c r="BD8" s="4">
        <v>1.2912138580999999</v>
      </c>
      <c r="BE8" s="28">
        <v>2.29029665E-2</v>
      </c>
      <c r="BF8" s="4">
        <v>0.72197443350000001</v>
      </c>
      <c r="BG8" s="28">
        <v>1.48097664E-2</v>
      </c>
      <c r="BH8" s="4">
        <v>0.34584174429999998</v>
      </c>
      <c r="BI8" s="28">
        <v>5.5262039000000002E-3</v>
      </c>
      <c r="BJ8" s="31">
        <f t="shared" si="4"/>
        <v>0.22339768029999996</v>
      </c>
      <c r="BK8" s="30">
        <f t="shared" si="4"/>
        <v>2.5669962000000011E-3</v>
      </c>
      <c r="BL8" s="4">
        <v>0</v>
      </c>
      <c r="BM8" s="30">
        <v>0</v>
      </c>
      <c r="BN8" s="4">
        <v>10.503718348</v>
      </c>
      <c r="BO8" s="28">
        <v>0.17794233070000001</v>
      </c>
      <c r="BP8" s="28">
        <v>2.55231E-5</v>
      </c>
      <c r="BQ8" s="28">
        <v>0</v>
      </c>
      <c r="BR8" s="4">
        <v>10.662044612000001</v>
      </c>
      <c r="BS8" s="28">
        <v>0.59281420060000001</v>
      </c>
      <c r="BT8" s="4">
        <v>2.2335028608999998</v>
      </c>
      <c r="BU8" s="28">
        <v>2.2721819000000001E-2</v>
      </c>
      <c r="BV8" s="4">
        <v>0.77384805860000005</v>
      </c>
      <c r="BW8" s="28">
        <v>8.8119948000000003E-3</v>
      </c>
      <c r="BX8" s="4">
        <v>1.7534734000000001E-3</v>
      </c>
      <c r="BY8" s="28">
        <v>3.87469E-5</v>
      </c>
      <c r="BZ8" s="4">
        <v>0</v>
      </c>
      <c r="CA8" s="33">
        <v>0</v>
      </c>
      <c r="CB8" s="29" t="s">
        <v>136</v>
      </c>
      <c r="CC8" s="30">
        <v>0</v>
      </c>
      <c r="CD8" s="4">
        <v>1.4613997300000001E-2</v>
      </c>
      <c r="CE8" s="28">
        <v>2.3502970000000001E-4</v>
      </c>
      <c r="CF8" s="4">
        <v>0.77224543059999995</v>
      </c>
      <c r="CG8" s="28">
        <v>7.2092209000000004E-3</v>
      </c>
      <c r="CH8" s="29" t="s">
        <v>136</v>
      </c>
      <c r="CI8" s="30">
        <v>0</v>
      </c>
      <c r="CJ8" s="29" t="s">
        <v>136</v>
      </c>
      <c r="CK8" s="30">
        <v>0</v>
      </c>
      <c r="CL8" s="4">
        <v>1.7868491999999999E-3</v>
      </c>
      <c r="CM8" s="28">
        <v>4.8047999999999998E-5</v>
      </c>
      <c r="CN8" s="4">
        <v>2.8983628599999998E-2</v>
      </c>
      <c r="CO8" s="28">
        <v>2.3568269999999999E-4</v>
      </c>
      <c r="CP8" s="29" t="s">
        <v>136</v>
      </c>
      <c r="CQ8" s="30">
        <v>0</v>
      </c>
      <c r="CR8" s="29" t="s">
        <v>136</v>
      </c>
      <c r="CS8" s="30">
        <v>0</v>
      </c>
      <c r="CT8" s="29" t="s">
        <v>136</v>
      </c>
      <c r="CU8" s="30">
        <v>0</v>
      </c>
      <c r="CV8" s="29" t="s">
        <v>136</v>
      </c>
      <c r="CW8" s="30">
        <v>0</v>
      </c>
      <c r="CX8" s="4">
        <v>1.979262E-4</v>
      </c>
      <c r="CY8" s="28">
        <v>4.5789229999999999E-6</v>
      </c>
      <c r="CZ8" s="4">
        <v>9.2967379999999995E-4</v>
      </c>
      <c r="DA8" s="28">
        <v>9.9837352999999995E-6</v>
      </c>
      <c r="DB8" s="4">
        <v>7.2528165000000002E-3</v>
      </c>
      <c r="DC8" s="28">
        <v>1.575526E-4</v>
      </c>
      <c r="DD8" s="4">
        <v>0.77258006339999996</v>
      </c>
      <c r="DE8" s="28">
        <v>2.1213294800000001E-2</v>
      </c>
      <c r="DF8" s="29" t="s">
        <v>136</v>
      </c>
      <c r="DG8" s="30">
        <v>0</v>
      </c>
      <c r="DH8" s="29" t="s">
        <v>136</v>
      </c>
      <c r="DI8" s="30">
        <v>0</v>
      </c>
      <c r="DJ8" s="4">
        <v>0.44884386120000003</v>
      </c>
      <c r="DK8" s="28">
        <v>1.53115835E-2</v>
      </c>
      <c r="DL8" s="4">
        <v>2.5394023112999999</v>
      </c>
      <c r="DM8" s="28">
        <v>0.15849538439999999</v>
      </c>
      <c r="DN8" s="4">
        <v>0.29766933130000001</v>
      </c>
      <c r="DO8" s="28">
        <v>2.88152954E-2</v>
      </c>
      <c r="DP8" s="4">
        <v>10.206049016</v>
      </c>
      <c r="DQ8" s="28">
        <v>0.14912703529999999</v>
      </c>
      <c r="DR8" s="37">
        <v>1.03573E-5</v>
      </c>
      <c r="DS8" s="38">
        <v>1.9927100000000001E-5</v>
      </c>
      <c r="DT8" s="38">
        <v>2.3947999999999998E-5</v>
      </c>
      <c r="DU8" s="38">
        <v>2.55231E-5</v>
      </c>
      <c r="DV8" s="38">
        <v>2.55231E-5</v>
      </c>
      <c r="DW8" s="38">
        <v>2.55231E-5</v>
      </c>
      <c r="DX8" s="38">
        <v>2.55231E-5</v>
      </c>
      <c r="DY8" s="38">
        <v>2.55231E-5</v>
      </c>
      <c r="DZ8" s="38">
        <v>2.55231E-5</v>
      </c>
      <c r="EA8" s="39">
        <v>2.55231E-5</v>
      </c>
      <c r="EB8" s="40">
        <v>1.5631831963</v>
      </c>
      <c r="EC8" s="30">
        <v>1.5809793199999998E-2</v>
      </c>
      <c r="ED8" s="31">
        <v>4.5130945999999998E-2</v>
      </c>
      <c r="EE8" s="30">
        <v>7.8083600000000003E-4</v>
      </c>
      <c r="EF8" s="31">
        <v>3.1166737000000002E-3</v>
      </c>
      <c r="EG8" s="30">
        <v>1.2086719999999999E-4</v>
      </c>
      <c r="EH8" s="31">
        <v>9.042217E-4</v>
      </c>
      <c r="EI8" s="30">
        <v>3.7401999999999999E-5</v>
      </c>
      <c r="EJ8" s="31">
        <v>1.7854740000000001E-4</v>
      </c>
      <c r="EK8" s="30">
        <v>7.9525919000000006E-6</v>
      </c>
      <c r="EL8" s="31">
        <v>1.122877E-4</v>
      </c>
      <c r="EM8" s="30">
        <v>4.4882045000000003E-6</v>
      </c>
      <c r="EN8" s="31">
        <v>6.9217300000000006E-5</v>
      </c>
      <c r="EO8" s="30">
        <v>2.964809E-6</v>
      </c>
      <c r="EP8" s="31">
        <v>4.6144799999999999E-5</v>
      </c>
      <c r="EQ8" s="30">
        <v>1.9765392999999999E-6</v>
      </c>
      <c r="ER8" s="31">
        <v>2.30724E-5</v>
      </c>
      <c r="ES8" s="30">
        <v>9.8826967000000002E-7</v>
      </c>
      <c r="ET8" s="31">
        <v>0</v>
      </c>
      <c r="EU8" s="36">
        <v>0</v>
      </c>
      <c r="EV8" s="31"/>
      <c r="EW8" s="30"/>
      <c r="EX8" s="31"/>
      <c r="EY8" s="30"/>
      <c r="EZ8" s="31"/>
      <c r="FA8" s="30"/>
      <c r="FB8" s="31"/>
      <c r="FC8" s="30"/>
      <c r="FD8" s="31"/>
      <c r="FE8" s="36"/>
    </row>
    <row r="9" spans="1:161" x14ac:dyDescent="0.2">
      <c r="A9" s="12">
        <v>400</v>
      </c>
      <c r="B9" s="2">
        <v>128581</v>
      </c>
      <c r="C9" s="15">
        <f t="shared" si="0"/>
        <v>3.3082314838375704E-2</v>
      </c>
      <c r="D9" s="15">
        <f t="shared" si="5"/>
        <v>0.25603809299356595</v>
      </c>
      <c r="E9" s="15">
        <f t="shared" si="8"/>
        <v>30.780570910785272</v>
      </c>
      <c r="F9" s="26">
        <v>320.97896011</v>
      </c>
      <c r="G9" s="4">
        <v>349.52035983000002</v>
      </c>
      <c r="H9" s="41">
        <f t="shared" si="6"/>
        <v>0.1786953366871511</v>
      </c>
      <c r="I9" s="4">
        <f t="shared" si="1"/>
        <v>19.974783921499998</v>
      </c>
      <c r="J9" s="4">
        <f>(I9*SUM($B$5:$B9)-I8*SUM($B$5:$B8))/$B9</f>
        <v>62.457658378836051</v>
      </c>
      <c r="K9" s="4">
        <f t="shared" si="2"/>
        <v>102.2548446449</v>
      </c>
      <c r="L9" s="4">
        <f>(K9*SUM(B$5:B9)-K8*SUM(B$5:B8))/B9</f>
        <v>334.57797173378708</v>
      </c>
      <c r="M9" s="41">
        <f t="shared" si="7"/>
        <v>-4.2751123578267734E-2</v>
      </c>
      <c r="N9" s="4">
        <v>1.185144843</v>
      </c>
      <c r="O9" s="28">
        <v>4.6543784E-3</v>
      </c>
      <c r="P9" s="26">
        <v>1.8674424999999999E-3</v>
      </c>
      <c r="Q9" s="28">
        <v>1.3574700000000001E-5</v>
      </c>
      <c r="R9" s="4">
        <v>31.489643860000001</v>
      </c>
      <c r="S9" s="28">
        <v>0.2328592343</v>
      </c>
      <c r="T9" s="4">
        <v>11.501139758000001</v>
      </c>
      <c r="U9" s="28">
        <v>8.1181852700000001E-2</v>
      </c>
      <c r="V9" s="4">
        <v>1.2510812152999999</v>
      </c>
      <c r="W9" s="28">
        <v>1.1715813E-2</v>
      </c>
      <c r="X9" s="29" t="s">
        <v>136</v>
      </c>
      <c r="Y9" s="30">
        <v>0</v>
      </c>
      <c r="Z9" s="4">
        <v>5.2461037299999999E-2</v>
      </c>
      <c r="AA9" s="28">
        <v>4.2245660000000002E-4</v>
      </c>
      <c r="AB9" s="29" t="s">
        <v>136</v>
      </c>
      <c r="AC9" s="30">
        <v>0</v>
      </c>
      <c r="AD9" s="29" t="s">
        <v>136</v>
      </c>
      <c r="AE9" s="30">
        <v>0</v>
      </c>
      <c r="AF9" s="4">
        <v>1.9069152E-3</v>
      </c>
      <c r="AG9" s="28">
        <v>2.6145699999999999E-5</v>
      </c>
      <c r="AH9" s="4">
        <v>1.2912974714000001</v>
      </c>
      <c r="AI9" s="28">
        <v>3.4289289100000002E-2</v>
      </c>
      <c r="AJ9" s="29" t="s">
        <v>136</v>
      </c>
      <c r="AK9" s="30">
        <v>0</v>
      </c>
      <c r="AL9" s="4">
        <v>0</v>
      </c>
      <c r="AM9" s="28">
        <v>0</v>
      </c>
      <c r="AN9" s="29" t="s">
        <v>136</v>
      </c>
      <c r="AO9" s="30">
        <v>0</v>
      </c>
      <c r="AP9" s="29" t="s">
        <v>136</v>
      </c>
      <c r="AQ9" s="30">
        <v>0</v>
      </c>
      <c r="AR9" s="4">
        <f t="shared" si="3"/>
        <v>0</v>
      </c>
      <c r="AS9" s="28">
        <f t="shared" si="3"/>
        <v>0</v>
      </c>
      <c r="AT9" s="4">
        <v>12.764311454</v>
      </c>
      <c r="AU9" s="28">
        <v>0.23435708129999999</v>
      </c>
      <c r="AV9" s="29" t="s">
        <v>136</v>
      </c>
      <c r="AW9" s="30">
        <v>0</v>
      </c>
      <c r="AX9" s="29" t="s">
        <v>136</v>
      </c>
      <c r="AY9" s="30">
        <v>0</v>
      </c>
      <c r="AZ9" s="29" t="s">
        <v>136</v>
      </c>
      <c r="BA9" s="30">
        <v>0</v>
      </c>
      <c r="BB9" s="4">
        <v>5.1974427423999998</v>
      </c>
      <c r="BC9" s="28">
        <v>0.28451783479999998</v>
      </c>
      <c r="BD9" s="4">
        <v>2.3296213802999999</v>
      </c>
      <c r="BE9" s="28">
        <v>3.7368206199999997E-2</v>
      </c>
      <c r="BF9" s="4">
        <v>1.2428984818</v>
      </c>
      <c r="BG9" s="28">
        <v>2.3594186100000001E-2</v>
      </c>
      <c r="BH9" s="4">
        <v>0.61557730889999995</v>
      </c>
      <c r="BI9" s="28">
        <v>9.2424657000000007E-3</v>
      </c>
      <c r="BJ9" s="31">
        <f t="shared" si="4"/>
        <v>0.47114558959999986</v>
      </c>
      <c r="BK9" s="30">
        <f t="shared" si="4"/>
        <v>4.5315543999999916E-3</v>
      </c>
      <c r="BL9" s="4">
        <v>0</v>
      </c>
      <c r="BM9" s="30">
        <v>0</v>
      </c>
      <c r="BN9" s="4">
        <v>15.214142603999999</v>
      </c>
      <c r="BO9" s="28">
        <v>0.247348137</v>
      </c>
      <c r="BP9" s="28">
        <v>3.3795699999999999E-5</v>
      </c>
      <c r="BQ9" s="28">
        <v>0</v>
      </c>
      <c r="BR9" s="4">
        <v>14.786122738</v>
      </c>
      <c r="BS9" s="28">
        <v>0.77522050909999995</v>
      </c>
      <c r="BT9" s="4">
        <v>3.9086921110000001</v>
      </c>
      <c r="BU9" s="28">
        <v>3.6215525700000001E-2</v>
      </c>
      <c r="BV9" s="4">
        <v>1.2780287284</v>
      </c>
      <c r="BW9" s="28">
        <v>1.2745253E-2</v>
      </c>
      <c r="BX9" s="4">
        <v>1.9403440999999999E-3</v>
      </c>
      <c r="BY9" s="28">
        <v>3.7930199999999998E-5</v>
      </c>
      <c r="BZ9" s="4">
        <v>0</v>
      </c>
      <c r="CA9" s="33">
        <v>0</v>
      </c>
      <c r="CB9" s="29" t="s">
        <v>136</v>
      </c>
      <c r="CC9" s="30">
        <v>0</v>
      </c>
      <c r="CD9" s="4">
        <v>2.1051447500000001E-2</v>
      </c>
      <c r="CE9" s="28">
        <v>3.6824820000000002E-4</v>
      </c>
      <c r="CF9" s="4">
        <v>1.2300297678000001</v>
      </c>
      <c r="CG9" s="28">
        <v>1.1347564799999999E-2</v>
      </c>
      <c r="CH9" s="29" t="s">
        <v>136</v>
      </c>
      <c r="CI9" s="30">
        <v>0</v>
      </c>
      <c r="CJ9" s="29" t="s">
        <v>136</v>
      </c>
      <c r="CK9" s="30">
        <v>0</v>
      </c>
      <c r="CL9" s="4">
        <v>3.5540787999999999E-3</v>
      </c>
      <c r="CM9" s="28">
        <v>6.3148100000000006E-5</v>
      </c>
      <c r="CN9" s="4">
        <v>4.8906958399999999E-2</v>
      </c>
      <c r="CO9" s="28">
        <v>3.5930849999999998E-4</v>
      </c>
      <c r="CP9" s="29" t="s">
        <v>136</v>
      </c>
      <c r="CQ9" s="30">
        <v>0</v>
      </c>
      <c r="CR9" s="29" t="s">
        <v>136</v>
      </c>
      <c r="CS9" s="30">
        <v>0</v>
      </c>
      <c r="CT9" s="29" t="s">
        <v>136</v>
      </c>
      <c r="CU9" s="30">
        <v>0</v>
      </c>
      <c r="CV9" s="29" t="s">
        <v>136</v>
      </c>
      <c r="CW9" s="30">
        <v>0</v>
      </c>
      <c r="CX9" s="4">
        <v>7.7602970000000004E-4</v>
      </c>
      <c r="CY9" s="28">
        <v>1.1113300000000001E-5</v>
      </c>
      <c r="CZ9" s="4">
        <v>1.1308855E-3</v>
      </c>
      <c r="DA9" s="28">
        <v>1.50324E-5</v>
      </c>
      <c r="DB9" s="4">
        <v>1.5772617400000001E-2</v>
      </c>
      <c r="DC9" s="28">
        <v>2.9802460000000002E-4</v>
      </c>
      <c r="DD9" s="4">
        <v>1.2755248539999999</v>
      </c>
      <c r="DE9" s="28">
        <v>3.39912645E-2</v>
      </c>
      <c r="DF9" s="29" t="s">
        <v>136</v>
      </c>
      <c r="DG9" s="30">
        <v>0</v>
      </c>
      <c r="DH9" s="29" t="s">
        <v>136</v>
      </c>
      <c r="DI9" s="30">
        <v>0</v>
      </c>
      <c r="DJ9" s="4">
        <v>0.83859235109999997</v>
      </c>
      <c r="DK9" s="28">
        <v>2.6802261899999999E-2</v>
      </c>
      <c r="DL9" s="4">
        <v>4.3588503913999999</v>
      </c>
      <c r="DM9" s="28">
        <v>0.25771557290000002</v>
      </c>
      <c r="DN9" s="4">
        <v>0.51952759790000003</v>
      </c>
      <c r="DO9" s="28">
        <v>4.6559802999999997E-2</v>
      </c>
      <c r="DP9" s="4">
        <v>14.694615005999999</v>
      </c>
      <c r="DQ9" s="28">
        <v>0.20078833400000001</v>
      </c>
      <c r="DR9" s="37">
        <v>1.3574700000000001E-5</v>
      </c>
      <c r="DS9" s="38">
        <v>2.6514300000000001E-5</v>
      </c>
      <c r="DT9" s="38">
        <v>3.2525399999999999E-5</v>
      </c>
      <c r="DU9" s="38">
        <v>3.3795699999999999E-5</v>
      </c>
      <c r="DV9" s="38">
        <v>3.3795699999999999E-5</v>
      </c>
      <c r="DW9" s="38">
        <v>3.3795699999999999E-5</v>
      </c>
      <c r="DX9" s="38">
        <v>3.3795699999999999E-5</v>
      </c>
      <c r="DY9" s="38">
        <v>3.3795699999999999E-5</v>
      </c>
      <c r="DZ9" s="38">
        <v>3.3795699999999999E-5</v>
      </c>
      <c r="EA9" s="39">
        <v>3.3795699999999999E-5</v>
      </c>
      <c r="EB9" s="40">
        <v>4.2495846239999997</v>
      </c>
      <c r="EC9" s="30">
        <v>3.8004320600000002E-2</v>
      </c>
      <c r="ED9" s="31">
        <v>0.31738422469999999</v>
      </c>
      <c r="EE9" s="30">
        <v>3.6225035000000002E-3</v>
      </c>
      <c r="EF9" s="31">
        <v>1.63354881E-2</v>
      </c>
      <c r="EG9" s="30">
        <v>3.2049729999999998E-4</v>
      </c>
      <c r="EH9" s="31">
        <v>2.0578191999999999E-3</v>
      </c>
      <c r="EI9" s="30">
        <v>7.3709300000000003E-5</v>
      </c>
      <c r="EJ9" s="31">
        <v>5.3500919999999999E-4</v>
      </c>
      <c r="EK9" s="30">
        <v>2.65232E-5</v>
      </c>
      <c r="EL9" s="31">
        <v>3.7005440000000001E-4</v>
      </c>
      <c r="EM9" s="30">
        <v>1.8344600000000001E-5</v>
      </c>
      <c r="EN9" s="31">
        <v>2.8179209999999998E-4</v>
      </c>
      <c r="EO9" s="30">
        <v>1.39916E-5</v>
      </c>
      <c r="EP9" s="31">
        <v>2.3228149999999999E-4</v>
      </c>
      <c r="EQ9" s="30">
        <v>1.13912E-5</v>
      </c>
      <c r="ER9" s="31">
        <v>1.82771E-4</v>
      </c>
      <c r="ES9" s="30">
        <v>8.7907366000000002E-6</v>
      </c>
      <c r="ET9" s="31">
        <v>1.3912869999999999E-4</v>
      </c>
      <c r="EU9" s="36">
        <v>6.6061839999999999E-6</v>
      </c>
      <c r="EV9" s="31"/>
      <c r="EW9" s="30"/>
      <c r="EX9" s="31"/>
      <c r="EY9" s="30"/>
      <c r="EZ9" s="31"/>
      <c r="FA9" s="30"/>
      <c r="FB9" s="31"/>
      <c r="FC9" s="30"/>
      <c r="FD9" s="31"/>
      <c r="FE9" s="36"/>
    </row>
    <row r="10" spans="1:161" x14ac:dyDescent="0.2">
      <c r="A10" s="12">
        <v>500</v>
      </c>
      <c r="B10" s="2">
        <v>120044</v>
      </c>
      <c r="C10" s="15">
        <f t="shared" si="0"/>
        <v>3.0885849405884017E-2</v>
      </c>
      <c r="D10" s="15">
        <f t="shared" si="5"/>
        <v>0.28692394239944996</v>
      </c>
      <c r="E10" s="15">
        <f t="shared" si="8"/>
        <v>44.648585868308594</v>
      </c>
      <c r="F10" s="26">
        <v>393.57660733</v>
      </c>
      <c r="G10" s="4">
        <v>449.46035351</v>
      </c>
      <c r="H10" s="41">
        <f t="shared" si="6"/>
        <v>0.18614515788135644</v>
      </c>
      <c r="I10" s="4">
        <f t="shared" si="1"/>
        <v>26.830685675200002</v>
      </c>
      <c r="J10" s="4">
        <f>(I10*SUM($B$5:$B10)-I9*SUM($B$5:$B9))/$B10</f>
        <v>83.664868465529224</v>
      </c>
      <c r="K10" s="4">
        <f t="shared" si="2"/>
        <v>137.98008503200001</v>
      </c>
      <c r="L10" s="4">
        <f>(K10*SUM(B$5:B10)-K9*SUM(B$5:B9))/B10</f>
        <v>434.1358520385964</v>
      </c>
      <c r="M10" s="41">
        <f t="shared" si="7"/>
        <v>-3.4095335332090984E-2</v>
      </c>
      <c r="N10" s="4">
        <v>2.1612004389999999</v>
      </c>
      <c r="O10" s="28">
        <v>7.1978881E-3</v>
      </c>
      <c r="P10" s="26">
        <v>3.6999852999999999E-3</v>
      </c>
      <c r="Q10" s="28">
        <v>2.0622400000000001E-5</v>
      </c>
      <c r="R10" s="4">
        <v>41.278062998999999</v>
      </c>
      <c r="S10" s="28">
        <v>0.29580311110000002</v>
      </c>
      <c r="T10" s="4">
        <v>15.256886186999999</v>
      </c>
      <c r="U10" s="28">
        <v>0.1043971803</v>
      </c>
      <c r="V10" s="4">
        <v>1.7601194861</v>
      </c>
      <c r="W10" s="28">
        <v>1.6248077E-2</v>
      </c>
      <c r="X10" s="29" t="s">
        <v>136</v>
      </c>
      <c r="Y10" s="30">
        <v>0</v>
      </c>
      <c r="Z10" s="4">
        <v>8.9740504700000001E-2</v>
      </c>
      <c r="AA10" s="28">
        <v>6.6305029999999998E-4</v>
      </c>
      <c r="AB10" s="29" t="s">
        <v>136</v>
      </c>
      <c r="AC10" s="30">
        <v>0</v>
      </c>
      <c r="AD10" s="29" t="s">
        <v>136</v>
      </c>
      <c r="AE10" s="30">
        <v>0</v>
      </c>
      <c r="AF10" s="4">
        <v>3.204489E-3</v>
      </c>
      <c r="AG10" s="28">
        <v>8.1423500000000004E-5</v>
      </c>
      <c r="AH10" s="4">
        <v>1.8798211878</v>
      </c>
      <c r="AI10" s="28">
        <v>4.88477628E-2</v>
      </c>
      <c r="AJ10" s="29" t="s">
        <v>136</v>
      </c>
      <c r="AK10" s="30">
        <v>0</v>
      </c>
      <c r="AL10" s="4">
        <v>0</v>
      </c>
      <c r="AM10" s="28">
        <v>0</v>
      </c>
      <c r="AN10" s="29" t="s">
        <v>136</v>
      </c>
      <c r="AO10" s="30">
        <v>0</v>
      </c>
      <c r="AP10" s="29" t="s">
        <v>136</v>
      </c>
      <c r="AQ10" s="30">
        <v>0</v>
      </c>
      <c r="AR10" s="4">
        <f t="shared" si="3"/>
        <v>0</v>
      </c>
      <c r="AS10" s="28">
        <f t="shared" si="3"/>
        <v>0</v>
      </c>
      <c r="AT10" s="4">
        <v>17.498003830999998</v>
      </c>
      <c r="AU10" s="28">
        <v>0.31861705559999998</v>
      </c>
      <c r="AV10" s="29" t="s">
        <v>136</v>
      </c>
      <c r="AW10" s="30">
        <v>0</v>
      </c>
      <c r="AX10" s="29" t="s">
        <v>136</v>
      </c>
      <c r="AY10" s="30">
        <v>0</v>
      </c>
      <c r="AZ10" s="29" t="s">
        <v>136</v>
      </c>
      <c r="BA10" s="30">
        <v>0</v>
      </c>
      <c r="BB10" s="4">
        <v>7.6731454068999998</v>
      </c>
      <c r="BC10" s="28">
        <v>0.39835407519999999</v>
      </c>
      <c r="BD10" s="4">
        <v>3.5364812900000002</v>
      </c>
      <c r="BE10" s="28">
        <v>5.2740607000000002E-2</v>
      </c>
      <c r="BF10" s="4">
        <v>1.8109221714999999</v>
      </c>
      <c r="BG10" s="28">
        <v>3.2669051800000001E-2</v>
      </c>
      <c r="BH10" s="4">
        <v>0.89805192759999997</v>
      </c>
      <c r="BI10" s="28">
        <v>1.29792031E-2</v>
      </c>
      <c r="BJ10" s="31">
        <f t="shared" si="4"/>
        <v>0.82750719090000047</v>
      </c>
      <c r="BK10" s="30">
        <f t="shared" si="4"/>
        <v>7.0923520999999976E-3</v>
      </c>
      <c r="BL10" s="4">
        <v>0</v>
      </c>
      <c r="BM10" s="30">
        <v>0</v>
      </c>
      <c r="BN10" s="4">
        <v>20.009033551000002</v>
      </c>
      <c r="BO10" s="28">
        <v>0.31872111469999997</v>
      </c>
      <c r="BP10" s="28">
        <v>4.8472600000000001E-5</v>
      </c>
      <c r="BQ10" s="28">
        <v>0</v>
      </c>
      <c r="BR10" s="4">
        <v>19.100598151</v>
      </c>
      <c r="BS10" s="28">
        <v>0.95471668970000001</v>
      </c>
      <c r="BT10" s="4">
        <v>5.8569381988</v>
      </c>
      <c r="BU10" s="28">
        <v>5.1517040299999997E-2</v>
      </c>
      <c r="BV10" s="4">
        <v>1.8692335769999999</v>
      </c>
      <c r="BW10" s="28">
        <v>1.68608783E-2</v>
      </c>
      <c r="BX10" s="4">
        <v>3.9157484000000003E-3</v>
      </c>
      <c r="BY10" s="28">
        <v>6.8416000000000004E-5</v>
      </c>
      <c r="BZ10" s="4">
        <v>0</v>
      </c>
      <c r="CA10" s="33">
        <v>0</v>
      </c>
      <c r="CB10" s="29" t="s">
        <v>136</v>
      </c>
      <c r="CC10" s="30">
        <v>0</v>
      </c>
      <c r="CD10" s="4">
        <v>3.10782668E-2</v>
      </c>
      <c r="CE10" s="28">
        <v>5.2592649999999997E-4</v>
      </c>
      <c r="CF10" s="4">
        <v>1.7290412193</v>
      </c>
      <c r="CG10" s="28">
        <v>1.57221505E-2</v>
      </c>
      <c r="CH10" s="29" t="s">
        <v>136</v>
      </c>
      <c r="CI10" s="30">
        <v>0</v>
      </c>
      <c r="CJ10" s="29" t="s">
        <v>136</v>
      </c>
      <c r="CK10" s="30">
        <v>0</v>
      </c>
      <c r="CL10" s="4">
        <v>6.9494654999999999E-3</v>
      </c>
      <c r="CM10" s="28">
        <v>9.4545300000000004E-5</v>
      </c>
      <c r="CN10" s="4">
        <v>8.2791039199999999E-2</v>
      </c>
      <c r="CO10" s="28">
        <v>5.685051E-4</v>
      </c>
      <c r="CP10" s="29" t="s">
        <v>136</v>
      </c>
      <c r="CQ10" s="30">
        <v>0</v>
      </c>
      <c r="CR10" s="29" t="s">
        <v>136</v>
      </c>
      <c r="CS10" s="30">
        <v>0</v>
      </c>
      <c r="CT10" s="29" t="s">
        <v>136</v>
      </c>
      <c r="CU10" s="30">
        <v>0</v>
      </c>
      <c r="CV10" s="29" t="s">
        <v>136</v>
      </c>
      <c r="CW10" s="30">
        <v>0</v>
      </c>
      <c r="CX10" s="4">
        <v>9.9645820000000005E-4</v>
      </c>
      <c r="CY10" s="28">
        <v>5.2465800000000002E-5</v>
      </c>
      <c r="CZ10" s="4">
        <v>2.2080308E-3</v>
      </c>
      <c r="DA10" s="28">
        <v>2.8957699999999999E-5</v>
      </c>
      <c r="DB10" s="4">
        <v>2.9521401799999999E-2</v>
      </c>
      <c r="DC10" s="28">
        <v>5.1512810000000004E-4</v>
      </c>
      <c r="DD10" s="4">
        <v>1.8502997860999999</v>
      </c>
      <c r="DE10" s="28">
        <v>4.8332634700000002E-2</v>
      </c>
      <c r="DF10" s="29" t="s">
        <v>136</v>
      </c>
      <c r="DG10" s="30">
        <v>0</v>
      </c>
      <c r="DH10" s="29" t="s">
        <v>136</v>
      </c>
      <c r="DI10" s="30">
        <v>0</v>
      </c>
      <c r="DJ10" s="4">
        <v>1.3344839310000001</v>
      </c>
      <c r="DK10" s="28">
        <v>4.0294023399999997E-2</v>
      </c>
      <c r="DL10" s="4">
        <v>6.3386614759000004</v>
      </c>
      <c r="DM10" s="28">
        <v>0.3580600518</v>
      </c>
      <c r="DN10" s="4">
        <v>0.77752180309999996</v>
      </c>
      <c r="DO10" s="28">
        <v>6.7244191699999997E-2</v>
      </c>
      <c r="DP10" s="4">
        <v>19.231511747999999</v>
      </c>
      <c r="DQ10" s="28">
        <v>0.25147692300000002</v>
      </c>
      <c r="DR10" s="37">
        <v>2.0622400000000001E-5</v>
      </c>
      <c r="DS10" s="38">
        <v>3.9653300000000002E-5</v>
      </c>
      <c r="DT10" s="38">
        <v>4.7411499999999998E-5</v>
      </c>
      <c r="DU10" s="38">
        <v>4.8472600000000001E-5</v>
      </c>
      <c r="DV10" s="38">
        <v>4.8472600000000001E-5</v>
      </c>
      <c r="DW10" s="38">
        <v>4.8472600000000001E-5</v>
      </c>
      <c r="DX10" s="38">
        <v>4.8472600000000001E-5</v>
      </c>
      <c r="DY10" s="38">
        <v>4.8472600000000001E-5</v>
      </c>
      <c r="DZ10" s="38">
        <v>4.8472600000000001E-5</v>
      </c>
      <c r="EA10" s="39">
        <v>4.8472600000000001E-5</v>
      </c>
      <c r="EB10" s="40">
        <v>7.5744069816000001</v>
      </c>
      <c r="EC10" s="30">
        <v>6.3539643699999995E-2</v>
      </c>
      <c r="ED10" s="31">
        <v>0.94876025779999995</v>
      </c>
      <c r="EE10" s="30">
        <v>9.3816387000000001E-3</v>
      </c>
      <c r="EF10" s="31">
        <v>8.5437389899999994E-2</v>
      </c>
      <c r="EG10" s="30">
        <v>1.0880778000000001E-3</v>
      </c>
      <c r="EH10" s="31">
        <v>7.3724931000000004E-3</v>
      </c>
      <c r="EI10" s="30">
        <v>1.623319E-4</v>
      </c>
      <c r="EJ10" s="31">
        <v>1.3759885E-3</v>
      </c>
      <c r="EK10" s="30">
        <v>5.4484500000000003E-5</v>
      </c>
      <c r="EL10" s="31">
        <v>9.1466539999999997E-4</v>
      </c>
      <c r="EM10" s="30">
        <v>3.7793500000000003E-5</v>
      </c>
      <c r="EN10" s="31">
        <v>6.5129789999999999E-4</v>
      </c>
      <c r="EO10" s="30">
        <v>2.7453E-5</v>
      </c>
      <c r="EP10" s="31">
        <v>4.6491529999999998E-4</v>
      </c>
      <c r="EQ10" s="30">
        <v>1.9947599999999999E-5</v>
      </c>
      <c r="ER10" s="31">
        <v>3.1313400000000001E-4</v>
      </c>
      <c r="ES10" s="30">
        <v>1.37596E-5</v>
      </c>
      <c r="ET10" s="31">
        <v>1.9324629999999999E-4</v>
      </c>
      <c r="EU10" s="36">
        <v>8.9021474000000007E-6</v>
      </c>
      <c r="EV10" s="31"/>
      <c r="EW10" s="30"/>
      <c r="EX10" s="31"/>
      <c r="EY10" s="30"/>
      <c r="EZ10" s="31"/>
      <c r="FA10" s="30"/>
      <c r="FB10" s="31"/>
      <c r="FC10" s="30"/>
      <c r="FD10" s="31"/>
      <c r="FE10" s="36"/>
    </row>
    <row r="11" spans="1:161" x14ac:dyDescent="0.2">
      <c r="A11" s="12">
        <v>600</v>
      </c>
      <c r="B11" s="2">
        <v>111339</v>
      </c>
      <c r="C11" s="15">
        <f t="shared" si="0"/>
        <v>2.864615963314885E-2</v>
      </c>
      <c r="D11" s="15">
        <f t="shared" si="5"/>
        <v>0.31557010203259883</v>
      </c>
      <c r="E11" s="15">
        <f t="shared" si="8"/>
        <v>59.799549826079087</v>
      </c>
      <c r="F11" s="26">
        <v>463.6052904</v>
      </c>
      <c r="G11" s="4">
        <v>549.31201269999997</v>
      </c>
      <c r="H11" s="41">
        <f t="shared" si="6"/>
        <v>0.1962564298411503</v>
      </c>
      <c r="I11" s="4">
        <f t="shared" si="1"/>
        <v>34.181293924800002</v>
      </c>
      <c r="J11" s="4">
        <f>(I11*SUM($B$5:$B11)-I10*SUM($B$5:$B10))/$B11</f>
        <v>107.8060144813586</v>
      </c>
      <c r="K11" s="4">
        <f t="shared" si="2"/>
        <v>174.06469436259999</v>
      </c>
      <c r="L11" s="4">
        <f>(K11*SUM(B$5:B11)-K10*SUM(B$5:B10))/B11</f>
        <v>535.49318954904675</v>
      </c>
      <c r="M11" s="41">
        <f t="shared" si="7"/>
        <v>-2.5156601041783886E-2</v>
      </c>
      <c r="N11" s="4">
        <v>3.4281615409000001</v>
      </c>
      <c r="O11" s="28">
        <v>1.00657566E-2</v>
      </c>
      <c r="P11" s="26">
        <v>6.0783835999999999E-3</v>
      </c>
      <c r="Q11" s="28">
        <v>2.6377399999999999E-5</v>
      </c>
      <c r="R11" s="4">
        <v>50.503198503</v>
      </c>
      <c r="S11" s="28">
        <v>0.3542741888</v>
      </c>
      <c r="T11" s="4">
        <v>18.891498596999998</v>
      </c>
      <c r="U11" s="28">
        <v>0.1266706712</v>
      </c>
      <c r="V11" s="4">
        <v>2.3231712578999999</v>
      </c>
      <c r="W11" s="28">
        <v>2.1203294500000001E-2</v>
      </c>
      <c r="X11" s="29" t="s">
        <v>136</v>
      </c>
      <c r="Y11" s="30">
        <v>0</v>
      </c>
      <c r="Z11" s="4">
        <v>0.13455297869999999</v>
      </c>
      <c r="AA11" s="28">
        <v>8.9540639999999999E-4</v>
      </c>
      <c r="AB11" s="29" t="s">
        <v>136</v>
      </c>
      <c r="AC11" s="30">
        <v>0</v>
      </c>
      <c r="AD11" s="29" t="s">
        <v>136</v>
      </c>
      <c r="AE11" s="30">
        <v>0</v>
      </c>
      <c r="AF11" s="4">
        <v>5.7832678000000002E-3</v>
      </c>
      <c r="AG11" s="28">
        <v>1.040309E-4</v>
      </c>
      <c r="AH11" s="4">
        <v>2.5175270502</v>
      </c>
      <c r="AI11" s="28">
        <v>6.4576814100000005E-2</v>
      </c>
      <c r="AJ11" s="29" t="s">
        <v>136</v>
      </c>
      <c r="AK11" s="30">
        <v>0</v>
      </c>
      <c r="AL11" s="4">
        <v>0</v>
      </c>
      <c r="AM11" s="28">
        <v>0</v>
      </c>
      <c r="AN11" s="29" t="s">
        <v>136</v>
      </c>
      <c r="AO11" s="30">
        <v>0</v>
      </c>
      <c r="AP11" s="29" t="s">
        <v>136</v>
      </c>
      <c r="AQ11" s="30">
        <v>0</v>
      </c>
      <c r="AR11" s="4">
        <f t="shared" si="3"/>
        <v>0</v>
      </c>
      <c r="AS11" s="28">
        <f t="shared" si="3"/>
        <v>0</v>
      </c>
      <c r="AT11" s="4">
        <v>22.294947960999998</v>
      </c>
      <c r="AU11" s="28">
        <v>0.40171354860000003</v>
      </c>
      <c r="AV11" s="29" t="s">
        <v>136</v>
      </c>
      <c r="AW11" s="30">
        <v>0</v>
      </c>
      <c r="AX11" s="29" t="s">
        <v>136</v>
      </c>
      <c r="AY11" s="30">
        <v>0</v>
      </c>
      <c r="AZ11" s="29" t="s">
        <v>136</v>
      </c>
      <c r="BA11" s="30">
        <v>0</v>
      </c>
      <c r="BB11" s="4">
        <v>10.252969916</v>
      </c>
      <c r="BC11" s="28">
        <v>0.51049085029999997</v>
      </c>
      <c r="BD11" s="4">
        <v>4.8731629676999999</v>
      </c>
      <c r="BE11" s="28">
        <v>6.8539528700000005E-2</v>
      </c>
      <c r="BF11" s="4">
        <v>2.4326245312000001</v>
      </c>
      <c r="BG11" s="28">
        <v>4.2037899500000003E-2</v>
      </c>
      <c r="BH11" s="4">
        <v>1.1903017767999999</v>
      </c>
      <c r="BI11" s="28">
        <v>1.65598806E-2</v>
      </c>
      <c r="BJ11" s="31">
        <f t="shared" si="4"/>
        <v>1.2502366596999996</v>
      </c>
      <c r="BK11" s="30">
        <f t="shared" si="4"/>
        <v>9.9417486000000013E-3</v>
      </c>
      <c r="BL11" s="4">
        <v>0</v>
      </c>
      <c r="BM11" s="30">
        <v>0</v>
      </c>
      <c r="BN11" s="4">
        <v>24.652348014000001</v>
      </c>
      <c r="BO11" s="28">
        <v>0.38823581460000001</v>
      </c>
      <c r="BP11" s="28">
        <v>5.8453599999999999E-5</v>
      </c>
      <c r="BQ11" s="28">
        <v>0</v>
      </c>
      <c r="BR11" s="4">
        <v>23.604796767</v>
      </c>
      <c r="BS11" s="28">
        <v>1.1349660480999999</v>
      </c>
      <c r="BT11" s="4">
        <v>8.0546536154999995</v>
      </c>
      <c r="BU11" s="28">
        <v>6.8496335699999994E-2</v>
      </c>
      <c r="BV11" s="4">
        <v>2.5158964071000001</v>
      </c>
      <c r="BW11" s="28">
        <v>2.1139101099999998E-2</v>
      </c>
      <c r="BX11" s="4">
        <v>5.9471352000000002E-3</v>
      </c>
      <c r="BY11" s="28">
        <v>8.27503E-5</v>
      </c>
      <c r="BZ11" s="4">
        <v>0</v>
      </c>
      <c r="CA11" s="33">
        <v>0</v>
      </c>
      <c r="CB11" s="29" t="s">
        <v>136</v>
      </c>
      <c r="CC11" s="30">
        <v>0</v>
      </c>
      <c r="CD11" s="4">
        <v>4.0487913100000002E-2</v>
      </c>
      <c r="CE11" s="28">
        <v>6.6887100000000003E-4</v>
      </c>
      <c r="CF11" s="4">
        <v>2.2826833448000001</v>
      </c>
      <c r="CG11" s="28">
        <v>2.0534423499999999E-2</v>
      </c>
      <c r="CH11" s="29" t="s">
        <v>136</v>
      </c>
      <c r="CI11" s="30">
        <v>0</v>
      </c>
      <c r="CJ11" s="29" t="s">
        <v>136</v>
      </c>
      <c r="CK11" s="30">
        <v>0</v>
      </c>
      <c r="CL11" s="4">
        <v>1.0653056500000001E-2</v>
      </c>
      <c r="CM11" s="28">
        <v>1.270674E-4</v>
      </c>
      <c r="CN11" s="4">
        <v>0.12389992230000001</v>
      </c>
      <c r="CO11" s="28">
        <v>7.6833890000000001E-4</v>
      </c>
      <c r="CP11" s="29" t="s">
        <v>136</v>
      </c>
      <c r="CQ11" s="30">
        <v>0</v>
      </c>
      <c r="CR11" s="29" t="s">
        <v>136</v>
      </c>
      <c r="CS11" s="30">
        <v>0</v>
      </c>
      <c r="CT11" s="29" t="s">
        <v>136</v>
      </c>
      <c r="CU11" s="30">
        <v>0</v>
      </c>
      <c r="CV11" s="29" t="s">
        <v>136</v>
      </c>
      <c r="CW11" s="30">
        <v>0</v>
      </c>
      <c r="CX11" s="4">
        <v>1.6015157E-3</v>
      </c>
      <c r="CY11" s="28">
        <v>5.6828099999999999E-5</v>
      </c>
      <c r="CZ11" s="4">
        <v>4.1817521E-3</v>
      </c>
      <c r="DA11" s="28">
        <v>4.7202800000000001E-5</v>
      </c>
      <c r="DB11" s="4">
        <v>5.0553431900000001E-2</v>
      </c>
      <c r="DC11" s="28">
        <v>8.5554749999999997E-4</v>
      </c>
      <c r="DD11" s="4">
        <v>2.4669736182999999</v>
      </c>
      <c r="DE11" s="28">
        <v>6.3721266600000007E-2</v>
      </c>
      <c r="DF11" s="29" t="s">
        <v>136</v>
      </c>
      <c r="DG11" s="30">
        <v>0</v>
      </c>
      <c r="DH11" s="29" t="s">
        <v>136</v>
      </c>
      <c r="DI11" s="30">
        <v>0</v>
      </c>
      <c r="DJ11" s="4">
        <v>1.9205749528</v>
      </c>
      <c r="DK11" s="28">
        <v>5.5010102900000003E-2</v>
      </c>
      <c r="DL11" s="4">
        <v>8.3323949632000005</v>
      </c>
      <c r="DM11" s="28">
        <v>0.4554807474</v>
      </c>
      <c r="DN11" s="4">
        <v>1.0489338269999999</v>
      </c>
      <c r="DO11" s="28">
        <v>8.8444713600000002E-2</v>
      </c>
      <c r="DP11" s="4">
        <v>23.603414186999998</v>
      </c>
      <c r="DQ11" s="28">
        <v>0.299791101</v>
      </c>
      <c r="DR11" s="37">
        <v>2.6377399999999999E-5</v>
      </c>
      <c r="DS11" s="38">
        <v>4.8560799999999998E-5</v>
      </c>
      <c r="DT11" s="38">
        <v>5.6634200000000001E-5</v>
      </c>
      <c r="DU11" s="38">
        <v>5.7998799999999998E-5</v>
      </c>
      <c r="DV11" s="38">
        <v>5.8453599999999999E-5</v>
      </c>
      <c r="DW11" s="38">
        <v>5.8453599999999999E-5</v>
      </c>
      <c r="DX11" s="38">
        <v>5.8453599999999999E-5</v>
      </c>
      <c r="DY11" s="38">
        <v>5.8453599999999999E-5</v>
      </c>
      <c r="DZ11" s="38">
        <v>5.8453599999999999E-5</v>
      </c>
      <c r="EA11" s="39">
        <v>5.8453599999999999E-5</v>
      </c>
      <c r="EB11" s="40">
        <v>11.2944023</v>
      </c>
      <c r="EC11" s="30">
        <v>9.0976098500000005E-2</v>
      </c>
      <c r="ED11" s="31">
        <v>1.9357056139</v>
      </c>
      <c r="EE11" s="30">
        <v>1.7757005499999999E-2</v>
      </c>
      <c r="EF11" s="31">
        <v>0.25571038060000001</v>
      </c>
      <c r="EG11" s="30">
        <v>2.7930618000000002E-3</v>
      </c>
      <c r="EH11" s="31">
        <v>2.9476300800000001E-2</v>
      </c>
      <c r="EI11" s="30">
        <v>4.4953469999999999E-4</v>
      </c>
      <c r="EJ11" s="31">
        <v>5.3028134999999997E-3</v>
      </c>
      <c r="EK11" s="30">
        <v>1.3723970000000001E-4</v>
      </c>
      <c r="EL11" s="31">
        <v>2.2715706999999999E-3</v>
      </c>
      <c r="EM11" s="30">
        <v>8.1648299999999995E-5</v>
      </c>
      <c r="EN11" s="31">
        <v>1.4519659E-3</v>
      </c>
      <c r="EO11" s="30">
        <v>5.7550699999999998E-5</v>
      </c>
      <c r="EP11" s="31">
        <v>1.0365896999999999E-3</v>
      </c>
      <c r="EQ11" s="30">
        <v>4.2328900000000001E-5</v>
      </c>
      <c r="ER11" s="31">
        <v>7.1870009999999999E-4</v>
      </c>
      <c r="ES11" s="30">
        <v>3.0685500000000003E-5</v>
      </c>
      <c r="ET11" s="31">
        <v>4.4970969999999998E-4</v>
      </c>
      <c r="EU11" s="36">
        <v>2.1007899999999999E-5</v>
      </c>
      <c r="EV11" s="31"/>
      <c r="EW11" s="30"/>
      <c r="EX11" s="31"/>
      <c r="EY11" s="30"/>
      <c r="EZ11" s="31"/>
      <c r="FA11" s="30"/>
      <c r="FB11" s="31"/>
      <c r="FC11" s="30"/>
      <c r="FD11" s="31"/>
      <c r="FE11" s="36"/>
    </row>
    <row r="12" spans="1:161" x14ac:dyDescent="0.2">
      <c r="A12" s="12">
        <v>700</v>
      </c>
      <c r="B12" s="2">
        <v>102732</v>
      </c>
      <c r="C12" s="15">
        <f t="shared" si="0"/>
        <v>2.6431684058889047E-2</v>
      </c>
      <c r="D12" s="15">
        <f t="shared" si="5"/>
        <v>0.3420017860914879</v>
      </c>
      <c r="E12" s="15">
        <f t="shared" si="8"/>
        <v>75.81920447100174</v>
      </c>
      <c r="F12" s="26">
        <v>531.25476775000004</v>
      </c>
      <c r="G12" s="4">
        <v>649.39123333999999</v>
      </c>
      <c r="H12" s="41">
        <f t="shared" si="6"/>
        <v>0.20863198095677324</v>
      </c>
      <c r="I12" s="4">
        <f t="shared" si="1"/>
        <v>42.010479034599996</v>
      </c>
      <c r="J12" s="4">
        <f>(I12*SUM($B$5:$B12)-I11*SUM($B$5:$B11))/$B12</f>
        <v>135.48377942768636</v>
      </c>
      <c r="K12" s="4">
        <f t="shared" si="2"/>
        <v>209.99150106650004</v>
      </c>
      <c r="L12" s="4">
        <f>(K12*SUM(B$5:B12)-K11*SUM(B$5:B11))/B12</f>
        <v>638.92467202888497</v>
      </c>
      <c r="M12" s="41">
        <f t="shared" si="7"/>
        <v>-1.6117497086128765E-2</v>
      </c>
      <c r="N12" s="4">
        <v>4.9310862629000001</v>
      </c>
      <c r="O12" s="28">
        <v>1.30683919E-2</v>
      </c>
      <c r="P12" s="26">
        <v>9.4070308000000005E-3</v>
      </c>
      <c r="Q12" s="28">
        <v>3.3173799999999997E-5</v>
      </c>
      <c r="R12" s="4">
        <v>58.976636649</v>
      </c>
      <c r="S12" s="28">
        <v>0.40775822070000001</v>
      </c>
      <c r="T12" s="4">
        <v>22.362932135000001</v>
      </c>
      <c r="U12" s="28">
        <v>0.14764402560000001</v>
      </c>
      <c r="V12" s="4">
        <v>2.8807796496</v>
      </c>
      <c r="W12" s="28">
        <v>2.61221474E-2</v>
      </c>
      <c r="X12" s="29" t="s">
        <v>136</v>
      </c>
      <c r="Y12" s="30">
        <v>0</v>
      </c>
      <c r="Z12" s="4">
        <v>0.20424442570000001</v>
      </c>
      <c r="AA12" s="28">
        <v>1.1810799999999999E-3</v>
      </c>
      <c r="AB12" s="29" t="s">
        <v>136</v>
      </c>
      <c r="AC12" s="30">
        <v>0</v>
      </c>
      <c r="AD12" s="29" t="s">
        <v>136</v>
      </c>
      <c r="AE12" s="30">
        <v>0</v>
      </c>
      <c r="AF12" s="4">
        <v>9.3427769000000004E-3</v>
      </c>
      <c r="AG12" s="28">
        <v>1.4461089999999999E-4</v>
      </c>
      <c r="AH12" s="4">
        <v>3.1788399943000001</v>
      </c>
      <c r="AI12" s="28">
        <v>8.0880455000000004E-2</v>
      </c>
      <c r="AJ12" s="29" t="s">
        <v>136</v>
      </c>
      <c r="AK12" s="30">
        <v>0</v>
      </c>
      <c r="AL12" s="4">
        <v>0</v>
      </c>
      <c r="AM12" s="28">
        <v>0</v>
      </c>
      <c r="AN12" s="29" t="s">
        <v>136</v>
      </c>
      <c r="AO12" s="30">
        <v>0</v>
      </c>
      <c r="AP12" s="29" t="s">
        <v>136</v>
      </c>
      <c r="AQ12" s="30">
        <v>0</v>
      </c>
      <c r="AR12" s="4">
        <f t="shared" si="3"/>
        <v>0</v>
      </c>
      <c r="AS12" s="28">
        <f t="shared" si="3"/>
        <v>0</v>
      </c>
      <c r="AT12" s="4">
        <v>27.099212534999999</v>
      </c>
      <c r="AU12" s="28">
        <v>0.48127058369999998</v>
      </c>
      <c r="AV12" s="29" t="s">
        <v>136</v>
      </c>
      <c r="AW12" s="30">
        <v>0</v>
      </c>
      <c r="AX12" s="29" t="s">
        <v>136</v>
      </c>
      <c r="AY12" s="30">
        <v>0</v>
      </c>
      <c r="AZ12" s="29" t="s">
        <v>136</v>
      </c>
      <c r="BA12" s="30">
        <v>0</v>
      </c>
      <c r="BB12" s="4">
        <v>12.854369127</v>
      </c>
      <c r="BC12" s="28">
        <v>0.61720763489999997</v>
      </c>
      <c r="BD12" s="4">
        <v>6.3054597046999996</v>
      </c>
      <c r="BE12" s="28">
        <v>8.4181659300000003E-2</v>
      </c>
      <c r="BF12" s="4">
        <v>3.0806814483</v>
      </c>
      <c r="BG12" s="28">
        <v>5.1094733000000003E-2</v>
      </c>
      <c r="BH12" s="4">
        <v>1.5048992406999999</v>
      </c>
      <c r="BI12" s="28">
        <v>2.0193723199999999E-2</v>
      </c>
      <c r="BJ12" s="31">
        <f t="shared" si="4"/>
        <v>1.7198790156999992</v>
      </c>
      <c r="BK12" s="30">
        <f t="shared" si="4"/>
        <v>1.28932031E-2</v>
      </c>
      <c r="BL12" s="4">
        <v>0</v>
      </c>
      <c r="BM12" s="30">
        <v>0</v>
      </c>
      <c r="BN12" s="4">
        <v>29.168711740999999</v>
      </c>
      <c r="BO12" s="28">
        <v>0.45457452170000001</v>
      </c>
      <c r="BP12" s="28">
        <v>7.1139700000000006E-5</v>
      </c>
      <c r="BQ12" s="28">
        <v>0</v>
      </c>
      <c r="BR12" s="4">
        <v>28.221548215999999</v>
      </c>
      <c r="BS12" s="28">
        <v>1.3118961577999999</v>
      </c>
      <c r="BT12" s="4">
        <v>10.533744581000001</v>
      </c>
      <c r="BU12" s="28">
        <v>8.7447690800000005E-2</v>
      </c>
      <c r="BV12" s="4">
        <v>3.2468886887999999</v>
      </c>
      <c r="BW12" s="28">
        <v>2.5687800699999999E-2</v>
      </c>
      <c r="BX12" s="4">
        <v>8.2975488000000003E-3</v>
      </c>
      <c r="BY12" s="28">
        <v>1.2008899999999999E-4</v>
      </c>
      <c r="BZ12" s="4">
        <v>0</v>
      </c>
      <c r="CA12" s="33">
        <v>0</v>
      </c>
      <c r="CB12" s="29" t="s">
        <v>136</v>
      </c>
      <c r="CC12" s="30">
        <v>0</v>
      </c>
      <c r="CD12" s="4">
        <v>5.3159019100000003E-2</v>
      </c>
      <c r="CE12" s="28">
        <v>9.2485699999999996E-4</v>
      </c>
      <c r="CF12" s="4">
        <v>2.8276206305999998</v>
      </c>
      <c r="CG12" s="28">
        <v>2.5197290399999999E-2</v>
      </c>
      <c r="CH12" s="29" t="s">
        <v>136</v>
      </c>
      <c r="CI12" s="30">
        <v>0</v>
      </c>
      <c r="CJ12" s="29" t="s">
        <v>136</v>
      </c>
      <c r="CK12" s="30">
        <v>0</v>
      </c>
      <c r="CL12" s="4">
        <v>2.3649565099999999E-2</v>
      </c>
      <c r="CM12" s="28">
        <v>1.712916E-4</v>
      </c>
      <c r="CN12" s="4">
        <v>0.1805948607</v>
      </c>
      <c r="CO12" s="28">
        <v>1.0097883000000001E-3</v>
      </c>
      <c r="CP12" s="29" t="s">
        <v>136</v>
      </c>
      <c r="CQ12" s="30">
        <v>0</v>
      </c>
      <c r="CR12" s="29" t="s">
        <v>136</v>
      </c>
      <c r="CS12" s="30">
        <v>0</v>
      </c>
      <c r="CT12" s="29" t="s">
        <v>136</v>
      </c>
      <c r="CU12" s="30">
        <v>0</v>
      </c>
      <c r="CV12" s="29" t="s">
        <v>136</v>
      </c>
      <c r="CW12" s="30">
        <v>0</v>
      </c>
      <c r="CX12" s="4">
        <v>2.9072415999999998E-3</v>
      </c>
      <c r="CY12" s="28">
        <v>7.1440100000000001E-5</v>
      </c>
      <c r="CZ12" s="4">
        <v>6.4355352999999997E-3</v>
      </c>
      <c r="DA12" s="28">
        <v>7.3170799999999994E-5</v>
      </c>
      <c r="DB12" s="4">
        <v>7.5216565999999999E-2</v>
      </c>
      <c r="DC12" s="28">
        <v>1.2012863000000001E-3</v>
      </c>
      <c r="DD12" s="4">
        <v>3.1036234282000001</v>
      </c>
      <c r="DE12" s="28">
        <v>7.9679168699999997E-2</v>
      </c>
      <c r="DF12" s="29" t="s">
        <v>136</v>
      </c>
      <c r="DG12" s="30">
        <v>0</v>
      </c>
      <c r="DH12" s="29" t="s">
        <v>136</v>
      </c>
      <c r="DI12" s="30">
        <v>0</v>
      </c>
      <c r="DJ12" s="4">
        <v>2.5576491199000002</v>
      </c>
      <c r="DK12" s="28">
        <v>6.9556517100000007E-2</v>
      </c>
      <c r="DL12" s="4">
        <v>10.296720006999999</v>
      </c>
      <c r="DM12" s="28">
        <v>0.54765111779999998</v>
      </c>
      <c r="DN12" s="4">
        <v>1.3231360540999999</v>
      </c>
      <c r="DO12" s="28">
        <v>0.10932759240000001</v>
      </c>
      <c r="DP12" s="4">
        <v>27.845575687</v>
      </c>
      <c r="DQ12" s="28">
        <v>0.34524692930000001</v>
      </c>
      <c r="DR12" s="37">
        <v>3.2774100000000002E-5</v>
      </c>
      <c r="DS12" s="38">
        <v>5.7546700000000002E-5</v>
      </c>
      <c r="DT12" s="38">
        <v>6.7542500000000006E-5</v>
      </c>
      <c r="DU12" s="38">
        <v>6.9940599999999999E-5</v>
      </c>
      <c r="DV12" s="38">
        <v>7.0740000000000004E-5</v>
      </c>
      <c r="DW12" s="38">
        <v>7.1139700000000006E-5</v>
      </c>
      <c r="DX12" s="38">
        <v>7.1139700000000006E-5</v>
      </c>
      <c r="DY12" s="38">
        <v>7.1139700000000006E-5</v>
      </c>
      <c r="DZ12" s="38">
        <v>7.1139700000000006E-5</v>
      </c>
      <c r="EA12" s="39">
        <v>7.1139700000000006E-5</v>
      </c>
      <c r="EB12" s="40">
        <v>15.163667469</v>
      </c>
      <c r="EC12" s="30">
        <v>0.11850014389999999</v>
      </c>
      <c r="ED12" s="31">
        <v>3.1806393749000001</v>
      </c>
      <c r="EE12" s="30">
        <v>2.7717842900000001E-2</v>
      </c>
      <c r="EF12" s="31">
        <v>0.53799612249999995</v>
      </c>
      <c r="EG12" s="30">
        <v>5.3564913000000002E-3</v>
      </c>
      <c r="EH12" s="31">
        <v>7.55855426E-2</v>
      </c>
      <c r="EI12" s="30">
        <v>9.5226190000000002E-4</v>
      </c>
      <c r="EJ12" s="31">
        <v>1.2792203E-2</v>
      </c>
      <c r="EK12" s="30">
        <v>2.5544899999999999E-4</v>
      </c>
      <c r="EL12" s="31">
        <v>4.1544635999999999E-3</v>
      </c>
      <c r="EM12" s="30">
        <v>1.332738E-4</v>
      </c>
      <c r="EN12" s="31">
        <v>2.491779E-3</v>
      </c>
      <c r="EO12" s="30">
        <v>9.2921499999999995E-5</v>
      </c>
      <c r="EP12" s="31">
        <v>1.7507136000000001E-3</v>
      </c>
      <c r="EQ12" s="30">
        <v>6.8289100000000003E-5</v>
      </c>
      <c r="ER12" s="31">
        <v>1.214587E-3</v>
      </c>
      <c r="ES12" s="30">
        <v>5.0171499999999999E-5</v>
      </c>
      <c r="ET12" s="31">
        <v>7.7972190000000002E-4</v>
      </c>
      <c r="EU12" s="36">
        <v>3.4913499999999997E-5</v>
      </c>
      <c r="EV12" s="31"/>
      <c r="EW12" s="30"/>
      <c r="EX12" s="31"/>
      <c r="EY12" s="30"/>
      <c r="EZ12" s="31"/>
      <c r="FA12" s="30"/>
      <c r="FB12" s="31"/>
      <c r="FC12" s="30"/>
      <c r="FD12" s="31"/>
      <c r="FE12" s="36"/>
    </row>
    <row r="13" spans="1:161" x14ac:dyDescent="0.2">
      <c r="A13" s="12">
        <v>800</v>
      </c>
      <c r="B13" s="2">
        <v>95323</v>
      </c>
      <c r="C13" s="15">
        <f t="shared" si="0"/>
        <v>2.4525439196603598E-2</v>
      </c>
      <c r="D13" s="15">
        <f t="shared" si="5"/>
        <v>0.36652722528809151</v>
      </c>
      <c r="E13" s="15">
        <f t="shared" si="8"/>
        <v>92.512677606114082</v>
      </c>
      <c r="F13" s="26">
        <v>596.62910448000002</v>
      </c>
      <c r="G13" s="4">
        <v>749.38020757000004</v>
      </c>
      <c r="H13" s="41">
        <f t="shared" si="6"/>
        <v>0.21955115557845112</v>
      </c>
      <c r="I13" s="4">
        <f t="shared" si="1"/>
        <v>50.208447435899998</v>
      </c>
      <c r="J13" s="4">
        <f>(I13*SUM($B$5:$B13)-I12*SUM($B$5:$B12))/$B13</f>
        <v>164.52729053961306</v>
      </c>
      <c r="K13" s="4">
        <f t="shared" si="2"/>
        <v>245.66447600270001</v>
      </c>
      <c r="L13" s="4">
        <f>(K13*SUM(B$5:B13)-K12*SUM(B$5:B12))/B13</f>
        <v>743.1161646585681</v>
      </c>
      <c r="M13" s="41">
        <f t="shared" si="7"/>
        <v>-8.3589649795318549E-3</v>
      </c>
      <c r="N13" s="4">
        <v>6.5566158868000004</v>
      </c>
      <c r="O13" s="28">
        <v>1.60430056E-2</v>
      </c>
      <c r="P13" s="26">
        <v>1.5626902500000001E-2</v>
      </c>
      <c r="Q13" s="28">
        <v>4.2702900000000001E-5</v>
      </c>
      <c r="R13" s="4">
        <v>66.671672389999998</v>
      </c>
      <c r="S13" s="28">
        <v>0.45642258749999998</v>
      </c>
      <c r="T13" s="4">
        <v>25.704891858</v>
      </c>
      <c r="U13" s="28">
        <v>0.16777919190000001</v>
      </c>
      <c r="V13" s="4">
        <v>3.4545362379000002</v>
      </c>
      <c r="W13" s="28">
        <v>3.10691718E-2</v>
      </c>
      <c r="X13" s="29" t="s">
        <v>136</v>
      </c>
      <c r="Y13" s="30">
        <v>0</v>
      </c>
      <c r="Z13" s="4">
        <v>0.29987744150000001</v>
      </c>
      <c r="AA13" s="28">
        <v>1.4859355E-3</v>
      </c>
      <c r="AB13" s="29" t="s">
        <v>136</v>
      </c>
      <c r="AC13" s="30">
        <v>0</v>
      </c>
      <c r="AD13" s="29" t="s">
        <v>136</v>
      </c>
      <c r="AE13" s="30">
        <v>0</v>
      </c>
      <c r="AF13" s="4">
        <v>1.24028687E-2</v>
      </c>
      <c r="AG13" s="28">
        <v>1.7673069999999999E-4</v>
      </c>
      <c r="AH13" s="4">
        <v>3.9004627112999999</v>
      </c>
      <c r="AI13" s="28">
        <v>9.8287868099999995E-2</v>
      </c>
      <c r="AJ13" s="29" t="s">
        <v>136</v>
      </c>
      <c r="AK13" s="30">
        <v>0</v>
      </c>
      <c r="AL13" s="4">
        <v>0</v>
      </c>
      <c r="AM13" s="28">
        <v>0</v>
      </c>
      <c r="AN13" s="29" t="s">
        <v>136</v>
      </c>
      <c r="AO13" s="30">
        <v>0</v>
      </c>
      <c r="AP13" s="29" t="s">
        <v>136</v>
      </c>
      <c r="AQ13" s="30">
        <v>0</v>
      </c>
      <c r="AR13" s="4">
        <f t="shared" si="3"/>
        <v>0</v>
      </c>
      <c r="AS13" s="28">
        <f t="shared" si="3"/>
        <v>0</v>
      </c>
      <c r="AT13" s="4">
        <v>31.843476297999999</v>
      </c>
      <c r="AU13" s="28">
        <v>0.55767005960000005</v>
      </c>
      <c r="AV13" s="29" t="s">
        <v>136</v>
      </c>
      <c r="AW13" s="30">
        <v>0</v>
      </c>
      <c r="AX13" s="29" t="s">
        <v>136</v>
      </c>
      <c r="AY13" s="30">
        <v>0</v>
      </c>
      <c r="AZ13" s="29" t="s">
        <v>136</v>
      </c>
      <c r="BA13" s="30">
        <v>0</v>
      </c>
      <c r="BB13" s="4">
        <v>15.422207308000001</v>
      </c>
      <c r="BC13" s="28">
        <v>0.71891070720000005</v>
      </c>
      <c r="BD13" s="4">
        <v>7.9176535300999999</v>
      </c>
      <c r="BE13" s="28">
        <v>0.1005694359</v>
      </c>
      <c r="BF13" s="4">
        <v>3.8183917646999999</v>
      </c>
      <c r="BG13" s="28">
        <v>6.0725931699999999E-2</v>
      </c>
      <c r="BH13" s="4">
        <v>1.8221597532</v>
      </c>
      <c r="BI13" s="28">
        <v>2.3709234400000001E-2</v>
      </c>
      <c r="BJ13" s="31">
        <f t="shared" si="4"/>
        <v>2.2771020122000003</v>
      </c>
      <c r="BK13" s="30">
        <f t="shared" si="4"/>
        <v>1.6134269800000003E-2</v>
      </c>
      <c r="BL13" s="4">
        <v>0</v>
      </c>
      <c r="BM13" s="30">
        <v>0</v>
      </c>
      <c r="BN13" s="4">
        <v>33.656605134000003</v>
      </c>
      <c r="BO13" s="28">
        <v>0.51956034829999997</v>
      </c>
      <c r="BP13" s="28">
        <v>8.5878700000000002E-5</v>
      </c>
      <c r="BQ13" s="28">
        <v>0</v>
      </c>
      <c r="BR13" s="4">
        <v>32.926433306</v>
      </c>
      <c r="BS13" s="28">
        <v>1.4851873763000001</v>
      </c>
      <c r="BT13" s="4">
        <v>13.267755774999999</v>
      </c>
      <c r="BU13" s="28">
        <v>0.107908052</v>
      </c>
      <c r="BV13" s="4">
        <v>4.0045390886999996</v>
      </c>
      <c r="BW13" s="28">
        <v>3.02181563E-2</v>
      </c>
      <c r="BX13" s="4">
        <v>9.7192661999999999E-3</v>
      </c>
      <c r="BY13" s="28">
        <v>1.5074580000000001E-4</v>
      </c>
      <c r="BZ13" s="4">
        <v>0</v>
      </c>
      <c r="CA13" s="33">
        <v>0</v>
      </c>
      <c r="CB13" s="29" t="s">
        <v>136</v>
      </c>
      <c r="CC13" s="30">
        <v>0</v>
      </c>
      <c r="CD13" s="4">
        <v>6.3198058700000004E-2</v>
      </c>
      <c r="CE13" s="28">
        <v>1.0974344999999999E-3</v>
      </c>
      <c r="CF13" s="4">
        <v>3.3913381791999999</v>
      </c>
      <c r="CG13" s="28">
        <v>2.9971737299999999E-2</v>
      </c>
      <c r="CH13" s="29" t="s">
        <v>136</v>
      </c>
      <c r="CI13" s="30">
        <v>0</v>
      </c>
      <c r="CJ13" s="29" t="s">
        <v>136</v>
      </c>
      <c r="CK13" s="30">
        <v>0</v>
      </c>
      <c r="CL13" s="4">
        <v>4.1586756199999998E-2</v>
      </c>
      <c r="CM13" s="28">
        <v>2.1870099999999999E-4</v>
      </c>
      <c r="CN13" s="4">
        <v>0.25829068529999999</v>
      </c>
      <c r="CO13" s="28">
        <v>1.2672345000000001E-3</v>
      </c>
      <c r="CP13" s="29" t="s">
        <v>136</v>
      </c>
      <c r="CQ13" s="30">
        <v>0</v>
      </c>
      <c r="CR13" s="29" t="s">
        <v>136</v>
      </c>
      <c r="CS13" s="30">
        <v>0</v>
      </c>
      <c r="CT13" s="29" t="s">
        <v>136</v>
      </c>
      <c r="CU13" s="30">
        <v>0</v>
      </c>
      <c r="CV13" s="29" t="s">
        <v>136</v>
      </c>
      <c r="CW13" s="30">
        <v>0</v>
      </c>
      <c r="CX13" s="4">
        <v>4.0870274999999998E-3</v>
      </c>
      <c r="CY13" s="28">
        <v>8.2918700000000003E-5</v>
      </c>
      <c r="CZ13" s="4">
        <v>8.3158412000000001E-3</v>
      </c>
      <c r="DA13" s="28">
        <v>9.3812099999999996E-5</v>
      </c>
      <c r="DB13" s="4">
        <v>0.1037952409</v>
      </c>
      <c r="DC13" s="28">
        <v>1.5508216E-3</v>
      </c>
      <c r="DD13" s="4">
        <v>3.7966674704000001</v>
      </c>
      <c r="DE13" s="28">
        <v>9.6737046500000007E-2</v>
      </c>
      <c r="DF13" s="29" t="s">
        <v>136</v>
      </c>
      <c r="DG13" s="30">
        <v>0</v>
      </c>
      <c r="DH13" s="29" t="s">
        <v>136</v>
      </c>
      <c r="DI13" s="30">
        <v>0</v>
      </c>
      <c r="DJ13" s="4">
        <v>3.2212863427</v>
      </c>
      <c r="DK13" s="28">
        <v>8.40397118E-2</v>
      </c>
      <c r="DL13" s="4">
        <v>12.200920966</v>
      </c>
      <c r="DM13" s="28">
        <v>0.63487099550000003</v>
      </c>
      <c r="DN13" s="4">
        <v>1.6286515158999999</v>
      </c>
      <c r="DO13" s="28">
        <v>0.13059197980000001</v>
      </c>
      <c r="DP13" s="4">
        <v>32.027953617999998</v>
      </c>
      <c r="DQ13" s="28">
        <v>0.38896836849999999</v>
      </c>
      <c r="DR13" s="37">
        <v>4.2345000000000002E-5</v>
      </c>
      <c r="DS13" s="38">
        <v>7.2275399999999996E-5</v>
      </c>
      <c r="DT13" s="38">
        <v>8.2658100000000001E-5</v>
      </c>
      <c r="DU13" s="38">
        <v>8.4805100000000006E-5</v>
      </c>
      <c r="DV13" s="38">
        <v>8.5520799999999996E-5</v>
      </c>
      <c r="DW13" s="38">
        <v>8.5878700000000002E-5</v>
      </c>
      <c r="DX13" s="38">
        <v>8.5878700000000002E-5</v>
      </c>
      <c r="DY13" s="38">
        <v>8.5878700000000002E-5</v>
      </c>
      <c r="DZ13" s="38">
        <v>8.5878700000000002E-5</v>
      </c>
      <c r="EA13" s="39">
        <v>8.5878700000000002E-5</v>
      </c>
      <c r="EB13" s="40">
        <v>19.017228625000001</v>
      </c>
      <c r="EC13" s="30">
        <v>0.14542572719999999</v>
      </c>
      <c r="ED13" s="31">
        <v>4.6121086455000002</v>
      </c>
      <c r="EE13" s="30">
        <v>3.8803262300000002E-2</v>
      </c>
      <c r="EF13" s="31">
        <v>0.94053842919999997</v>
      </c>
      <c r="EG13" s="30">
        <v>8.8462698000000006E-3</v>
      </c>
      <c r="EH13" s="31">
        <v>0.16274350260000001</v>
      </c>
      <c r="EI13" s="30">
        <v>1.8239918999999999E-3</v>
      </c>
      <c r="EJ13" s="31">
        <v>2.9654552099999999E-2</v>
      </c>
      <c r="EK13" s="30">
        <v>4.731987E-4</v>
      </c>
      <c r="EL13" s="31">
        <v>7.7486352000000003E-3</v>
      </c>
      <c r="EM13" s="30">
        <v>2.0714940000000001E-4</v>
      </c>
      <c r="EN13" s="31">
        <v>3.8781985E-3</v>
      </c>
      <c r="EO13" s="30">
        <v>1.3691659999999999E-4</v>
      </c>
      <c r="EP13" s="31">
        <v>2.6438447E-3</v>
      </c>
      <c r="EQ13" s="30">
        <v>1.009939E-4</v>
      </c>
      <c r="ER13" s="31">
        <v>1.8360057E-3</v>
      </c>
      <c r="ES13" s="30">
        <v>7.4112599999999999E-5</v>
      </c>
      <c r="ET13" s="31">
        <v>1.2351217000000001E-3</v>
      </c>
      <c r="EU13" s="36">
        <v>5.2680199999999998E-5</v>
      </c>
      <c r="EV13" s="31"/>
      <c r="EW13" s="30"/>
      <c r="EX13" s="31"/>
      <c r="EY13" s="30"/>
      <c r="EZ13" s="31"/>
      <c r="FA13" s="30"/>
      <c r="FB13" s="31"/>
      <c r="FC13" s="30"/>
      <c r="FD13" s="31"/>
      <c r="FE13" s="36"/>
    </row>
    <row r="14" spans="1:161" x14ac:dyDescent="0.2">
      <c r="A14" s="12">
        <v>900</v>
      </c>
      <c r="B14" s="2">
        <v>87032</v>
      </c>
      <c r="C14" s="15">
        <f t="shared" si="0"/>
        <v>2.2392266548039868E-2</v>
      </c>
      <c r="D14" s="15">
        <f t="shared" si="5"/>
        <v>0.38891949183613139</v>
      </c>
      <c r="E14" s="15">
        <f t="shared" si="8"/>
        <v>109.37247411502875</v>
      </c>
      <c r="F14" s="26">
        <v>659.97699780000005</v>
      </c>
      <c r="G14" s="4">
        <v>849.39854988000002</v>
      </c>
      <c r="H14" s="41">
        <f t="shared" si="6"/>
        <v>0.23054329684817421</v>
      </c>
      <c r="I14" s="4">
        <f t="shared" si="1"/>
        <v>58.592298394899998</v>
      </c>
      <c r="J14" s="4">
        <f>(I14*SUM($B$5:$B14)-I13*SUM($B$5:$B13))/$B14</f>
        <v>195.82314202739354</v>
      </c>
      <c r="K14" s="4">
        <f t="shared" si="2"/>
        <v>280.50628028099993</v>
      </c>
      <c r="L14" s="4">
        <f>(K14*SUM(B$5:B14)-K13*SUM(B$5:B13))/B14</f>
        <v>850.81343604652011</v>
      </c>
      <c r="M14" s="41">
        <f t="shared" si="7"/>
        <v>1.6657506263932063E-3</v>
      </c>
      <c r="N14" s="4">
        <v>8.3854554066000002</v>
      </c>
      <c r="O14" s="28">
        <v>1.9117515599999999E-2</v>
      </c>
      <c r="P14" s="26">
        <v>2.1670640200000001E-2</v>
      </c>
      <c r="Q14" s="28">
        <v>5.3458300000000003E-5</v>
      </c>
      <c r="R14" s="4">
        <v>73.671823653000004</v>
      </c>
      <c r="S14" s="28">
        <v>0.50122334420000003</v>
      </c>
      <c r="T14" s="4">
        <v>28.825147000000001</v>
      </c>
      <c r="U14" s="28">
        <v>0.18684573539999999</v>
      </c>
      <c r="V14" s="4">
        <v>4.0332409991000002</v>
      </c>
      <c r="W14" s="28">
        <v>3.6067319100000002E-2</v>
      </c>
      <c r="X14" s="29" t="s">
        <v>136</v>
      </c>
      <c r="Y14" s="30">
        <v>0</v>
      </c>
      <c r="Z14" s="4">
        <v>0.45606908839999999</v>
      </c>
      <c r="AA14" s="28">
        <v>1.9315769E-3</v>
      </c>
      <c r="AB14" s="29" t="s">
        <v>136</v>
      </c>
      <c r="AC14" s="30">
        <v>0</v>
      </c>
      <c r="AD14" s="29" t="s">
        <v>136</v>
      </c>
      <c r="AE14" s="30">
        <v>0</v>
      </c>
      <c r="AF14" s="4">
        <v>1.6206675399999999E-2</v>
      </c>
      <c r="AG14" s="28">
        <v>2.1222029999999999E-4</v>
      </c>
      <c r="AH14" s="4">
        <v>4.6686896994999998</v>
      </c>
      <c r="AI14" s="28">
        <v>0.1171502006</v>
      </c>
      <c r="AJ14" s="29" t="s">
        <v>136</v>
      </c>
      <c r="AK14" s="30">
        <v>0</v>
      </c>
      <c r="AL14" s="4">
        <v>0</v>
      </c>
      <c r="AM14" s="28">
        <v>0</v>
      </c>
      <c r="AN14" s="29" t="s">
        <v>136</v>
      </c>
      <c r="AO14" s="30">
        <v>0</v>
      </c>
      <c r="AP14" s="29" t="s">
        <v>136</v>
      </c>
      <c r="AQ14" s="30">
        <v>0</v>
      </c>
      <c r="AR14" s="4">
        <f t="shared" si="3"/>
        <v>0</v>
      </c>
      <c r="AS14" s="28">
        <f t="shared" si="3"/>
        <v>0</v>
      </c>
      <c r="AT14" s="4">
        <v>36.343639910999997</v>
      </c>
      <c r="AU14" s="28">
        <v>0.62880883769999996</v>
      </c>
      <c r="AV14" s="29" t="s">
        <v>136</v>
      </c>
      <c r="AW14" s="30">
        <v>0</v>
      </c>
      <c r="AX14" s="29" t="s">
        <v>136</v>
      </c>
      <c r="AY14" s="30">
        <v>0</v>
      </c>
      <c r="AZ14" s="29" t="s">
        <v>136</v>
      </c>
      <c r="BA14" s="30">
        <v>0</v>
      </c>
      <c r="BB14" s="4">
        <v>17.924987782999999</v>
      </c>
      <c r="BC14" s="28">
        <v>0.81345693330000002</v>
      </c>
      <c r="BD14" s="4">
        <v>9.5785113938999995</v>
      </c>
      <c r="BE14" s="28">
        <v>0.1166135822</v>
      </c>
      <c r="BF14" s="4">
        <v>4.5638637229999999</v>
      </c>
      <c r="BG14" s="28">
        <v>7.0173333399999996E-2</v>
      </c>
      <c r="BH14" s="4">
        <v>2.1498236646</v>
      </c>
      <c r="BI14" s="28">
        <v>2.7042720100000001E-2</v>
      </c>
      <c r="BJ14" s="31">
        <f t="shared" si="4"/>
        <v>2.8648240062999992</v>
      </c>
      <c r="BK14" s="30">
        <f t="shared" si="4"/>
        <v>1.93975287E-2</v>
      </c>
      <c r="BL14" s="4">
        <v>0</v>
      </c>
      <c r="BM14" s="30">
        <v>0</v>
      </c>
      <c r="BN14" s="4">
        <v>37.988539635999999</v>
      </c>
      <c r="BO14" s="28">
        <v>0.58060817409999999</v>
      </c>
      <c r="BP14" s="28">
        <v>1.063996E-4</v>
      </c>
      <c r="BQ14" s="28">
        <v>0</v>
      </c>
      <c r="BR14" s="4">
        <v>37.500762086000002</v>
      </c>
      <c r="BS14" s="28">
        <v>1.6491360282</v>
      </c>
      <c r="BT14" s="4">
        <v>16.26924576</v>
      </c>
      <c r="BU14" s="28">
        <v>0.13089531160000001</v>
      </c>
      <c r="BV14" s="4">
        <v>4.8105556916000003</v>
      </c>
      <c r="BW14" s="28">
        <v>3.4963962899999999E-2</v>
      </c>
      <c r="BX14" s="4">
        <v>1.17348573E-2</v>
      </c>
      <c r="BY14" s="28">
        <v>1.866402E-4</v>
      </c>
      <c r="BZ14" s="4">
        <v>0</v>
      </c>
      <c r="CA14" s="33">
        <v>0</v>
      </c>
      <c r="CB14" s="29" t="s">
        <v>136</v>
      </c>
      <c r="CC14" s="30">
        <v>0</v>
      </c>
      <c r="CD14" s="4">
        <v>7.6234420900000002E-2</v>
      </c>
      <c r="CE14" s="28">
        <v>1.3302647999999999E-3</v>
      </c>
      <c r="CF14" s="4">
        <v>3.9570065782000001</v>
      </c>
      <c r="CG14" s="28">
        <v>3.47370543E-2</v>
      </c>
      <c r="CH14" s="29" t="s">
        <v>136</v>
      </c>
      <c r="CI14" s="30">
        <v>0</v>
      </c>
      <c r="CJ14" s="29" t="s">
        <v>136</v>
      </c>
      <c r="CK14" s="30">
        <v>0</v>
      </c>
      <c r="CL14" s="4">
        <v>7.1587822699999998E-2</v>
      </c>
      <c r="CM14" s="28">
        <v>2.9190290000000001E-4</v>
      </c>
      <c r="CN14" s="4">
        <v>0.38448126570000002</v>
      </c>
      <c r="CO14" s="28">
        <v>1.6396741000000001E-3</v>
      </c>
      <c r="CP14" s="29" t="s">
        <v>136</v>
      </c>
      <c r="CQ14" s="30">
        <v>0</v>
      </c>
      <c r="CR14" s="29" t="s">
        <v>136</v>
      </c>
      <c r="CS14" s="30">
        <v>0</v>
      </c>
      <c r="CT14" s="29" t="s">
        <v>136</v>
      </c>
      <c r="CU14" s="30">
        <v>0</v>
      </c>
      <c r="CV14" s="29" t="s">
        <v>136</v>
      </c>
      <c r="CW14" s="30">
        <v>0</v>
      </c>
      <c r="CX14" s="4">
        <v>4.8787882999999999E-3</v>
      </c>
      <c r="CY14" s="28">
        <v>9.0575399999999993E-5</v>
      </c>
      <c r="CZ14" s="4">
        <v>1.1327887E-2</v>
      </c>
      <c r="DA14" s="28">
        <v>1.216449E-4</v>
      </c>
      <c r="DB14" s="4">
        <v>0.13253103769999999</v>
      </c>
      <c r="DC14" s="28">
        <v>1.9751039000000001E-3</v>
      </c>
      <c r="DD14" s="4">
        <v>4.5361586618</v>
      </c>
      <c r="DE14" s="28">
        <v>0.11517509669999999</v>
      </c>
      <c r="DF14" s="29" t="s">
        <v>136</v>
      </c>
      <c r="DG14" s="30">
        <v>0</v>
      </c>
      <c r="DH14" s="29" t="s">
        <v>136</v>
      </c>
      <c r="DI14" s="30">
        <v>0</v>
      </c>
      <c r="DJ14" s="4">
        <v>3.9170903568000002</v>
      </c>
      <c r="DK14" s="28">
        <v>9.8481351699999997E-2</v>
      </c>
      <c r="DL14" s="4">
        <v>14.007897426</v>
      </c>
      <c r="DM14" s="28">
        <v>0.71497558159999997</v>
      </c>
      <c r="DN14" s="4">
        <v>1.9264462751</v>
      </c>
      <c r="DO14" s="28">
        <v>0.1508640745</v>
      </c>
      <c r="DP14" s="4">
        <v>36.062093359999999</v>
      </c>
      <c r="DQ14" s="28">
        <v>0.42974409959999998</v>
      </c>
      <c r="DR14" s="37">
        <v>5.2475600000000003E-5</v>
      </c>
      <c r="DS14" s="38">
        <v>8.8459600000000003E-5</v>
      </c>
      <c r="DT14" s="38">
        <v>1.011168E-4</v>
      </c>
      <c r="DU14" s="38">
        <v>1.041064E-4</v>
      </c>
      <c r="DV14" s="38">
        <v>1.054168E-4</v>
      </c>
      <c r="DW14" s="38">
        <v>1.063996E-4</v>
      </c>
      <c r="DX14" s="38">
        <v>1.063996E-4</v>
      </c>
      <c r="DY14" s="38">
        <v>1.063996E-4</v>
      </c>
      <c r="DZ14" s="38">
        <v>1.063996E-4</v>
      </c>
      <c r="EA14" s="39">
        <v>1.063996E-4</v>
      </c>
      <c r="EB14" s="40">
        <v>22.807502844999998</v>
      </c>
      <c r="EC14" s="30">
        <v>0.1716890449</v>
      </c>
      <c r="ED14" s="31">
        <v>6.1815160692999997</v>
      </c>
      <c r="EE14" s="30">
        <v>5.0682892200000003E-2</v>
      </c>
      <c r="EF14" s="31">
        <v>1.4581576752000001</v>
      </c>
      <c r="EG14" s="30">
        <v>1.31686253E-2</v>
      </c>
      <c r="EH14" s="31">
        <v>0.29964134069999998</v>
      </c>
      <c r="EI14" s="30">
        <v>3.1230766E-3</v>
      </c>
      <c r="EJ14" s="31">
        <v>6.11400863E-2</v>
      </c>
      <c r="EK14" s="30">
        <v>8.4046179999999998E-4</v>
      </c>
      <c r="EL14" s="31">
        <v>1.5710179500000001E-2</v>
      </c>
      <c r="EM14" s="30">
        <v>3.421171E-4</v>
      </c>
      <c r="EN14" s="31">
        <v>6.4266708000000001E-3</v>
      </c>
      <c r="EO14" s="30">
        <v>2.084888E-4</v>
      </c>
      <c r="EP14" s="31">
        <v>3.9772831000000003E-3</v>
      </c>
      <c r="EQ14" s="30">
        <v>1.5215620000000001E-4</v>
      </c>
      <c r="ER14" s="31">
        <v>2.8447825999999999E-3</v>
      </c>
      <c r="ES14" s="30">
        <v>1.145335E-4</v>
      </c>
      <c r="ET14" s="31">
        <v>1.9669164000000001E-3</v>
      </c>
      <c r="EU14" s="36">
        <v>8.3584999999999993E-5</v>
      </c>
      <c r="EV14" s="31"/>
      <c r="EW14" s="30"/>
      <c r="EX14" s="31"/>
      <c r="EY14" s="30"/>
      <c r="EZ14" s="31"/>
      <c r="FA14" s="30"/>
      <c r="FB14" s="31"/>
      <c r="FC14" s="30"/>
      <c r="FD14" s="31"/>
      <c r="FE14" s="36"/>
    </row>
    <row r="15" spans="1:161" x14ac:dyDescent="0.2">
      <c r="A15" s="12">
        <v>1000</v>
      </c>
      <c r="B15" s="2">
        <v>81073</v>
      </c>
      <c r="C15" s="15">
        <f t="shared" si="0"/>
        <v>2.085908890809399E-2</v>
      </c>
      <c r="D15" s="15">
        <f t="shared" si="5"/>
        <v>0.40977858074422541</v>
      </c>
      <c r="E15" s="15">
        <f t="shared" si="8"/>
        <v>126.54012585945523</v>
      </c>
      <c r="F15" s="26">
        <v>721.42316839</v>
      </c>
      <c r="G15" s="4">
        <v>949.40443490999996</v>
      </c>
      <c r="H15" s="41">
        <f t="shared" si="6"/>
        <v>0.24135957829237303</v>
      </c>
      <c r="I15" s="4">
        <f t="shared" si="1"/>
        <v>67.274141873600001</v>
      </c>
      <c r="J15" s="4">
        <f>(I15*SUM($B$5:$B15)-I14*SUM($B$5:$B14))/$B15</f>
        <v>229.14785403878631</v>
      </c>
      <c r="K15" s="4">
        <f t="shared" si="2"/>
        <v>314.89665674869991</v>
      </c>
      <c r="L15" s="4">
        <f>(K15*SUM(B$5:B15)-K14*SUM(B$5:B14))/B15</f>
        <v>956.10815926457326</v>
      </c>
      <c r="M15" s="41">
        <f t="shared" si="7"/>
        <v>7.0609785546333417E-3</v>
      </c>
      <c r="N15" s="4">
        <v>10.367867645</v>
      </c>
      <c r="O15" s="28">
        <v>2.21901818E-2</v>
      </c>
      <c r="P15" s="26">
        <v>3.0724387400000001E-2</v>
      </c>
      <c r="Q15" s="28">
        <v>6.5596E-5</v>
      </c>
      <c r="R15" s="4">
        <v>80.091352118000003</v>
      </c>
      <c r="S15" s="28">
        <v>0.54251584559999999</v>
      </c>
      <c r="T15" s="4">
        <v>31.873491702999999</v>
      </c>
      <c r="U15" s="28">
        <v>0.2051110206</v>
      </c>
      <c r="V15" s="4">
        <v>4.5987368020000003</v>
      </c>
      <c r="W15" s="28">
        <v>4.0840632000000002E-2</v>
      </c>
      <c r="X15" s="29" t="s">
        <v>136</v>
      </c>
      <c r="Y15" s="30">
        <v>0</v>
      </c>
      <c r="Z15" s="4">
        <v>0.67850495310000003</v>
      </c>
      <c r="AA15" s="28">
        <v>2.4959789000000001E-3</v>
      </c>
      <c r="AB15" s="29" t="s">
        <v>136</v>
      </c>
      <c r="AC15" s="30">
        <v>0</v>
      </c>
      <c r="AD15" s="29" t="s">
        <v>136</v>
      </c>
      <c r="AE15" s="30">
        <v>0</v>
      </c>
      <c r="AF15" s="4">
        <v>2.0521770299999999E-2</v>
      </c>
      <c r="AG15" s="28">
        <v>2.4821730000000001E-4</v>
      </c>
      <c r="AH15" s="4">
        <v>5.4812973012999997</v>
      </c>
      <c r="AI15" s="28">
        <v>0.13704098049999999</v>
      </c>
      <c r="AJ15" s="29" t="s">
        <v>136</v>
      </c>
      <c r="AK15" s="30">
        <v>0</v>
      </c>
      <c r="AL15" s="4">
        <v>0</v>
      </c>
      <c r="AM15" s="28">
        <v>0</v>
      </c>
      <c r="AN15" s="29" t="s">
        <v>136</v>
      </c>
      <c r="AO15" s="30">
        <v>0</v>
      </c>
      <c r="AP15" s="29" t="s">
        <v>136</v>
      </c>
      <c r="AQ15" s="30">
        <v>0</v>
      </c>
      <c r="AR15" s="4">
        <f t="shared" si="3"/>
        <v>0</v>
      </c>
      <c r="AS15" s="28">
        <f t="shared" si="3"/>
        <v>0</v>
      </c>
      <c r="AT15" s="4">
        <v>40.585648151000001</v>
      </c>
      <c r="AU15" s="28">
        <v>0.69593970829999996</v>
      </c>
      <c r="AV15" s="29" t="s">
        <v>136</v>
      </c>
      <c r="AW15" s="30">
        <v>0</v>
      </c>
      <c r="AX15" s="29" t="s">
        <v>136</v>
      </c>
      <c r="AY15" s="30">
        <v>0</v>
      </c>
      <c r="AZ15" s="29" t="s">
        <v>136</v>
      </c>
      <c r="BA15" s="30">
        <v>0</v>
      </c>
      <c r="BB15" s="4">
        <v>20.476675482000001</v>
      </c>
      <c r="BC15" s="28">
        <v>0.90539567450000003</v>
      </c>
      <c r="BD15" s="4">
        <v>11.256621451999999</v>
      </c>
      <c r="BE15" s="28">
        <v>0.13238256409999999</v>
      </c>
      <c r="BF15" s="4">
        <v>5.3368434795999997</v>
      </c>
      <c r="BG15" s="28">
        <v>7.9732471599999993E-2</v>
      </c>
      <c r="BH15" s="4">
        <v>2.4651697146</v>
      </c>
      <c r="BI15" s="28">
        <v>3.0015758999999999E-2</v>
      </c>
      <c r="BJ15" s="31">
        <f t="shared" si="4"/>
        <v>3.4546082577999995</v>
      </c>
      <c r="BK15" s="30">
        <f t="shared" si="4"/>
        <v>2.2634333499999992E-2</v>
      </c>
      <c r="BL15" s="4">
        <v>0</v>
      </c>
      <c r="BM15" s="30">
        <v>0</v>
      </c>
      <c r="BN15" s="4">
        <v>42.161073109999997</v>
      </c>
      <c r="BO15" s="28">
        <v>0.63819433329999997</v>
      </c>
      <c r="BP15" s="28">
        <v>1.2697920000000001E-4</v>
      </c>
      <c r="BQ15" s="28">
        <v>3.4165076E-7</v>
      </c>
      <c r="BR15" s="4">
        <v>42.034750643999999</v>
      </c>
      <c r="BS15" s="28">
        <v>1.8080398611999999</v>
      </c>
      <c r="BT15" s="4">
        <v>19.554043989</v>
      </c>
      <c r="BU15" s="28">
        <v>0.1556506892</v>
      </c>
      <c r="BV15" s="4">
        <v>5.6717566315000001</v>
      </c>
      <c r="BW15" s="28">
        <v>3.9970716699999999E-2</v>
      </c>
      <c r="BX15" s="4">
        <v>1.35906091E-2</v>
      </c>
      <c r="BY15" s="28">
        <v>2.1432929999999999E-4</v>
      </c>
      <c r="BZ15" s="4">
        <v>0</v>
      </c>
      <c r="CA15" s="33">
        <v>0</v>
      </c>
      <c r="CB15" s="29" t="s">
        <v>136</v>
      </c>
      <c r="CC15" s="30">
        <v>0</v>
      </c>
      <c r="CD15" s="4">
        <v>8.6747242899999993E-2</v>
      </c>
      <c r="CE15" s="28">
        <v>1.5142497000000001E-3</v>
      </c>
      <c r="CF15" s="4">
        <v>4.5119895590999999</v>
      </c>
      <c r="CG15" s="28">
        <v>3.9326382299999997E-2</v>
      </c>
      <c r="CH15" s="29" t="s">
        <v>136</v>
      </c>
      <c r="CI15" s="30">
        <v>0</v>
      </c>
      <c r="CJ15" s="29" t="s">
        <v>136</v>
      </c>
      <c r="CK15" s="30">
        <v>0</v>
      </c>
      <c r="CL15" s="4">
        <v>0.111323849</v>
      </c>
      <c r="CM15" s="28">
        <v>3.7731489999999999E-4</v>
      </c>
      <c r="CN15" s="4">
        <v>0.5671811041</v>
      </c>
      <c r="CO15" s="28">
        <v>2.1186639000000001E-3</v>
      </c>
      <c r="CP15" s="29" t="s">
        <v>136</v>
      </c>
      <c r="CQ15" s="30">
        <v>0</v>
      </c>
      <c r="CR15" s="29" t="s">
        <v>136</v>
      </c>
      <c r="CS15" s="30">
        <v>0</v>
      </c>
      <c r="CT15" s="29" t="s">
        <v>136</v>
      </c>
      <c r="CU15" s="30">
        <v>0</v>
      </c>
      <c r="CV15" s="29" t="s">
        <v>136</v>
      </c>
      <c r="CW15" s="30">
        <v>0</v>
      </c>
      <c r="CX15" s="4">
        <v>6.1367247999999999E-3</v>
      </c>
      <c r="CY15" s="28">
        <v>9.8443799999999994E-5</v>
      </c>
      <c r="CZ15" s="4">
        <v>1.4385045500000001E-2</v>
      </c>
      <c r="DA15" s="28">
        <v>1.497735E-4</v>
      </c>
      <c r="DB15" s="4">
        <v>0.1719612089</v>
      </c>
      <c r="DC15" s="28">
        <v>2.5220660999999999E-3</v>
      </c>
      <c r="DD15" s="4">
        <v>5.3093360923999997</v>
      </c>
      <c r="DE15" s="28">
        <v>0.13451891439999999</v>
      </c>
      <c r="DF15" s="29" t="s">
        <v>136</v>
      </c>
      <c r="DG15" s="30">
        <v>0</v>
      </c>
      <c r="DH15" s="29" t="s">
        <v>136</v>
      </c>
      <c r="DI15" s="30">
        <v>0</v>
      </c>
      <c r="DJ15" s="4">
        <v>4.6698519190000001</v>
      </c>
      <c r="DK15" s="28">
        <v>0.1133412969</v>
      </c>
      <c r="DL15" s="4">
        <v>15.806823563</v>
      </c>
      <c r="DM15" s="28">
        <v>0.79205437759999997</v>
      </c>
      <c r="DN15" s="4">
        <v>2.2375111015</v>
      </c>
      <c r="DO15" s="28">
        <v>0.17057134839999999</v>
      </c>
      <c r="DP15" s="4">
        <v>39.923562007999998</v>
      </c>
      <c r="DQ15" s="28">
        <v>0.46762298489999998</v>
      </c>
      <c r="DR15" s="37">
        <v>6.4684700000000001E-5</v>
      </c>
      <c r="DS15" s="38">
        <v>1.078425E-4</v>
      </c>
      <c r="DT15" s="38">
        <v>1.21777E-4</v>
      </c>
      <c r="DU15" s="38">
        <v>1.248527E-4</v>
      </c>
      <c r="DV15" s="38">
        <v>1.2606790000000001E-4</v>
      </c>
      <c r="DW15" s="38">
        <v>1.2697920000000001E-4</v>
      </c>
      <c r="DX15" s="38">
        <v>1.2697920000000001E-4</v>
      </c>
      <c r="DY15" s="38">
        <v>1.2697920000000001E-4</v>
      </c>
      <c r="DZ15" s="38">
        <v>1.2697920000000001E-4</v>
      </c>
      <c r="EA15" s="39">
        <v>1.2697920000000001E-4</v>
      </c>
      <c r="EB15" s="40">
        <v>26.478409052</v>
      </c>
      <c r="EC15" s="30">
        <v>0.19696726410000001</v>
      </c>
      <c r="ED15" s="31">
        <v>7.8216688729000001</v>
      </c>
      <c r="EE15" s="30">
        <v>6.2844317799999994E-2</v>
      </c>
      <c r="EF15" s="31">
        <v>2.0687363494</v>
      </c>
      <c r="EG15" s="30">
        <v>1.8069053700000001E-2</v>
      </c>
      <c r="EH15" s="31">
        <v>0.49160803310000001</v>
      </c>
      <c r="EI15" s="30">
        <v>4.8011905000000001E-3</v>
      </c>
      <c r="EJ15" s="31">
        <v>0.11228037640000001</v>
      </c>
      <c r="EK15" s="30">
        <v>1.3421681E-3</v>
      </c>
      <c r="EL15" s="31">
        <v>2.9028413900000001E-2</v>
      </c>
      <c r="EM15" s="30">
        <v>4.9699469999999997E-4</v>
      </c>
      <c r="EN15" s="31">
        <v>9.7849484999999996E-3</v>
      </c>
      <c r="EO15" s="30">
        <v>2.627881E-4</v>
      </c>
      <c r="EP15" s="31">
        <v>5.1188034999999996E-3</v>
      </c>
      <c r="EQ15" s="30">
        <v>1.797496E-4</v>
      </c>
      <c r="ER15" s="31">
        <v>3.3675966999999998E-3</v>
      </c>
      <c r="ES15" s="30">
        <v>1.319181E-4</v>
      </c>
      <c r="ET15" s="31">
        <v>2.3275880999999998E-3</v>
      </c>
      <c r="EU15" s="36">
        <v>9.6353800000000006E-5</v>
      </c>
      <c r="EV15" s="31"/>
      <c r="EW15" s="30"/>
      <c r="EX15" s="31"/>
      <c r="EY15" s="30"/>
      <c r="EZ15" s="31"/>
      <c r="FA15" s="30"/>
      <c r="FB15" s="31"/>
      <c r="FC15" s="30"/>
      <c r="FD15" s="31"/>
      <c r="FE15" s="36"/>
    </row>
    <row r="16" spans="1:161" x14ac:dyDescent="0.2">
      <c r="A16" s="12">
        <v>1100</v>
      </c>
      <c r="B16" s="2">
        <v>74342</v>
      </c>
      <c r="C16" s="15">
        <f t="shared" si="0"/>
        <v>1.9127285133219731E-2</v>
      </c>
      <c r="D16" s="15">
        <f t="shared" si="5"/>
        <v>0.42890586587744511</v>
      </c>
      <c r="E16" s="15">
        <f t="shared" si="8"/>
        <v>143.58356517029205</v>
      </c>
      <c r="F16" s="26">
        <v>781.04927283999996</v>
      </c>
      <c r="G16" s="4">
        <v>1049.4570045999999</v>
      </c>
      <c r="H16" s="41">
        <f t="shared" si="6"/>
        <v>0.25018139304326836</v>
      </c>
      <c r="I16" s="4">
        <f t="shared" si="1"/>
        <v>75.9827784167</v>
      </c>
      <c r="J16" s="4">
        <f>(I16*SUM($B$5:$B16)-I15*SUM($B$5:$B15))/$B16</f>
        <v>262.55461534984369</v>
      </c>
      <c r="K16" s="4">
        <f t="shared" si="2"/>
        <v>348.39812691570006</v>
      </c>
      <c r="L16" s="4">
        <f>(K16*SUM(B$5:B16)-K15*SUM(B$5:B15))/B16</f>
        <v>1066.1259592903837</v>
      </c>
      <c r="M16" s="41">
        <f t="shared" si="7"/>
        <v>1.5883408865079839E-2</v>
      </c>
      <c r="N16" s="4">
        <v>12.428914743</v>
      </c>
      <c r="O16" s="28">
        <v>2.5179022299999999E-2</v>
      </c>
      <c r="P16" s="26">
        <v>4.22769614E-2</v>
      </c>
      <c r="Q16" s="28">
        <v>7.8032800000000003E-5</v>
      </c>
      <c r="R16" s="4">
        <v>85.915376151999993</v>
      </c>
      <c r="S16" s="28">
        <v>0.57999298239999997</v>
      </c>
      <c r="T16" s="4">
        <v>34.775364506000003</v>
      </c>
      <c r="U16" s="28">
        <v>0.22240057360000001</v>
      </c>
      <c r="V16" s="4">
        <v>5.1936789027000003</v>
      </c>
      <c r="W16" s="28">
        <v>4.5990935900000002E-2</v>
      </c>
      <c r="X16" s="29" t="s">
        <v>136</v>
      </c>
      <c r="Y16" s="30">
        <v>0</v>
      </c>
      <c r="Z16" s="4">
        <v>0.94189294589999994</v>
      </c>
      <c r="AA16" s="28">
        <v>3.1689253000000001E-3</v>
      </c>
      <c r="AB16" s="29" t="s">
        <v>136</v>
      </c>
      <c r="AC16" s="30">
        <v>0</v>
      </c>
      <c r="AD16" s="29" t="s">
        <v>136</v>
      </c>
      <c r="AE16" s="30">
        <v>0</v>
      </c>
      <c r="AF16" s="4">
        <v>2.5690761199999999E-2</v>
      </c>
      <c r="AG16" s="28">
        <v>2.9934660000000002E-4</v>
      </c>
      <c r="AH16" s="4">
        <v>6.3373833627999998</v>
      </c>
      <c r="AI16" s="28">
        <v>0.1576279122</v>
      </c>
      <c r="AJ16" s="29" t="s">
        <v>136</v>
      </c>
      <c r="AK16" s="30">
        <v>0</v>
      </c>
      <c r="AL16" s="4">
        <v>0</v>
      </c>
      <c r="AM16" s="28">
        <v>0</v>
      </c>
      <c r="AN16" s="29" t="s">
        <v>136</v>
      </c>
      <c r="AO16" s="30">
        <v>0</v>
      </c>
      <c r="AP16" s="29" t="s">
        <v>136</v>
      </c>
      <c r="AQ16" s="30">
        <v>0</v>
      </c>
      <c r="AR16" s="4">
        <f t="shared" si="3"/>
        <v>0</v>
      </c>
      <c r="AS16" s="28">
        <f t="shared" si="3"/>
        <v>0</v>
      </c>
      <c r="AT16" s="4">
        <v>44.561826764000003</v>
      </c>
      <c r="AU16" s="28">
        <v>0.75794274699999997</v>
      </c>
      <c r="AV16" s="29" t="s">
        <v>136</v>
      </c>
      <c r="AW16" s="30">
        <v>0</v>
      </c>
      <c r="AX16" s="29" t="s">
        <v>136</v>
      </c>
      <c r="AY16" s="30">
        <v>0</v>
      </c>
      <c r="AZ16" s="29" t="s">
        <v>136</v>
      </c>
      <c r="BA16" s="30">
        <v>0</v>
      </c>
      <c r="BB16" s="4">
        <v>22.919453397000002</v>
      </c>
      <c r="BC16" s="28">
        <v>0.99125651029999995</v>
      </c>
      <c r="BD16" s="4">
        <v>13.018578345</v>
      </c>
      <c r="BE16" s="28">
        <v>0.14825307530000001</v>
      </c>
      <c r="BF16" s="4">
        <v>6.1388419684000004</v>
      </c>
      <c r="BG16" s="28">
        <v>8.9337975400000005E-2</v>
      </c>
      <c r="BH16" s="4">
        <v>2.779649451</v>
      </c>
      <c r="BI16" s="28">
        <v>3.2974847299999999E-2</v>
      </c>
      <c r="BJ16" s="31">
        <f t="shared" si="4"/>
        <v>4.1000869255999994</v>
      </c>
      <c r="BK16" s="30">
        <f t="shared" si="4"/>
        <v>2.5940252600000005E-2</v>
      </c>
      <c r="BL16" s="4">
        <v>0</v>
      </c>
      <c r="BM16" s="30">
        <v>0</v>
      </c>
      <c r="BN16" s="4">
        <v>46.254911657999997</v>
      </c>
      <c r="BO16" s="28">
        <v>0.69360180579999997</v>
      </c>
      <c r="BP16" s="28">
        <v>1.4824510000000001E-4</v>
      </c>
      <c r="BQ16" s="28">
        <v>3.2050218999999999E-7</v>
      </c>
      <c r="BR16" s="4">
        <v>46.377367694999997</v>
      </c>
      <c r="BS16" s="28">
        <v>1.9547876837</v>
      </c>
      <c r="BT16" s="4">
        <v>23.027496562</v>
      </c>
      <c r="BU16" s="28">
        <v>0.18145718250000001</v>
      </c>
      <c r="BV16" s="4">
        <v>6.5624079312000001</v>
      </c>
      <c r="BW16" s="28">
        <v>4.4817209400000002E-2</v>
      </c>
      <c r="BX16" s="4">
        <v>1.55062285E-2</v>
      </c>
      <c r="BY16" s="28">
        <v>2.372152E-4</v>
      </c>
      <c r="BZ16" s="4">
        <v>0</v>
      </c>
      <c r="CA16" s="33">
        <v>0</v>
      </c>
      <c r="CB16" s="29" t="s">
        <v>136</v>
      </c>
      <c r="CC16" s="30">
        <v>0</v>
      </c>
      <c r="CD16" s="4">
        <v>0.1015328729</v>
      </c>
      <c r="CE16" s="28">
        <v>1.7685718999999999E-3</v>
      </c>
      <c r="CF16" s="4">
        <v>5.0921460298000003</v>
      </c>
      <c r="CG16" s="28">
        <v>4.4222364E-2</v>
      </c>
      <c r="CH16" s="29" t="s">
        <v>136</v>
      </c>
      <c r="CI16" s="30">
        <v>0</v>
      </c>
      <c r="CJ16" s="29" t="s">
        <v>136</v>
      </c>
      <c r="CK16" s="30">
        <v>0</v>
      </c>
      <c r="CL16" s="4">
        <v>0.16043064609999999</v>
      </c>
      <c r="CM16" s="28">
        <v>4.9503470000000001E-4</v>
      </c>
      <c r="CN16" s="4">
        <v>0.78146229980000004</v>
      </c>
      <c r="CO16" s="28">
        <v>2.6738906000000002E-3</v>
      </c>
      <c r="CP16" s="29" t="s">
        <v>136</v>
      </c>
      <c r="CQ16" s="30">
        <v>0</v>
      </c>
      <c r="CR16" s="29" t="s">
        <v>136</v>
      </c>
      <c r="CS16" s="30">
        <v>0</v>
      </c>
      <c r="CT16" s="29" t="s">
        <v>136</v>
      </c>
      <c r="CU16" s="30">
        <v>0</v>
      </c>
      <c r="CV16" s="29" t="s">
        <v>136</v>
      </c>
      <c r="CW16" s="30">
        <v>0</v>
      </c>
      <c r="CX16" s="4">
        <v>7.2641750999999999E-3</v>
      </c>
      <c r="CY16" s="28">
        <v>1.075719E-4</v>
      </c>
      <c r="CZ16" s="4">
        <v>1.84265861E-2</v>
      </c>
      <c r="DA16" s="28">
        <v>1.917748E-4</v>
      </c>
      <c r="DB16" s="4">
        <v>0.2110525624</v>
      </c>
      <c r="DC16" s="28">
        <v>3.0788316E-3</v>
      </c>
      <c r="DD16" s="4">
        <v>6.1263308003999999</v>
      </c>
      <c r="DE16" s="28">
        <v>0.15454908049999999</v>
      </c>
      <c r="DF16" s="29" t="s">
        <v>136</v>
      </c>
      <c r="DG16" s="30">
        <v>0</v>
      </c>
      <c r="DH16" s="29" t="s">
        <v>136</v>
      </c>
      <c r="DI16" s="30">
        <v>0</v>
      </c>
      <c r="DJ16" s="4">
        <v>5.4141046358000002</v>
      </c>
      <c r="DK16" s="28">
        <v>0.1274445854</v>
      </c>
      <c r="DL16" s="4">
        <v>17.505348761</v>
      </c>
      <c r="DM16" s="28">
        <v>0.86381192490000003</v>
      </c>
      <c r="DN16" s="4">
        <v>2.5545081563999998</v>
      </c>
      <c r="DO16" s="28">
        <v>0.189620557</v>
      </c>
      <c r="DP16" s="4">
        <v>43.700403500999997</v>
      </c>
      <c r="DQ16" s="28">
        <v>0.50398124879999995</v>
      </c>
      <c r="DR16" s="37">
        <v>7.7176900000000003E-5</v>
      </c>
      <c r="DS16" s="38">
        <v>1.2826259999999999E-4</v>
      </c>
      <c r="DT16" s="38">
        <v>1.433602E-4</v>
      </c>
      <c r="DU16" s="38">
        <v>1.4624819999999999E-4</v>
      </c>
      <c r="DV16" s="38">
        <v>1.4738929999999999E-4</v>
      </c>
      <c r="DW16" s="38">
        <v>1.4824510000000001E-4</v>
      </c>
      <c r="DX16" s="38">
        <v>1.4824510000000001E-4</v>
      </c>
      <c r="DY16" s="38">
        <v>1.4824510000000001E-4</v>
      </c>
      <c r="DZ16" s="38">
        <v>1.4824510000000001E-4</v>
      </c>
      <c r="EA16" s="39">
        <v>1.4824510000000001E-4</v>
      </c>
      <c r="EB16" s="40">
        <v>29.966022422999998</v>
      </c>
      <c r="EC16" s="30">
        <v>0.2208569128</v>
      </c>
      <c r="ED16" s="31">
        <v>9.4903417698000005</v>
      </c>
      <c r="EE16" s="30">
        <v>7.5072664600000005E-2</v>
      </c>
      <c r="EF16" s="31">
        <v>2.7374355225000002</v>
      </c>
      <c r="EG16" s="30">
        <v>2.33202071E-2</v>
      </c>
      <c r="EH16" s="31">
        <v>0.72121250790000002</v>
      </c>
      <c r="EI16" s="30">
        <v>6.7718932999999999E-3</v>
      </c>
      <c r="EJ16" s="31">
        <v>0.1842926198</v>
      </c>
      <c r="EK16" s="30">
        <v>2.0428387999999998E-3</v>
      </c>
      <c r="EL16" s="31">
        <v>5.0051313299999997E-2</v>
      </c>
      <c r="EM16" s="30">
        <v>7.499599E-4</v>
      </c>
      <c r="EN16" s="31">
        <v>1.6711726199999999E-2</v>
      </c>
      <c r="EO16" s="30">
        <v>3.797343E-4</v>
      </c>
      <c r="EP16" s="31">
        <v>8.6966053999999997E-3</v>
      </c>
      <c r="EQ16" s="30">
        <v>2.5698730000000002E-4</v>
      </c>
      <c r="ER16" s="31">
        <v>5.5100803999999998E-3</v>
      </c>
      <c r="ES16" s="30">
        <v>1.8883140000000001E-4</v>
      </c>
      <c r="ET16" s="31">
        <v>3.9351849999999999E-3</v>
      </c>
      <c r="EU16" s="36">
        <v>1.421064E-4</v>
      </c>
      <c r="EV16" s="31"/>
      <c r="EW16" s="30"/>
      <c r="EX16" s="31"/>
      <c r="EY16" s="30"/>
      <c r="EZ16" s="31"/>
      <c r="FA16" s="30"/>
      <c r="FB16" s="31"/>
      <c r="FC16" s="30"/>
      <c r="FD16" s="31"/>
      <c r="FE16" s="36"/>
    </row>
    <row r="17" spans="1:161" x14ac:dyDescent="0.2">
      <c r="A17" s="12">
        <v>1200</v>
      </c>
      <c r="B17" s="2">
        <v>69756</v>
      </c>
      <c r="C17" s="15">
        <f t="shared" si="0"/>
        <v>1.79473635596685E-2</v>
      </c>
      <c r="D17" s="15">
        <f t="shared" si="5"/>
        <v>0.44685322943711359</v>
      </c>
      <c r="E17" s="15">
        <f t="shared" si="8"/>
        <v>160.76246537747738</v>
      </c>
      <c r="F17" s="26">
        <v>839.01402846999997</v>
      </c>
      <c r="G17" s="4">
        <v>1149.4592817</v>
      </c>
      <c r="H17" s="41">
        <f t="shared" si="6"/>
        <v>0.26020585406724034</v>
      </c>
      <c r="I17" s="4">
        <f t="shared" si="1"/>
        <v>84.943874479399994</v>
      </c>
      <c r="J17" s="4">
        <f>(I17*SUM($B$5:$B17)-I16*SUM($B$5:$B16))/$B17</f>
        <v>299.09603411026512</v>
      </c>
      <c r="K17" s="4">
        <f t="shared" si="2"/>
        <v>381.35848380970003</v>
      </c>
      <c r="L17" s="4">
        <f>(K17*SUM(B$5:B17)-K16*SUM(B$5:B16))/B17</f>
        <v>1169.0446732742769</v>
      </c>
      <c r="M17" s="41">
        <f t="shared" si="7"/>
        <v>1.7038786746156782E-2</v>
      </c>
      <c r="N17" s="4">
        <v>14.603916545000001</v>
      </c>
      <c r="O17" s="28">
        <v>2.8132540099999999E-2</v>
      </c>
      <c r="P17" s="26">
        <v>5.2751414199999999E-2</v>
      </c>
      <c r="Q17" s="28">
        <v>8.8683600000000006E-5</v>
      </c>
      <c r="R17" s="4">
        <v>91.325706330000003</v>
      </c>
      <c r="S17" s="28">
        <v>0.61486037319999998</v>
      </c>
      <c r="T17" s="4">
        <v>37.582820452</v>
      </c>
      <c r="U17" s="28">
        <v>0.2392482782</v>
      </c>
      <c r="V17" s="4">
        <v>5.8300468257000002</v>
      </c>
      <c r="W17" s="28">
        <v>5.1407319999999999E-2</v>
      </c>
      <c r="X17" s="29" t="s">
        <v>136</v>
      </c>
      <c r="Y17" s="30">
        <v>0</v>
      </c>
      <c r="Z17" s="4">
        <v>1.2708850211</v>
      </c>
      <c r="AA17" s="28">
        <v>3.9007311999999998E-3</v>
      </c>
      <c r="AB17" s="29" t="s">
        <v>136</v>
      </c>
      <c r="AC17" s="30">
        <v>0</v>
      </c>
      <c r="AD17" s="29" t="s">
        <v>136</v>
      </c>
      <c r="AE17" s="30">
        <v>0</v>
      </c>
      <c r="AF17" s="4">
        <v>3.2901214999999998E-2</v>
      </c>
      <c r="AG17" s="28">
        <v>3.9508389999999999E-4</v>
      </c>
      <c r="AH17" s="4">
        <v>7.1846391192999999</v>
      </c>
      <c r="AI17" s="28">
        <v>0.17837408399999999</v>
      </c>
      <c r="AJ17" s="29" t="s">
        <v>136</v>
      </c>
      <c r="AK17" s="30">
        <v>0</v>
      </c>
      <c r="AL17" s="4">
        <v>0</v>
      </c>
      <c r="AM17" s="28">
        <v>0</v>
      </c>
      <c r="AN17" s="29" t="s">
        <v>136</v>
      </c>
      <c r="AO17" s="30">
        <v>0</v>
      </c>
      <c r="AP17" s="29" t="s">
        <v>136</v>
      </c>
      <c r="AQ17" s="30">
        <v>0</v>
      </c>
      <c r="AR17" s="4">
        <f t="shared" si="3"/>
        <v>0</v>
      </c>
      <c r="AS17" s="28">
        <f t="shared" si="3"/>
        <v>0</v>
      </c>
      <c r="AT17" s="4">
        <v>48.272337268000001</v>
      </c>
      <c r="AU17" s="28">
        <v>0.81543734069999996</v>
      </c>
      <c r="AV17" s="29" t="s">
        <v>136</v>
      </c>
      <c r="AW17" s="30">
        <v>0</v>
      </c>
      <c r="AX17" s="29" t="s">
        <v>136</v>
      </c>
      <c r="AY17" s="30">
        <v>0</v>
      </c>
      <c r="AZ17" s="29" t="s">
        <v>136</v>
      </c>
      <c r="BA17" s="30">
        <v>0</v>
      </c>
      <c r="BB17" s="4">
        <v>25.240636898000002</v>
      </c>
      <c r="BC17" s="28">
        <v>1.0710896706999999</v>
      </c>
      <c r="BD17" s="4">
        <v>14.777018478</v>
      </c>
      <c r="BE17" s="28">
        <v>0.1636890832</v>
      </c>
      <c r="BF17" s="4">
        <v>6.9489162293</v>
      </c>
      <c r="BG17" s="28">
        <v>9.8651608700000004E-2</v>
      </c>
      <c r="BH17" s="4">
        <v>3.0861597597000001</v>
      </c>
      <c r="BI17" s="28">
        <v>3.5806350700000003E-2</v>
      </c>
      <c r="BJ17" s="31">
        <f t="shared" si="4"/>
        <v>4.7419424890000013</v>
      </c>
      <c r="BK17" s="30">
        <f t="shared" si="4"/>
        <v>2.9231123800000008E-2</v>
      </c>
      <c r="BL17" s="4">
        <v>0</v>
      </c>
      <c r="BM17" s="30">
        <v>0</v>
      </c>
      <c r="BN17" s="4">
        <v>50.240949764</v>
      </c>
      <c r="BO17" s="28">
        <v>0.74692878129999996</v>
      </c>
      <c r="BP17" s="28">
        <v>1.652115E-4</v>
      </c>
      <c r="BQ17" s="28">
        <v>3.0363630999999999E-7</v>
      </c>
      <c r="BR17" s="4">
        <v>50.586729968</v>
      </c>
      <c r="BS17" s="28">
        <v>2.0932110483000002</v>
      </c>
      <c r="BT17" s="4">
        <v>26.791538075999998</v>
      </c>
      <c r="BU17" s="28">
        <v>0.20992903130000001</v>
      </c>
      <c r="BV17" s="4">
        <v>7.5484542784000004</v>
      </c>
      <c r="BW17" s="28">
        <v>5.0077474800000001E-2</v>
      </c>
      <c r="BX17" s="4">
        <v>1.7152157000000001E-2</v>
      </c>
      <c r="BY17" s="28">
        <v>2.576438E-4</v>
      </c>
      <c r="BZ17" s="4">
        <v>0</v>
      </c>
      <c r="CA17" s="33">
        <v>0</v>
      </c>
      <c r="CB17" s="29" t="s">
        <v>136</v>
      </c>
      <c r="CC17" s="30">
        <v>0</v>
      </c>
      <c r="CD17" s="4">
        <v>0.1177214268</v>
      </c>
      <c r="CE17" s="28">
        <v>1.9987275999999998E-3</v>
      </c>
      <c r="CF17" s="4">
        <v>5.7123253988</v>
      </c>
      <c r="CG17" s="28">
        <v>4.94085924E-2</v>
      </c>
      <c r="CH17" s="29" t="s">
        <v>136</v>
      </c>
      <c r="CI17" s="30">
        <v>0</v>
      </c>
      <c r="CJ17" s="29" t="s">
        <v>136</v>
      </c>
      <c r="CK17" s="30">
        <v>0</v>
      </c>
      <c r="CL17" s="4">
        <v>0.23271481629999999</v>
      </c>
      <c r="CM17" s="28">
        <v>6.2631899999999996E-4</v>
      </c>
      <c r="CN17" s="4">
        <v>1.0381702048000001</v>
      </c>
      <c r="CO17" s="28">
        <v>3.2744122000000001E-3</v>
      </c>
      <c r="CP17" s="29" t="s">
        <v>136</v>
      </c>
      <c r="CQ17" s="30">
        <v>0</v>
      </c>
      <c r="CR17" s="29" t="s">
        <v>136</v>
      </c>
      <c r="CS17" s="30">
        <v>0</v>
      </c>
      <c r="CT17" s="29" t="s">
        <v>136</v>
      </c>
      <c r="CU17" s="30">
        <v>0</v>
      </c>
      <c r="CV17" s="29" t="s">
        <v>136</v>
      </c>
      <c r="CW17" s="30">
        <v>0</v>
      </c>
      <c r="CX17" s="4">
        <v>9.2015833999999994E-3</v>
      </c>
      <c r="CY17" s="28">
        <v>1.477281E-4</v>
      </c>
      <c r="CZ17" s="4">
        <v>2.36996316E-2</v>
      </c>
      <c r="DA17" s="28">
        <v>2.4735579999999999E-4</v>
      </c>
      <c r="DB17" s="4">
        <v>0.25244195689999999</v>
      </c>
      <c r="DC17" s="28">
        <v>3.6471297000000001E-3</v>
      </c>
      <c r="DD17" s="4">
        <v>6.9321971622999996</v>
      </c>
      <c r="DE17" s="28">
        <v>0.17472695429999999</v>
      </c>
      <c r="DF17" s="29" t="s">
        <v>136</v>
      </c>
      <c r="DG17" s="30">
        <v>0</v>
      </c>
      <c r="DH17" s="29" t="s">
        <v>136</v>
      </c>
      <c r="DI17" s="30">
        <v>0</v>
      </c>
      <c r="DJ17" s="4">
        <v>6.1222976792999999</v>
      </c>
      <c r="DK17" s="28">
        <v>0.1410517691</v>
      </c>
      <c r="DL17" s="4">
        <v>19.118339218999999</v>
      </c>
      <c r="DM17" s="28">
        <v>0.93003790159999999</v>
      </c>
      <c r="DN17" s="4">
        <v>2.8901972721</v>
      </c>
      <c r="DO17" s="28">
        <v>0.2083550636</v>
      </c>
      <c r="DP17" s="4">
        <v>47.350752491999998</v>
      </c>
      <c r="DQ17" s="28">
        <v>0.53857371769999995</v>
      </c>
      <c r="DR17" s="37">
        <v>8.7569699999999996E-5</v>
      </c>
      <c r="DS17" s="38">
        <v>1.4300200000000001E-4</v>
      </c>
      <c r="DT17" s="38">
        <v>1.6028289999999999E-4</v>
      </c>
      <c r="DU17" s="38">
        <v>1.6332090000000001E-4</v>
      </c>
      <c r="DV17" s="38">
        <v>1.6440129999999999E-4</v>
      </c>
      <c r="DW17" s="38">
        <v>1.652115E-4</v>
      </c>
      <c r="DX17" s="38">
        <v>1.652115E-4</v>
      </c>
      <c r="DY17" s="38">
        <v>1.652115E-4</v>
      </c>
      <c r="DZ17" s="38">
        <v>1.652115E-4</v>
      </c>
      <c r="EA17" s="39">
        <v>1.652115E-4</v>
      </c>
      <c r="EB17" s="40">
        <v>33.28787784</v>
      </c>
      <c r="EC17" s="30">
        <v>0.24354571420000001</v>
      </c>
      <c r="ED17" s="31">
        <v>11.156548782</v>
      </c>
      <c r="EE17" s="30">
        <v>8.7190994800000005E-2</v>
      </c>
      <c r="EF17" s="31">
        <v>3.4542389362999999</v>
      </c>
      <c r="EG17" s="30">
        <v>2.89066223E-2</v>
      </c>
      <c r="EH17" s="31">
        <v>0.98764705129999997</v>
      </c>
      <c r="EI17" s="30">
        <v>9.0331709999999996E-3</v>
      </c>
      <c r="EJ17" s="31">
        <v>0.27756075279999998</v>
      </c>
      <c r="EK17" s="30">
        <v>2.9280611000000001E-3</v>
      </c>
      <c r="EL17" s="31">
        <v>8.1769941299999996E-2</v>
      </c>
      <c r="EM17" s="30">
        <v>1.1044982E-3</v>
      </c>
      <c r="EN17" s="31">
        <v>2.7895106499999999E-2</v>
      </c>
      <c r="EO17" s="30">
        <v>5.4329560000000005E-4</v>
      </c>
      <c r="EP17" s="31">
        <v>1.3364851699999999E-2</v>
      </c>
      <c r="EQ17" s="30">
        <v>3.5023340000000001E-4</v>
      </c>
      <c r="ER17" s="31">
        <v>7.9505979000000001E-3</v>
      </c>
      <c r="ES17" s="30">
        <v>2.5263359999999998E-4</v>
      </c>
      <c r="ET17" s="31">
        <v>5.5021675999999999E-3</v>
      </c>
      <c r="EU17" s="36">
        <v>1.8903710000000001E-4</v>
      </c>
      <c r="EV17" s="31"/>
      <c r="EW17" s="30"/>
      <c r="EX17" s="31"/>
      <c r="EY17" s="30"/>
      <c r="EZ17" s="31"/>
      <c r="FA17" s="30"/>
      <c r="FB17" s="31"/>
      <c r="FC17" s="30"/>
      <c r="FD17" s="31"/>
      <c r="FE17" s="36"/>
    </row>
    <row r="18" spans="1:161" x14ac:dyDescent="0.2">
      <c r="A18" s="12">
        <v>1300</v>
      </c>
      <c r="B18" s="2">
        <v>65010</v>
      </c>
      <c r="C18" s="15">
        <f t="shared" si="0"/>
        <v>1.6726275947790144E-2</v>
      </c>
      <c r="D18" s="15">
        <f t="shared" si="5"/>
        <v>0.46357950538490372</v>
      </c>
      <c r="E18" s="15">
        <f t="shared" si="8"/>
        <v>177.84861074326992</v>
      </c>
      <c r="F18" s="26">
        <v>895.40469122000002</v>
      </c>
      <c r="G18" s="4">
        <v>1249.5687576</v>
      </c>
      <c r="H18" s="41">
        <f t="shared" si="6"/>
        <v>0.27323052802364445</v>
      </c>
      <c r="I18" s="4">
        <f t="shared" si="1"/>
        <v>94.197726177799993</v>
      </c>
      <c r="J18" s="4">
        <f>(I18*SUM($B$5:$B18)-I17*SUM($B$5:$B17))/$B18</f>
        <v>341.42033144089737</v>
      </c>
      <c r="K18" s="4">
        <f t="shared" si="2"/>
        <v>413.72636482729996</v>
      </c>
      <c r="L18" s="4">
        <f>(K18*SUM(B$5:B18)-K17*SUM(B$5:B17))/B18</f>
        <v>1278.4551429425326</v>
      </c>
      <c r="M18" s="41">
        <f t="shared" si="7"/>
        <v>2.3117083527291086E-2</v>
      </c>
      <c r="N18" s="4">
        <v>16.866040575</v>
      </c>
      <c r="O18" s="28">
        <v>3.1086397299999999E-2</v>
      </c>
      <c r="P18" s="26">
        <v>7.3299855600000005E-2</v>
      </c>
      <c r="Q18" s="28">
        <v>1.096004E-4</v>
      </c>
      <c r="R18" s="4">
        <v>96.232118572999994</v>
      </c>
      <c r="S18" s="28">
        <v>0.64661169730000001</v>
      </c>
      <c r="T18" s="4">
        <v>40.205531667000002</v>
      </c>
      <c r="U18" s="28">
        <v>0.25510330510000001</v>
      </c>
      <c r="V18" s="4">
        <v>6.4344305632000003</v>
      </c>
      <c r="W18" s="28">
        <v>5.6295237800000002E-2</v>
      </c>
      <c r="X18" s="29" t="s">
        <v>136</v>
      </c>
      <c r="Y18" s="30">
        <v>0</v>
      </c>
      <c r="Z18" s="4">
        <v>1.6767462077999999</v>
      </c>
      <c r="AA18" s="28">
        <v>4.7996317000000002E-3</v>
      </c>
      <c r="AB18" s="29" t="s">
        <v>136</v>
      </c>
      <c r="AC18" s="30">
        <v>0</v>
      </c>
      <c r="AD18" s="29" t="s">
        <v>136</v>
      </c>
      <c r="AE18" s="30">
        <v>0</v>
      </c>
      <c r="AF18" s="4">
        <v>3.7675023199999998E-2</v>
      </c>
      <c r="AG18" s="28">
        <v>4.407244E-4</v>
      </c>
      <c r="AH18" s="4">
        <v>8.0994447567000005</v>
      </c>
      <c r="AI18" s="28">
        <v>0.20015655660000001</v>
      </c>
      <c r="AJ18" s="29" t="s">
        <v>136</v>
      </c>
      <c r="AK18" s="30">
        <v>0</v>
      </c>
      <c r="AL18" s="4">
        <v>0</v>
      </c>
      <c r="AM18" s="28">
        <v>0</v>
      </c>
      <c r="AN18" s="29" t="s">
        <v>136</v>
      </c>
      <c r="AO18" s="30">
        <v>0</v>
      </c>
      <c r="AP18" s="29" t="s">
        <v>136</v>
      </c>
      <c r="AQ18" s="30">
        <v>0</v>
      </c>
      <c r="AR18" s="4">
        <f t="shared" si="3"/>
        <v>0</v>
      </c>
      <c r="AS18" s="28">
        <f t="shared" si="3"/>
        <v>0</v>
      </c>
      <c r="AT18" s="4">
        <v>51.7315775</v>
      </c>
      <c r="AU18" s="28">
        <v>0.868016652</v>
      </c>
      <c r="AV18" s="29" t="s">
        <v>136</v>
      </c>
      <c r="AW18" s="30">
        <v>0</v>
      </c>
      <c r="AX18" s="29" t="s">
        <v>136</v>
      </c>
      <c r="AY18" s="30">
        <v>0</v>
      </c>
      <c r="AZ18" s="29" t="s">
        <v>136</v>
      </c>
      <c r="BA18" s="30">
        <v>0</v>
      </c>
      <c r="BB18" s="4">
        <v>27.463876782</v>
      </c>
      <c r="BC18" s="28">
        <v>1.1454898189</v>
      </c>
      <c r="BD18" s="4">
        <v>16.571658005</v>
      </c>
      <c r="BE18" s="28">
        <v>0.17881937440000001</v>
      </c>
      <c r="BF18" s="4">
        <v>7.7789907733000003</v>
      </c>
      <c r="BG18" s="28">
        <v>0.10791348689999999</v>
      </c>
      <c r="BH18" s="4">
        <v>3.3887380233000002</v>
      </c>
      <c r="BI18" s="28">
        <v>3.8429030900000001E-2</v>
      </c>
      <c r="BJ18" s="31">
        <f t="shared" si="4"/>
        <v>5.4039292083999992</v>
      </c>
      <c r="BK18" s="30">
        <f t="shared" si="4"/>
        <v>3.247685660000002E-2</v>
      </c>
      <c r="BL18" s="4">
        <v>0</v>
      </c>
      <c r="BM18" s="30">
        <v>0</v>
      </c>
      <c r="BN18" s="4">
        <v>54.136239140999997</v>
      </c>
      <c r="BO18" s="28">
        <v>0.79761648659999995</v>
      </c>
      <c r="BP18" s="28">
        <v>2.0279710000000001E-4</v>
      </c>
      <c r="BQ18" s="28">
        <v>2.8966109999999998E-7</v>
      </c>
      <c r="BR18" s="4">
        <v>54.646013809000003</v>
      </c>
      <c r="BS18" s="28">
        <v>2.2234262663000002</v>
      </c>
      <c r="BT18" s="4">
        <v>30.941886013000001</v>
      </c>
      <c r="BU18" s="28">
        <v>0.24154175980000001</v>
      </c>
      <c r="BV18" s="4">
        <v>8.5893120061000001</v>
      </c>
      <c r="BW18" s="28">
        <v>5.5520554600000001E-2</v>
      </c>
      <c r="BX18" s="4">
        <v>2.05143497E-2</v>
      </c>
      <c r="BY18" s="28">
        <v>3.0836379999999998E-4</v>
      </c>
      <c r="BZ18" s="4">
        <v>0</v>
      </c>
      <c r="CA18" s="33">
        <v>0</v>
      </c>
      <c r="CB18" s="29" t="s">
        <v>136</v>
      </c>
      <c r="CC18" s="30">
        <v>0</v>
      </c>
      <c r="CD18" s="4">
        <v>0.12826781849999999</v>
      </c>
      <c r="CE18" s="28">
        <v>2.1468927999999999E-3</v>
      </c>
      <c r="CF18" s="4">
        <v>6.3061627446999999</v>
      </c>
      <c r="CG18" s="28">
        <v>5.4148345000000001E-2</v>
      </c>
      <c r="CH18" s="29" t="s">
        <v>136</v>
      </c>
      <c r="CI18" s="30">
        <v>0</v>
      </c>
      <c r="CJ18" s="29" t="s">
        <v>136</v>
      </c>
      <c r="CK18" s="30">
        <v>0</v>
      </c>
      <c r="CL18" s="4">
        <v>0.32959897310000003</v>
      </c>
      <c r="CM18" s="28">
        <v>7.9266180000000001E-4</v>
      </c>
      <c r="CN18" s="4">
        <v>1.3471472346</v>
      </c>
      <c r="CO18" s="28">
        <v>4.0069698999999999E-3</v>
      </c>
      <c r="CP18" s="29" t="s">
        <v>136</v>
      </c>
      <c r="CQ18" s="30">
        <v>0</v>
      </c>
      <c r="CR18" s="29" t="s">
        <v>136</v>
      </c>
      <c r="CS18" s="30">
        <v>0</v>
      </c>
      <c r="CT18" s="29" t="s">
        <v>136</v>
      </c>
      <c r="CU18" s="30">
        <v>0</v>
      </c>
      <c r="CV18" s="29" t="s">
        <v>136</v>
      </c>
      <c r="CW18" s="30">
        <v>0</v>
      </c>
      <c r="CX18" s="4">
        <v>1.0610732100000001E-2</v>
      </c>
      <c r="CY18" s="28">
        <v>1.573914E-4</v>
      </c>
      <c r="CZ18" s="4">
        <v>2.7064291099999999E-2</v>
      </c>
      <c r="DA18" s="28">
        <v>2.8333299999999998E-4</v>
      </c>
      <c r="DB18" s="4">
        <v>0.30591121290000001</v>
      </c>
      <c r="DC18" s="28">
        <v>4.4478616000000002E-3</v>
      </c>
      <c r="DD18" s="4">
        <v>7.7935335437999997</v>
      </c>
      <c r="DE18" s="28">
        <v>0.1957086951</v>
      </c>
      <c r="DF18" s="29" t="s">
        <v>136</v>
      </c>
      <c r="DG18" s="30">
        <v>0</v>
      </c>
      <c r="DH18" s="29" t="s">
        <v>136</v>
      </c>
      <c r="DI18" s="30">
        <v>0</v>
      </c>
      <c r="DJ18" s="4">
        <v>6.8038197801000004</v>
      </c>
      <c r="DK18" s="28">
        <v>0.15400268659999999</v>
      </c>
      <c r="DL18" s="4">
        <v>20.660057001999999</v>
      </c>
      <c r="DM18" s="28">
        <v>0.99148713219999995</v>
      </c>
      <c r="DN18" s="4">
        <v>3.2097227167</v>
      </c>
      <c r="DO18" s="28">
        <v>0.22611929410000001</v>
      </c>
      <c r="DP18" s="4">
        <v>50.926516423999999</v>
      </c>
      <c r="DQ18" s="28">
        <v>0.57149719249999997</v>
      </c>
      <c r="DR18" s="37">
        <v>1.0853640000000001E-4</v>
      </c>
      <c r="DS18" s="38">
        <v>1.77591E-4</v>
      </c>
      <c r="DT18" s="38">
        <v>1.9635E-4</v>
      </c>
      <c r="DU18" s="38">
        <v>1.998317E-4</v>
      </c>
      <c r="DV18" s="38">
        <v>2.014435E-4</v>
      </c>
      <c r="DW18" s="38">
        <v>2.0279710000000001E-4</v>
      </c>
      <c r="DX18" s="38">
        <v>2.0279710000000001E-4</v>
      </c>
      <c r="DY18" s="38">
        <v>2.0279710000000001E-4</v>
      </c>
      <c r="DZ18" s="38">
        <v>2.0279710000000001E-4</v>
      </c>
      <c r="EA18" s="39">
        <v>2.0279710000000001E-4</v>
      </c>
      <c r="EB18" s="40">
        <v>36.373859756000002</v>
      </c>
      <c r="EC18" s="30">
        <v>0.26461319360000002</v>
      </c>
      <c r="ED18" s="31">
        <v>12.749615377</v>
      </c>
      <c r="EE18" s="30">
        <v>9.8733355600000003E-2</v>
      </c>
      <c r="EF18" s="31">
        <v>4.1697749541000002</v>
      </c>
      <c r="EG18" s="30">
        <v>3.44315096E-2</v>
      </c>
      <c r="EH18" s="31">
        <v>1.2785681969</v>
      </c>
      <c r="EI18" s="30">
        <v>1.14446897E-2</v>
      </c>
      <c r="EJ18" s="31">
        <v>0.38647909600000002</v>
      </c>
      <c r="EK18" s="30">
        <v>3.9240710999999999E-3</v>
      </c>
      <c r="EL18" s="31">
        <v>0.1214912885</v>
      </c>
      <c r="EM18" s="30">
        <v>1.5260826E-3</v>
      </c>
      <c r="EN18" s="31">
        <v>4.2228294999999999E-2</v>
      </c>
      <c r="EO18" s="30">
        <v>7.3717640000000001E-4</v>
      </c>
      <c r="EP18" s="31">
        <v>1.98119517E-2</v>
      </c>
      <c r="EQ18" s="30">
        <v>4.6372749999999999E-4</v>
      </c>
      <c r="ER18" s="31">
        <v>1.1263055900000001E-2</v>
      </c>
      <c r="ES18" s="30">
        <v>3.2954380000000001E-4</v>
      </c>
      <c r="ET18" s="31">
        <v>7.5269317000000004E-3</v>
      </c>
      <c r="EU18" s="36">
        <v>2.4736339999999998E-4</v>
      </c>
      <c r="EV18" s="31"/>
      <c r="EW18" s="30"/>
      <c r="EX18" s="31"/>
      <c r="EY18" s="30"/>
      <c r="EZ18" s="31"/>
      <c r="FA18" s="30"/>
      <c r="FB18" s="31"/>
      <c r="FC18" s="30"/>
      <c r="FD18" s="31"/>
      <c r="FE18" s="36"/>
    </row>
    <row r="19" spans="1:161" x14ac:dyDescent="0.2">
      <c r="A19" s="12">
        <v>1400</v>
      </c>
      <c r="B19" s="2">
        <v>61594</v>
      </c>
      <c r="C19" s="15">
        <f t="shared" si="0"/>
        <v>1.5847381029506016E-2</v>
      </c>
      <c r="D19" s="15">
        <f t="shared" si="5"/>
        <v>0.47942688641440973</v>
      </c>
      <c r="E19" s="15">
        <f t="shared" si="8"/>
        <v>195.02897581928158</v>
      </c>
      <c r="F19" s="26">
        <v>950.27524086999995</v>
      </c>
      <c r="G19" s="4">
        <v>1349.4916181999999</v>
      </c>
      <c r="H19" s="41">
        <f t="shared" si="6"/>
        <v>0.28064904883928726</v>
      </c>
      <c r="I19" s="4">
        <f t="shared" si="1"/>
        <v>103.60301313839999</v>
      </c>
      <c r="J19" s="4">
        <f>(I19*SUM($B$5:$B19)-I18*SUM($B$5:$B18))/$B19</f>
        <v>378.7335390644206</v>
      </c>
      <c r="K19" s="4">
        <f t="shared" si="2"/>
        <v>445.78842355839998</v>
      </c>
      <c r="L19" s="4">
        <f>(K19*SUM(B$5:B19)-K18*SUM(B$5:B18))/B19</f>
        <v>1383.6918727473403</v>
      </c>
      <c r="M19" s="41">
        <f t="shared" si="7"/>
        <v>2.5343065556018705E-2</v>
      </c>
      <c r="N19" s="4">
        <v>19.174049138000001</v>
      </c>
      <c r="O19" s="28">
        <v>3.3963518700000001E-2</v>
      </c>
      <c r="P19" s="26">
        <v>9.5470512699999996E-2</v>
      </c>
      <c r="Q19" s="28">
        <v>1.2983609999999999E-4</v>
      </c>
      <c r="R19" s="4">
        <v>100.79608373000001</v>
      </c>
      <c r="S19" s="28">
        <v>0.67603588169999995</v>
      </c>
      <c r="T19" s="4">
        <v>42.740896632000002</v>
      </c>
      <c r="U19" s="28">
        <v>0.27041108539999997</v>
      </c>
      <c r="V19" s="4">
        <v>7.0580980961000002</v>
      </c>
      <c r="W19" s="28">
        <v>6.1301629900000001E-2</v>
      </c>
      <c r="X19" s="29" t="s">
        <v>136</v>
      </c>
      <c r="Y19" s="30">
        <v>0</v>
      </c>
      <c r="Z19" s="4">
        <v>2.1341088805999999</v>
      </c>
      <c r="AA19" s="28">
        <v>5.7621477999999999E-3</v>
      </c>
      <c r="AB19" s="29" t="s">
        <v>136</v>
      </c>
      <c r="AC19" s="30">
        <v>0</v>
      </c>
      <c r="AD19" s="29" t="s">
        <v>136</v>
      </c>
      <c r="AE19" s="30">
        <v>0</v>
      </c>
      <c r="AF19" s="4">
        <v>4.3619156300000003E-2</v>
      </c>
      <c r="AG19" s="28">
        <v>5.0484010000000003E-4</v>
      </c>
      <c r="AH19" s="4">
        <v>9.0140403983000006</v>
      </c>
      <c r="AI19" s="28">
        <v>0.22196686239999999</v>
      </c>
      <c r="AJ19" s="29" t="s">
        <v>136</v>
      </c>
      <c r="AK19" s="30">
        <v>0</v>
      </c>
      <c r="AL19" s="4">
        <v>0</v>
      </c>
      <c r="AM19" s="28">
        <v>0</v>
      </c>
      <c r="AN19" s="29" t="s">
        <v>136</v>
      </c>
      <c r="AO19" s="30">
        <v>0</v>
      </c>
      <c r="AP19" s="29" t="s">
        <v>136</v>
      </c>
      <c r="AQ19" s="30">
        <v>0</v>
      </c>
      <c r="AR19" s="4">
        <f t="shared" si="3"/>
        <v>0</v>
      </c>
      <c r="AS19" s="28">
        <f t="shared" si="3"/>
        <v>0</v>
      </c>
      <c r="AT19" s="4">
        <v>55.035526683999997</v>
      </c>
      <c r="AU19" s="28">
        <v>0.91700292679999995</v>
      </c>
      <c r="AV19" s="29" t="s">
        <v>136</v>
      </c>
      <c r="AW19" s="30">
        <v>0</v>
      </c>
      <c r="AX19" s="29" t="s">
        <v>136</v>
      </c>
      <c r="AY19" s="30">
        <v>0</v>
      </c>
      <c r="AZ19" s="29" t="s">
        <v>136</v>
      </c>
      <c r="BA19" s="30">
        <v>0</v>
      </c>
      <c r="BB19" s="4">
        <v>29.647703735</v>
      </c>
      <c r="BC19" s="28">
        <v>1.2160432224</v>
      </c>
      <c r="BD19" s="4">
        <v>18.414089271000002</v>
      </c>
      <c r="BE19" s="28">
        <v>0.19398006570000001</v>
      </c>
      <c r="BF19" s="4">
        <v>8.5869903513000008</v>
      </c>
      <c r="BG19" s="28">
        <v>0.1170124474</v>
      </c>
      <c r="BH19" s="4">
        <v>3.6978203070000002</v>
      </c>
      <c r="BI19" s="28">
        <v>4.1084545700000002E-2</v>
      </c>
      <c r="BJ19" s="31">
        <f t="shared" si="4"/>
        <v>6.1292786127000003</v>
      </c>
      <c r="BK19" s="30">
        <f t="shared" si="4"/>
        <v>3.588307260000001E-2</v>
      </c>
      <c r="BL19" s="4">
        <v>0</v>
      </c>
      <c r="BM19" s="30">
        <v>0</v>
      </c>
      <c r="BN19" s="4">
        <v>58.031724185999998</v>
      </c>
      <c r="BO19" s="28">
        <v>0.8457683412</v>
      </c>
      <c r="BP19" s="28">
        <v>2.4169149999999999E-4</v>
      </c>
      <c r="BQ19" s="28">
        <v>2.7754914999999998E-7</v>
      </c>
      <c r="BR19" s="4">
        <v>58.540509247999999</v>
      </c>
      <c r="BS19" s="28">
        <v>2.3448240114000001</v>
      </c>
      <c r="BT19" s="4">
        <v>35.353304856999998</v>
      </c>
      <c r="BU19" s="28">
        <v>0.27485562120000001</v>
      </c>
      <c r="BV19" s="4">
        <v>9.6866491725999992</v>
      </c>
      <c r="BW19" s="28">
        <v>6.11614246E-2</v>
      </c>
      <c r="BX19" s="4">
        <v>2.2549860800000002E-2</v>
      </c>
      <c r="BY19" s="28">
        <v>3.4584900000000002E-4</v>
      </c>
      <c r="BZ19" s="4">
        <v>0</v>
      </c>
      <c r="CA19" s="33">
        <v>0</v>
      </c>
      <c r="CB19" s="29" t="s">
        <v>136</v>
      </c>
      <c r="CC19" s="30">
        <v>0</v>
      </c>
      <c r="CD19" s="4">
        <v>0.1366563069</v>
      </c>
      <c r="CE19" s="28">
        <v>2.2478405999999999E-3</v>
      </c>
      <c r="CF19" s="4">
        <v>6.9214417892000002</v>
      </c>
      <c r="CG19" s="28">
        <v>5.9053789299999999E-2</v>
      </c>
      <c r="CH19" s="29" t="s">
        <v>136</v>
      </c>
      <c r="CI19" s="30">
        <v>0</v>
      </c>
      <c r="CJ19" s="29" t="s">
        <v>136</v>
      </c>
      <c r="CK19" s="30">
        <v>0</v>
      </c>
      <c r="CL19" s="4">
        <v>0.4582290825</v>
      </c>
      <c r="CM19" s="28">
        <v>1.0039981999999999E-3</v>
      </c>
      <c r="CN19" s="4">
        <v>1.6758797981</v>
      </c>
      <c r="CO19" s="28">
        <v>4.7581495999999999E-3</v>
      </c>
      <c r="CP19" s="29" t="s">
        <v>136</v>
      </c>
      <c r="CQ19" s="30">
        <v>0</v>
      </c>
      <c r="CR19" s="29" t="s">
        <v>136</v>
      </c>
      <c r="CS19" s="30">
        <v>0</v>
      </c>
      <c r="CT19" s="29" t="s">
        <v>136</v>
      </c>
      <c r="CU19" s="30">
        <v>0</v>
      </c>
      <c r="CV19" s="29" t="s">
        <v>136</v>
      </c>
      <c r="CW19" s="30">
        <v>0</v>
      </c>
      <c r="CX19" s="4">
        <v>1.16835094E-2</v>
      </c>
      <c r="CY19" s="28">
        <v>1.646811E-4</v>
      </c>
      <c r="CZ19" s="4">
        <v>3.1935646900000003E-2</v>
      </c>
      <c r="DA19" s="28">
        <v>3.4015899999999998E-4</v>
      </c>
      <c r="DB19" s="4">
        <v>0.36764777170000001</v>
      </c>
      <c r="DC19" s="28">
        <v>5.2668115999999999E-3</v>
      </c>
      <c r="DD19" s="4">
        <v>8.6463926266000009</v>
      </c>
      <c r="DE19" s="28">
        <v>0.21670005070000001</v>
      </c>
      <c r="DF19" s="29" t="s">
        <v>136</v>
      </c>
      <c r="DG19" s="30">
        <v>0</v>
      </c>
      <c r="DH19" s="29" t="s">
        <v>136</v>
      </c>
      <c r="DI19" s="30">
        <v>0</v>
      </c>
      <c r="DJ19" s="4">
        <v>7.4945652886999996</v>
      </c>
      <c r="DK19" s="28">
        <v>0.1666644427</v>
      </c>
      <c r="DL19" s="4">
        <v>22.153138446</v>
      </c>
      <c r="DM19" s="28">
        <v>1.0493787797</v>
      </c>
      <c r="DN19" s="4">
        <v>3.552611615</v>
      </c>
      <c r="DO19" s="28">
        <v>0.24304842039999999</v>
      </c>
      <c r="DP19" s="4">
        <v>54.479112571000002</v>
      </c>
      <c r="DQ19" s="28">
        <v>0.60271992090000004</v>
      </c>
      <c r="DR19" s="37">
        <v>1.2881549999999999E-4</v>
      </c>
      <c r="DS19" s="38">
        <v>2.1042829999999999E-4</v>
      </c>
      <c r="DT19" s="38">
        <v>2.3306910000000001E-4</v>
      </c>
      <c r="DU19" s="38">
        <v>2.3738669999999999E-4</v>
      </c>
      <c r="DV19" s="38">
        <v>2.3966290000000001E-4</v>
      </c>
      <c r="DW19" s="38">
        <v>2.4169149999999999E-4</v>
      </c>
      <c r="DX19" s="38">
        <v>2.4169149999999999E-4</v>
      </c>
      <c r="DY19" s="38">
        <v>2.4169149999999999E-4</v>
      </c>
      <c r="DZ19" s="38">
        <v>2.4169149999999999E-4</v>
      </c>
      <c r="EA19" s="39">
        <v>2.4169149999999999E-4</v>
      </c>
      <c r="EB19" s="40">
        <v>39.308492100000002</v>
      </c>
      <c r="EC19" s="30">
        <v>0.28446002129999998</v>
      </c>
      <c r="ED19" s="31">
        <v>14.327155380000001</v>
      </c>
      <c r="EE19" s="30">
        <v>0.10997487810000001</v>
      </c>
      <c r="EF19" s="31">
        <v>4.9094650516999998</v>
      </c>
      <c r="EG19" s="30">
        <v>3.9998116399999999E-2</v>
      </c>
      <c r="EH19" s="31">
        <v>1.5911996944</v>
      </c>
      <c r="EI19" s="30">
        <v>1.3954114300000001E-2</v>
      </c>
      <c r="EJ19" s="31">
        <v>0.51124376920000003</v>
      </c>
      <c r="EK19" s="30">
        <v>5.0127627000000003E-3</v>
      </c>
      <c r="EL19" s="31">
        <v>0.16990239230000001</v>
      </c>
      <c r="EM19" s="30">
        <v>2.0014856000000001E-3</v>
      </c>
      <c r="EN19" s="31">
        <v>6.12475517E-2</v>
      </c>
      <c r="EO19" s="30">
        <v>9.5517479999999999E-4</v>
      </c>
      <c r="EP19" s="31">
        <v>2.7448268000000001E-2</v>
      </c>
      <c r="EQ19" s="30">
        <v>5.7436900000000003E-4</v>
      </c>
      <c r="ER19" s="31">
        <v>1.4935928500000001E-2</v>
      </c>
      <c r="ES19" s="30">
        <v>3.9743919999999999E-4</v>
      </c>
      <c r="ET19" s="31">
        <v>9.8760962999999997E-3</v>
      </c>
      <c r="EU19" s="36">
        <v>2.973699E-4</v>
      </c>
      <c r="EV19" s="31"/>
      <c r="EW19" s="30"/>
      <c r="EX19" s="31"/>
      <c r="EY19" s="30"/>
      <c r="EZ19" s="31"/>
      <c r="FA19" s="30"/>
      <c r="FB19" s="31"/>
      <c r="FC19" s="30"/>
      <c r="FD19" s="31"/>
      <c r="FE19" s="36"/>
    </row>
    <row r="20" spans="1:161" x14ac:dyDescent="0.2">
      <c r="A20" s="12">
        <v>1500</v>
      </c>
      <c r="B20" s="2">
        <v>58244</v>
      </c>
      <c r="C20" s="15">
        <f t="shared" si="0"/>
        <v>1.4985467102031826E-2</v>
      </c>
      <c r="D20" s="15">
        <f t="shared" si="5"/>
        <v>0.49441235351644153</v>
      </c>
      <c r="E20" s="15">
        <f t="shared" si="8"/>
        <v>212.1867211814064</v>
      </c>
      <c r="F20" s="26">
        <v>1003.6087972</v>
      </c>
      <c r="G20" s="4">
        <v>1449.7236034</v>
      </c>
      <c r="H20" s="41">
        <f t="shared" si="6"/>
        <v>0.29112132798031737</v>
      </c>
      <c r="I20" s="4">
        <f t="shared" si="1"/>
        <v>113.2548933691</v>
      </c>
      <c r="J20" s="4">
        <f>(I20*SUM($B$5:$B20)-I19*SUM($B$5:$B19))/$B20</f>
        <v>422.04546062621893</v>
      </c>
      <c r="K20" s="4">
        <f t="shared" si="2"/>
        <v>477.37400351360003</v>
      </c>
      <c r="L20" s="4">
        <f>(K20*SUM(B$5:B20)-K19*SUM(B$5:B19))/B20</f>
        <v>1487.8847970985244</v>
      </c>
      <c r="M20" s="41">
        <f t="shared" si="7"/>
        <v>2.6323082282047335E-2</v>
      </c>
      <c r="N20" s="4">
        <v>21.405644253999998</v>
      </c>
      <c r="O20" s="28">
        <v>3.6639728900000001E-2</v>
      </c>
      <c r="P20" s="26">
        <v>0.12763136410000001</v>
      </c>
      <c r="Q20" s="28">
        <v>1.5758530000000001E-4</v>
      </c>
      <c r="R20" s="4">
        <v>105.0441716</v>
      </c>
      <c r="S20" s="28">
        <v>0.70337585560000004</v>
      </c>
      <c r="T20" s="4">
        <v>45.210083883999999</v>
      </c>
      <c r="U20" s="28">
        <v>0.28525290819999999</v>
      </c>
      <c r="V20" s="4">
        <v>7.6704905739000004</v>
      </c>
      <c r="W20" s="28">
        <v>6.6286184299999995E-2</v>
      </c>
      <c r="X20" s="29" t="s">
        <v>136</v>
      </c>
      <c r="Y20" s="30">
        <v>0</v>
      </c>
      <c r="Z20" s="4">
        <v>2.6469289921999999</v>
      </c>
      <c r="AA20" s="28">
        <v>6.8008595999999996E-3</v>
      </c>
      <c r="AB20" s="29" t="s">
        <v>136</v>
      </c>
      <c r="AC20" s="30">
        <v>0</v>
      </c>
      <c r="AD20" s="29" t="s">
        <v>136</v>
      </c>
      <c r="AE20" s="30">
        <v>0</v>
      </c>
      <c r="AF20" s="4">
        <v>5.1822655099999997E-2</v>
      </c>
      <c r="AG20" s="28">
        <v>5.8021440000000004E-4</v>
      </c>
      <c r="AH20" s="4">
        <v>9.9614688521999994</v>
      </c>
      <c r="AI20" s="28">
        <v>0.24466884180000001</v>
      </c>
      <c r="AJ20" s="29" t="s">
        <v>136</v>
      </c>
      <c r="AK20" s="30">
        <v>0</v>
      </c>
      <c r="AL20" s="4">
        <v>0</v>
      </c>
      <c r="AM20" s="28">
        <v>0</v>
      </c>
      <c r="AN20" s="29" t="s">
        <v>136</v>
      </c>
      <c r="AO20" s="30">
        <v>0</v>
      </c>
      <c r="AP20" s="29" t="s">
        <v>136</v>
      </c>
      <c r="AQ20" s="30">
        <v>0</v>
      </c>
      <c r="AR20" s="4">
        <f t="shared" si="3"/>
        <v>0</v>
      </c>
      <c r="AS20" s="28">
        <f t="shared" si="3"/>
        <v>0</v>
      </c>
      <c r="AT20" s="4">
        <v>58.144775099999997</v>
      </c>
      <c r="AU20" s="28">
        <v>0.96285776899999997</v>
      </c>
      <c r="AV20" s="29" t="s">
        <v>136</v>
      </c>
      <c r="AW20" s="30">
        <v>0</v>
      </c>
      <c r="AX20" s="29" t="s">
        <v>136</v>
      </c>
      <c r="AY20" s="30">
        <v>0</v>
      </c>
      <c r="AZ20" s="29" t="s">
        <v>136</v>
      </c>
      <c r="BA20" s="30">
        <v>0</v>
      </c>
      <c r="BB20" s="4">
        <v>31.763248669999999</v>
      </c>
      <c r="BC20" s="28">
        <v>1.2835369414</v>
      </c>
      <c r="BD20" s="4">
        <v>20.224576469999999</v>
      </c>
      <c r="BE20" s="28">
        <v>0.20838940510000001</v>
      </c>
      <c r="BF20" s="4">
        <v>9.4138341741999998</v>
      </c>
      <c r="BG20" s="28">
        <v>0.12573892049999999</v>
      </c>
      <c r="BH20" s="4">
        <v>3.9999070221999999</v>
      </c>
      <c r="BI20" s="28">
        <v>4.3602804100000003E-2</v>
      </c>
      <c r="BJ20" s="31">
        <f t="shared" si="4"/>
        <v>6.8108352735999986</v>
      </c>
      <c r="BK20" s="30">
        <f t="shared" si="4"/>
        <v>3.9047680500000015E-2</v>
      </c>
      <c r="BL20" s="4">
        <v>0</v>
      </c>
      <c r="BM20" s="30">
        <v>0</v>
      </c>
      <c r="BN20" s="4">
        <v>61.868267729000003</v>
      </c>
      <c r="BO20" s="28">
        <v>0.89289545660000003</v>
      </c>
      <c r="BP20" s="28">
        <v>2.908128E-4</v>
      </c>
      <c r="BQ20" s="28">
        <v>5.3427660999999998E-7</v>
      </c>
      <c r="BR20" s="4">
        <v>62.260477940000001</v>
      </c>
      <c r="BS20" s="28">
        <v>2.4593890263999998</v>
      </c>
      <c r="BT20" s="4">
        <v>40.192343397000002</v>
      </c>
      <c r="BU20" s="28">
        <v>0.311850613</v>
      </c>
      <c r="BV20" s="4">
        <v>10.777223973</v>
      </c>
      <c r="BW20" s="28">
        <v>6.6735288399999995E-2</v>
      </c>
      <c r="BX20" s="4">
        <v>2.48480591E-2</v>
      </c>
      <c r="BY20" s="28">
        <v>3.7177299999999999E-4</v>
      </c>
      <c r="BZ20" s="4">
        <v>0</v>
      </c>
      <c r="CA20" s="33">
        <v>0</v>
      </c>
      <c r="CB20" s="29" t="s">
        <v>136</v>
      </c>
      <c r="CC20" s="30">
        <v>0</v>
      </c>
      <c r="CD20" s="4">
        <v>0.14603114070000001</v>
      </c>
      <c r="CE20" s="28">
        <v>2.3657379E-3</v>
      </c>
      <c r="CF20" s="4">
        <v>7.5244594331999997</v>
      </c>
      <c r="CG20" s="28">
        <v>6.3920446500000005E-2</v>
      </c>
      <c r="CH20" s="29" t="s">
        <v>136</v>
      </c>
      <c r="CI20" s="30">
        <v>0</v>
      </c>
      <c r="CJ20" s="29" t="s">
        <v>136</v>
      </c>
      <c r="CK20" s="30">
        <v>0</v>
      </c>
      <c r="CL20" s="4">
        <v>0.60290704260000005</v>
      </c>
      <c r="CM20" s="28">
        <v>1.2215046E-3</v>
      </c>
      <c r="CN20" s="4">
        <v>2.0440219495999998</v>
      </c>
      <c r="CO20" s="28">
        <v>5.5793550000000003E-3</v>
      </c>
      <c r="CP20" s="29" t="s">
        <v>136</v>
      </c>
      <c r="CQ20" s="30">
        <v>0</v>
      </c>
      <c r="CR20" s="29" t="s">
        <v>136</v>
      </c>
      <c r="CS20" s="30">
        <v>0</v>
      </c>
      <c r="CT20" s="29" t="s">
        <v>136</v>
      </c>
      <c r="CU20" s="30">
        <v>0</v>
      </c>
      <c r="CV20" s="29" t="s">
        <v>136</v>
      </c>
      <c r="CW20" s="30">
        <v>0</v>
      </c>
      <c r="CX20" s="4">
        <v>1.3301719E-2</v>
      </c>
      <c r="CY20" s="28">
        <v>1.767633E-4</v>
      </c>
      <c r="CZ20" s="4">
        <v>3.85209361E-2</v>
      </c>
      <c r="DA20" s="28">
        <v>4.0345110000000002E-4</v>
      </c>
      <c r="DB20" s="4">
        <v>0.42541705320000001</v>
      </c>
      <c r="DC20" s="28">
        <v>5.9998669999999999E-3</v>
      </c>
      <c r="DD20" s="4">
        <v>9.5360517990000009</v>
      </c>
      <c r="DE20" s="28">
        <v>0.23866897470000001</v>
      </c>
      <c r="DF20" s="29" t="s">
        <v>136</v>
      </c>
      <c r="DG20" s="30">
        <v>0</v>
      </c>
      <c r="DH20" s="29" t="s">
        <v>136</v>
      </c>
      <c r="DI20" s="30">
        <v>0</v>
      </c>
      <c r="DJ20" s="4">
        <v>8.1658618918000005</v>
      </c>
      <c r="DK20" s="28">
        <v>0.17860308729999999</v>
      </c>
      <c r="DL20" s="4">
        <v>23.597386778000001</v>
      </c>
      <c r="DM20" s="28">
        <v>1.1049338541</v>
      </c>
      <c r="DN20" s="4">
        <v>3.9398700638999999</v>
      </c>
      <c r="DO20" s="28">
        <v>0.25965898500000001</v>
      </c>
      <c r="DP20" s="4">
        <v>57.928397664999999</v>
      </c>
      <c r="DQ20" s="28">
        <v>0.63323647159999996</v>
      </c>
      <c r="DR20" s="37">
        <v>1.566018E-4</v>
      </c>
      <c r="DS20" s="38">
        <v>2.5593429999999997E-4</v>
      </c>
      <c r="DT20" s="38">
        <v>2.8219230000000001E-4</v>
      </c>
      <c r="DU20" s="38">
        <v>2.866349E-4</v>
      </c>
      <c r="DV20" s="38">
        <v>2.8884320000000001E-4</v>
      </c>
      <c r="DW20" s="38">
        <v>2.908128E-4</v>
      </c>
      <c r="DX20" s="38">
        <v>2.908128E-4</v>
      </c>
      <c r="DY20" s="38">
        <v>2.908128E-4</v>
      </c>
      <c r="DZ20" s="38">
        <v>2.908128E-4</v>
      </c>
      <c r="EA20" s="39">
        <v>2.908128E-4</v>
      </c>
      <c r="EB20" s="40">
        <v>42.090391441000001</v>
      </c>
      <c r="EC20" s="30">
        <v>0.30319851209999998</v>
      </c>
      <c r="ED20" s="31">
        <v>15.847402365000001</v>
      </c>
      <c r="EE20" s="30">
        <v>0.1207623803</v>
      </c>
      <c r="EF20" s="31">
        <v>5.6515613090999999</v>
      </c>
      <c r="EG20" s="30">
        <v>4.5560599E-2</v>
      </c>
      <c r="EH20" s="31">
        <v>1.9201113320000001</v>
      </c>
      <c r="EI20" s="30">
        <v>1.65823012E-2</v>
      </c>
      <c r="EJ20" s="31">
        <v>0.64684842300000001</v>
      </c>
      <c r="EK20" s="30">
        <v>6.1920791000000001E-3</v>
      </c>
      <c r="EL20" s="31">
        <v>0.22575116279999999</v>
      </c>
      <c r="EM20" s="30">
        <v>2.5464813999999999E-3</v>
      </c>
      <c r="EN20" s="31">
        <v>8.3831243700000002E-2</v>
      </c>
      <c r="EO20" s="30">
        <v>1.2186728999999999E-3</v>
      </c>
      <c r="EP20" s="31">
        <v>3.7207000900000002E-2</v>
      </c>
      <c r="EQ20" s="30">
        <v>7.2026540000000002E-4</v>
      </c>
      <c r="ER20" s="31">
        <v>2.02126784E-2</v>
      </c>
      <c r="ES20" s="30">
        <v>4.9492500000000001E-4</v>
      </c>
      <c r="ET20" s="31">
        <v>1.32274244E-2</v>
      </c>
      <c r="EU20" s="36">
        <v>3.7027160000000002E-4</v>
      </c>
      <c r="EV20" s="31"/>
      <c r="EW20" s="30"/>
      <c r="EX20" s="31"/>
      <c r="EY20" s="30"/>
      <c r="EZ20" s="31"/>
      <c r="FA20" s="30"/>
      <c r="FB20" s="31"/>
      <c r="FC20" s="30"/>
      <c r="FD20" s="31"/>
      <c r="FE20" s="36"/>
    </row>
    <row r="21" spans="1:161" x14ac:dyDescent="0.2">
      <c r="A21" s="12">
        <v>1600</v>
      </c>
      <c r="B21" s="2">
        <v>55101</v>
      </c>
      <c r="C21" s="15">
        <f t="shared" si="0"/>
        <v>1.4176811736643357E-2</v>
      </c>
      <c r="D21" s="15">
        <f t="shared" si="5"/>
        <v>0.50858916525308484</v>
      </c>
      <c r="E21" s="15">
        <f t="shared" si="8"/>
        <v>229.25954781448428</v>
      </c>
      <c r="F21" s="26">
        <v>1055.6048674000001</v>
      </c>
      <c r="G21" s="4">
        <v>1549.5973337</v>
      </c>
      <c r="H21" s="41">
        <f t="shared" si="6"/>
        <v>0.29692393440187459</v>
      </c>
      <c r="I21" s="4">
        <f t="shared" si="1"/>
        <v>122.92347431809999</v>
      </c>
      <c r="J21" s="4">
        <f>(I21*SUM($B$5:$B21)-I20*SUM($B$5:$B20))/$B21</f>
        <v>460.11253706085859</v>
      </c>
      <c r="K21" s="4">
        <f t="shared" si="2"/>
        <v>508.35190720189996</v>
      </c>
      <c r="L21" s="4">
        <f>(K21*SUM(B$5:B21)-K20*SUM(B$5:B20))/B21</f>
        <v>1588.6976544724621</v>
      </c>
      <c r="M21" s="41">
        <f t="shared" si="7"/>
        <v>2.5232568437054258E-2</v>
      </c>
      <c r="N21" s="4">
        <v>23.715141862999999</v>
      </c>
      <c r="O21" s="28">
        <v>3.9306124400000003E-2</v>
      </c>
      <c r="P21" s="26">
        <v>0.162859122</v>
      </c>
      <c r="Q21" s="28">
        <v>1.8591840000000001E-4</v>
      </c>
      <c r="R21" s="4">
        <v>109.03268386000001</v>
      </c>
      <c r="S21" s="28">
        <v>0.72944036469999995</v>
      </c>
      <c r="T21" s="4">
        <v>47.547871121</v>
      </c>
      <c r="U21" s="28">
        <v>0.29940648310000001</v>
      </c>
      <c r="V21" s="4">
        <v>8.2631776778999999</v>
      </c>
      <c r="W21" s="28">
        <v>7.10687339E-2</v>
      </c>
      <c r="X21" s="29" t="s">
        <v>136</v>
      </c>
      <c r="Y21" s="30">
        <v>0</v>
      </c>
      <c r="Z21" s="4">
        <v>3.2395189092000001</v>
      </c>
      <c r="AA21" s="28">
        <v>8.0246316000000002E-3</v>
      </c>
      <c r="AB21" s="29" t="s">
        <v>136</v>
      </c>
      <c r="AC21" s="30">
        <v>0</v>
      </c>
      <c r="AD21" s="29" t="s">
        <v>136</v>
      </c>
      <c r="AE21" s="30">
        <v>0</v>
      </c>
      <c r="AF21" s="4">
        <v>6.1202341700000003E-2</v>
      </c>
      <c r="AG21" s="28">
        <v>6.8530710000000005E-4</v>
      </c>
      <c r="AH21" s="4">
        <v>10.955035780999999</v>
      </c>
      <c r="AI21" s="28">
        <v>0.26755185009999999</v>
      </c>
      <c r="AJ21" s="29" t="s">
        <v>136</v>
      </c>
      <c r="AK21" s="30">
        <v>0</v>
      </c>
      <c r="AL21" s="4">
        <v>0</v>
      </c>
      <c r="AM21" s="28">
        <v>0</v>
      </c>
      <c r="AN21" s="29" t="s">
        <v>136</v>
      </c>
      <c r="AO21" s="30">
        <v>0</v>
      </c>
      <c r="AP21" s="29" t="s">
        <v>136</v>
      </c>
      <c r="AQ21" s="30">
        <v>0</v>
      </c>
      <c r="AR21" s="4">
        <f t="shared" si="3"/>
        <v>0</v>
      </c>
      <c r="AS21" s="28">
        <f t="shared" si="3"/>
        <v>0</v>
      </c>
      <c r="AT21" s="4">
        <v>61.133716065000002</v>
      </c>
      <c r="AU21" s="28">
        <v>1.0054700541999999</v>
      </c>
      <c r="AV21" s="29" t="s">
        <v>136</v>
      </c>
      <c r="AW21" s="30">
        <v>0</v>
      </c>
      <c r="AX21" s="29" t="s">
        <v>136</v>
      </c>
      <c r="AY21" s="30">
        <v>0</v>
      </c>
      <c r="AZ21" s="29" t="s">
        <v>136</v>
      </c>
      <c r="BA21" s="30">
        <v>0</v>
      </c>
      <c r="BB21" s="4">
        <v>33.773218419000003</v>
      </c>
      <c r="BC21" s="28">
        <v>1.3468408216000001</v>
      </c>
      <c r="BD21" s="4">
        <v>22.003210863</v>
      </c>
      <c r="BE21" s="28">
        <v>0.2221990559</v>
      </c>
      <c r="BF21" s="4">
        <v>10.214128017</v>
      </c>
      <c r="BG21" s="28">
        <v>0.13408558779999999</v>
      </c>
      <c r="BH21" s="4">
        <v>4.2934384987999996</v>
      </c>
      <c r="BI21" s="28">
        <v>4.5972839500000001E-2</v>
      </c>
      <c r="BJ21" s="31">
        <f t="shared" si="4"/>
        <v>7.4956443471999989</v>
      </c>
      <c r="BK21" s="30">
        <f t="shared" si="4"/>
        <v>4.2140628600000007E-2</v>
      </c>
      <c r="BL21" s="4">
        <v>0</v>
      </c>
      <c r="BM21" s="30">
        <v>0</v>
      </c>
      <c r="BN21" s="4">
        <v>65.540796861000004</v>
      </c>
      <c r="BO21" s="28">
        <v>0.93665396489999997</v>
      </c>
      <c r="BP21" s="28">
        <v>3.3743800000000002E-4</v>
      </c>
      <c r="BQ21" s="28">
        <v>5.1630822E-7</v>
      </c>
      <c r="BR21" s="4">
        <v>65.905587015999998</v>
      </c>
      <c r="BS21" s="28">
        <v>2.5669203728999999</v>
      </c>
      <c r="BT21" s="4">
        <v>45.075503718</v>
      </c>
      <c r="BU21" s="28">
        <v>0.34879938179999997</v>
      </c>
      <c r="BV21" s="4">
        <v>11.915223231000001</v>
      </c>
      <c r="BW21" s="28">
        <v>7.2438814899999995E-2</v>
      </c>
      <c r="BX21" s="4">
        <v>2.71603531E-2</v>
      </c>
      <c r="BY21" s="28">
        <v>3.8964490000000001E-4</v>
      </c>
      <c r="BZ21" s="4">
        <v>0</v>
      </c>
      <c r="CA21" s="33">
        <v>0</v>
      </c>
      <c r="CB21" s="29" t="s">
        <v>136</v>
      </c>
      <c r="CC21" s="30">
        <v>0</v>
      </c>
      <c r="CD21" s="4">
        <v>0.16079625959999999</v>
      </c>
      <c r="CE21" s="28">
        <v>2.5686317999999999E-3</v>
      </c>
      <c r="CF21" s="4">
        <v>8.1023814183000002</v>
      </c>
      <c r="CG21" s="28">
        <v>6.8500102100000002E-2</v>
      </c>
      <c r="CH21" s="29" t="s">
        <v>136</v>
      </c>
      <c r="CI21" s="30">
        <v>0</v>
      </c>
      <c r="CJ21" s="29" t="s">
        <v>136</v>
      </c>
      <c r="CK21" s="30">
        <v>0</v>
      </c>
      <c r="CL21" s="4">
        <v>0.80185446699999996</v>
      </c>
      <c r="CM21" s="28">
        <v>1.5140023000000001E-3</v>
      </c>
      <c r="CN21" s="4">
        <v>2.4376644423</v>
      </c>
      <c r="CO21" s="28">
        <v>6.5106293000000001E-3</v>
      </c>
      <c r="CP21" s="29" t="s">
        <v>136</v>
      </c>
      <c r="CQ21" s="30">
        <v>0</v>
      </c>
      <c r="CR21" s="29" t="s">
        <v>136</v>
      </c>
      <c r="CS21" s="30">
        <v>0</v>
      </c>
      <c r="CT21" s="29" t="s">
        <v>136</v>
      </c>
      <c r="CU21" s="30">
        <v>0</v>
      </c>
      <c r="CV21" s="29" t="s">
        <v>136</v>
      </c>
      <c r="CW21" s="30">
        <v>0</v>
      </c>
      <c r="CX21" s="4">
        <v>1.7534358199999999E-2</v>
      </c>
      <c r="CY21" s="28">
        <v>2.2378750000000001E-4</v>
      </c>
      <c r="CZ21" s="4">
        <v>4.36679835E-2</v>
      </c>
      <c r="DA21" s="28">
        <v>4.6151960000000001E-4</v>
      </c>
      <c r="DB21" s="4">
        <v>0.49045873760000003</v>
      </c>
      <c r="DC21" s="28">
        <v>6.7040529999999997E-3</v>
      </c>
      <c r="DD21" s="4">
        <v>10.464577044</v>
      </c>
      <c r="DE21" s="28">
        <v>0.2608477971</v>
      </c>
      <c r="DF21" s="29" t="s">
        <v>136</v>
      </c>
      <c r="DG21" s="30">
        <v>0</v>
      </c>
      <c r="DH21" s="29" t="s">
        <v>136</v>
      </c>
      <c r="DI21" s="30">
        <v>0</v>
      </c>
      <c r="DJ21" s="4">
        <v>8.8350713829000007</v>
      </c>
      <c r="DK21" s="28">
        <v>0.19035494289999999</v>
      </c>
      <c r="DL21" s="4">
        <v>24.938147036</v>
      </c>
      <c r="DM21" s="28">
        <v>1.1564858787000001</v>
      </c>
      <c r="DN21" s="4">
        <v>4.3211007514000004</v>
      </c>
      <c r="DO21" s="28">
        <v>0.2753367846</v>
      </c>
      <c r="DP21" s="4">
        <v>61.219696110000001</v>
      </c>
      <c r="DQ21" s="28">
        <v>0.66131718019999997</v>
      </c>
      <c r="DR21" s="37">
        <v>1.849671E-4</v>
      </c>
      <c r="DS21" s="38">
        <v>2.9979060000000002E-4</v>
      </c>
      <c r="DT21" s="38">
        <v>3.2834489999999998E-4</v>
      </c>
      <c r="DU21" s="38">
        <v>3.331419E-4</v>
      </c>
      <c r="DV21" s="38">
        <v>3.3552000000000001E-4</v>
      </c>
      <c r="DW21" s="38">
        <v>3.3743800000000002E-4</v>
      </c>
      <c r="DX21" s="38">
        <v>3.3743800000000002E-4</v>
      </c>
      <c r="DY21" s="38">
        <v>3.3743800000000002E-4</v>
      </c>
      <c r="DZ21" s="38">
        <v>3.3743800000000002E-4</v>
      </c>
      <c r="EA21" s="39">
        <v>3.3743800000000002E-4</v>
      </c>
      <c r="EB21" s="40">
        <v>44.764137920000003</v>
      </c>
      <c r="EC21" s="30">
        <v>0.32140505879999998</v>
      </c>
      <c r="ED21" s="31">
        <v>17.361208549000001</v>
      </c>
      <c r="EE21" s="30">
        <v>0.13160914409999999</v>
      </c>
      <c r="EF21" s="31">
        <v>6.4244678596</v>
      </c>
      <c r="EG21" s="30">
        <v>5.1415205300000003E-2</v>
      </c>
      <c r="EH21" s="31">
        <v>2.2810125890999999</v>
      </c>
      <c r="EI21" s="30">
        <v>1.9517634700000001E-2</v>
      </c>
      <c r="EJ21" s="31">
        <v>0.80682297400000003</v>
      </c>
      <c r="EK21" s="30">
        <v>7.6214404000000003E-3</v>
      </c>
      <c r="EL21" s="31">
        <v>0.29439370929999997</v>
      </c>
      <c r="EM21" s="30">
        <v>3.2520738000000001E-3</v>
      </c>
      <c r="EN21" s="31">
        <v>0.11303219170000001</v>
      </c>
      <c r="EO21" s="30">
        <v>1.5919112E-3</v>
      </c>
      <c r="EP21" s="31">
        <v>5.1379256700000001E-2</v>
      </c>
      <c r="EQ21" s="30">
        <v>9.5351140000000001E-4</v>
      </c>
      <c r="ER21" s="31">
        <v>2.8392951400000001E-2</v>
      </c>
      <c r="ES21" s="30">
        <v>6.6426110000000001E-4</v>
      </c>
      <c r="ET21" s="31">
        <v>1.8619092399999999E-2</v>
      </c>
      <c r="EU21" s="36">
        <v>5.0436579999999995E-4</v>
      </c>
      <c r="EV21" s="31"/>
      <c r="EW21" s="30"/>
      <c r="EX21" s="31"/>
      <c r="EY21" s="30"/>
      <c r="EZ21" s="31"/>
      <c r="FA21" s="30"/>
      <c r="FB21" s="31"/>
      <c r="FC21" s="30"/>
      <c r="FD21" s="31"/>
      <c r="FE21" s="36"/>
    </row>
    <row r="22" spans="1:161" x14ac:dyDescent="0.2">
      <c r="A22" s="12">
        <v>1700</v>
      </c>
      <c r="B22" s="2">
        <v>51589</v>
      </c>
      <c r="C22" s="15">
        <f t="shared" si="0"/>
        <v>1.3273217195362955E-2</v>
      </c>
      <c r="D22" s="15">
        <f t="shared" si="5"/>
        <v>0.52186238244844785</v>
      </c>
      <c r="E22" s="15">
        <f t="shared" si="8"/>
        <v>246.01214480150801</v>
      </c>
      <c r="F22" s="26">
        <v>1106.3192414</v>
      </c>
      <c r="G22" s="4">
        <v>1649.6160325000001</v>
      </c>
      <c r="H22" s="41">
        <f t="shared" si="6"/>
        <v>0.30316101646537541</v>
      </c>
      <c r="I22" s="4">
        <f t="shared" si="1"/>
        <v>132.51668599160001</v>
      </c>
      <c r="J22" s="4">
        <f>(I22*SUM($B$5:$B22)-I21*SUM($B$5:$B21))/$B22</f>
        <v>500.0992731902798</v>
      </c>
      <c r="K22" s="4">
        <f t="shared" si="2"/>
        <v>538.4539886207001</v>
      </c>
      <c r="L22" s="4">
        <f>(K22*SUM(B$5:B22)-K21*SUM(B$5:B21))/B22</f>
        <v>1691.8738593146288</v>
      </c>
      <c r="M22" s="41">
        <f t="shared" si="7"/>
        <v>2.5616765345440311E-2</v>
      </c>
      <c r="N22" s="4">
        <v>26.067312364999999</v>
      </c>
      <c r="O22" s="28">
        <v>4.1905805599999998E-2</v>
      </c>
      <c r="P22" s="26">
        <v>0.20772094969999999</v>
      </c>
      <c r="Q22" s="28">
        <v>2.20583E-4</v>
      </c>
      <c r="R22" s="4">
        <v>112.6519407</v>
      </c>
      <c r="S22" s="28">
        <v>0.75305942100000001</v>
      </c>
      <c r="T22" s="4">
        <v>49.813575126000003</v>
      </c>
      <c r="U22" s="28">
        <v>0.31300351320000003</v>
      </c>
      <c r="V22" s="4">
        <v>8.9020918494999997</v>
      </c>
      <c r="W22" s="28">
        <v>7.6174928200000006E-2</v>
      </c>
      <c r="X22" s="29" t="s">
        <v>136</v>
      </c>
      <c r="Y22" s="30">
        <v>0</v>
      </c>
      <c r="Z22" s="4">
        <v>3.8487752521999998</v>
      </c>
      <c r="AA22" s="28">
        <v>9.2132059999999998E-3</v>
      </c>
      <c r="AB22" s="29" t="s">
        <v>136</v>
      </c>
      <c r="AC22" s="30">
        <v>0</v>
      </c>
      <c r="AD22" s="29" t="s">
        <v>136</v>
      </c>
      <c r="AE22" s="30">
        <v>0</v>
      </c>
      <c r="AF22" s="4">
        <v>7.27254715E-2</v>
      </c>
      <c r="AG22" s="28">
        <v>8.0469959999999996E-4</v>
      </c>
      <c r="AH22" s="4">
        <v>11.903121715999999</v>
      </c>
      <c r="AI22" s="28">
        <v>0.2900517165</v>
      </c>
      <c r="AJ22" s="29" t="s">
        <v>136</v>
      </c>
      <c r="AK22" s="30">
        <v>0</v>
      </c>
      <c r="AL22" s="4">
        <v>2.6009599999999999E-5</v>
      </c>
      <c r="AM22" s="28">
        <v>2.5037555999999998E-7</v>
      </c>
      <c r="AN22" s="29" t="s">
        <v>136</v>
      </c>
      <c r="AO22" s="30">
        <v>0</v>
      </c>
      <c r="AP22" s="29" t="s">
        <v>136</v>
      </c>
      <c r="AQ22" s="30">
        <v>0</v>
      </c>
      <c r="AR22" s="4">
        <f t="shared" si="3"/>
        <v>2.6009599999999999E-5</v>
      </c>
      <c r="AS22" s="28">
        <f t="shared" si="3"/>
        <v>2.5037555999999998E-7</v>
      </c>
      <c r="AT22" s="4">
        <v>63.935327653000002</v>
      </c>
      <c r="AU22" s="28">
        <v>1.0448283755000001</v>
      </c>
      <c r="AV22" s="29" t="s">
        <v>136</v>
      </c>
      <c r="AW22" s="30">
        <v>0</v>
      </c>
      <c r="AX22" s="29" t="s">
        <v>136</v>
      </c>
      <c r="AY22" s="30">
        <v>0</v>
      </c>
      <c r="AZ22" s="29" t="s">
        <v>136</v>
      </c>
      <c r="BA22" s="30">
        <v>0</v>
      </c>
      <c r="BB22" s="4">
        <v>35.680862410000003</v>
      </c>
      <c r="BC22" s="28">
        <v>1.4060006038999999</v>
      </c>
      <c r="BD22" s="4">
        <v>23.735067673</v>
      </c>
      <c r="BE22" s="28">
        <v>0.2352608263</v>
      </c>
      <c r="BF22" s="4">
        <v>10.994397251000001</v>
      </c>
      <c r="BG22" s="28">
        <v>0.14201539760000001</v>
      </c>
      <c r="BH22" s="4">
        <v>4.5704543312999997</v>
      </c>
      <c r="BI22" s="28">
        <v>4.8224909900000001E-2</v>
      </c>
      <c r="BJ22" s="31">
        <f t="shared" si="4"/>
        <v>8.1702160906999985</v>
      </c>
      <c r="BK22" s="30">
        <f t="shared" si="4"/>
        <v>4.5020518799999992E-2</v>
      </c>
      <c r="BL22" s="4">
        <v>0</v>
      </c>
      <c r="BM22" s="30">
        <v>0</v>
      </c>
      <c r="BN22" s="4">
        <v>69.118729443999996</v>
      </c>
      <c r="BO22" s="28">
        <v>0.97859151710000003</v>
      </c>
      <c r="BP22" s="28">
        <v>4.0095350000000002E-4</v>
      </c>
      <c r="BQ22" s="28">
        <v>5.0075113E-7</v>
      </c>
      <c r="BR22" s="4">
        <v>69.378221517</v>
      </c>
      <c r="BS22" s="28">
        <v>2.6676972072999998</v>
      </c>
      <c r="BT22" s="4">
        <v>50.055023657</v>
      </c>
      <c r="BU22" s="28">
        <v>0.3861097517</v>
      </c>
      <c r="BV22" s="4">
        <v>13.052261397000001</v>
      </c>
      <c r="BW22" s="28">
        <v>7.8050900199999995E-2</v>
      </c>
      <c r="BX22" s="4">
        <v>3.11794206E-2</v>
      </c>
      <c r="BY22" s="28">
        <v>4.0889909999999998E-4</v>
      </c>
      <c r="BZ22" s="4">
        <v>0</v>
      </c>
      <c r="CA22" s="33">
        <v>0</v>
      </c>
      <c r="CB22" s="29" t="s">
        <v>136</v>
      </c>
      <c r="CC22" s="30">
        <v>0</v>
      </c>
      <c r="CD22" s="4">
        <v>0.17096857309999999</v>
      </c>
      <c r="CE22" s="28">
        <v>2.7225884999999999E-3</v>
      </c>
      <c r="CF22" s="4">
        <v>8.7311232764</v>
      </c>
      <c r="CG22" s="28">
        <v>7.3452339699999994E-2</v>
      </c>
      <c r="CH22" s="29" t="s">
        <v>136</v>
      </c>
      <c r="CI22" s="30">
        <v>0</v>
      </c>
      <c r="CJ22" s="29" t="s">
        <v>136</v>
      </c>
      <c r="CK22" s="30">
        <v>0</v>
      </c>
      <c r="CL22" s="4">
        <v>0.99801201409999996</v>
      </c>
      <c r="CM22" s="28">
        <v>1.7937972E-3</v>
      </c>
      <c r="CN22" s="4">
        <v>2.8507632380999999</v>
      </c>
      <c r="CO22" s="28">
        <v>7.4194087000000004E-3</v>
      </c>
      <c r="CP22" s="29" t="s">
        <v>136</v>
      </c>
      <c r="CQ22" s="30">
        <v>0</v>
      </c>
      <c r="CR22" s="29" t="s">
        <v>136</v>
      </c>
      <c r="CS22" s="30">
        <v>0</v>
      </c>
      <c r="CT22" s="29" t="s">
        <v>136</v>
      </c>
      <c r="CU22" s="30">
        <v>0</v>
      </c>
      <c r="CV22" s="29" t="s">
        <v>136</v>
      </c>
      <c r="CW22" s="30">
        <v>0</v>
      </c>
      <c r="CX22" s="4">
        <v>1.9824803799999999E-2</v>
      </c>
      <c r="CY22" s="28">
        <v>2.5222020000000001E-4</v>
      </c>
      <c r="CZ22" s="4">
        <v>5.2900667700000001E-2</v>
      </c>
      <c r="DA22" s="28">
        <v>5.5247949999999999E-4</v>
      </c>
      <c r="DB22" s="4">
        <v>0.5608954759</v>
      </c>
      <c r="DC22" s="28">
        <v>7.5696358000000002E-3</v>
      </c>
      <c r="DD22" s="4">
        <v>11.34222624</v>
      </c>
      <c r="DE22" s="28">
        <v>0.28248208070000003</v>
      </c>
      <c r="DF22" s="29" t="s">
        <v>136</v>
      </c>
      <c r="DG22" s="30">
        <v>0</v>
      </c>
      <c r="DH22" s="29" t="s">
        <v>136</v>
      </c>
      <c r="DI22" s="30">
        <v>0</v>
      </c>
      <c r="DJ22" s="4">
        <v>9.4801133513</v>
      </c>
      <c r="DK22" s="28">
        <v>0.2014278521</v>
      </c>
      <c r="DL22" s="4">
        <v>26.200749059</v>
      </c>
      <c r="DM22" s="28">
        <v>1.2045727518</v>
      </c>
      <c r="DN22" s="4">
        <v>4.6923639092</v>
      </c>
      <c r="DO22" s="28">
        <v>0.29010170099999999</v>
      </c>
      <c r="DP22" s="4">
        <v>64.426365535000002</v>
      </c>
      <c r="DQ22" s="28">
        <v>0.68848981620000005</v>
      </c>
      <c r="DR22" s="37">
        <v>2.1965999999999999E-4</v>
      </c>
      <c r="DS22" s="38">
        <v>3.5780890000000002E-4</v>
      </c>
      <c r="DT22" s="38">
        <v>3.9046870000000001E-4</v>
      </c>
      <c r="DU22" s="38">
        <v>3.96759E-4</v>
      </c>
      <c r="DV22" s="38">
        <v>3.9908069999999998E-4</v>
      </c>
      <c r="DW22" s="38">
        <v>4.0095350000000002E-4</v>
      </c>
      <c r="DX22" s="38">
        <v>4.0095350000000002E-4</v>
      </c>
      <c r="DY22" s="38">
        <v>4.0095350000000002E-4</v>
      </c>
      <c r="DZ22" s="38">
        <v>4.0095350000000002E-4</v>
      </c>
      <c r="EA22" s="39">
        <v>4.0095350000000002E-4</v>
      </c>
      <c r="EB22" s="40">
        <v>47.213065743999998</v>
      </c>
      <c r="EC22" s="30">
        <v>0.33800781400000002</v>
      </c>
      <c r="ED22" s="31">
        <v>18.759884671999998</v>
      </c>
      <c r="EE22" s="30">
        <v>0.1415408152</v>
      </c>
      <c r="EF22" s="31">
        <v>7.1521824168999997</v>
      </c>
      <c r="EG22" s="30">
        <v>5.6826761199999999E-2</v>
      </c>
      <c r="EH22" s="31">
        <v>2.6284172804999999</v>
      </c>
      <c r="EI22" s="30">
        <v>2.22444685E-2</v>
      </c>
      <c r="EJ22" s="31">
        <v>0.96699746850000001</v>
      </c>
      <c r="EK22" s="30">
        <v>8.9550936999999997E-3</v>
      </c>
      <c r="EL22" s="31">
        <v>0.36704650519999998</v>
      </c>
      <c r="EM22" s="30">
        <v>3.9016885000000001E-3</v>
      </c>
      <c r="EN22" s="31">
        <v>0.14628600529999999</v>
      </c>
      <c r="EO22" s="30">
        <v>1.9218893999999999E-3</v>
      </c>
      <c r="EP22" s="31">
        <v>6.8156049600000004E-2</v>
      </c>
      <c r="EQ22" s="30">
        <v>1.1385919999999999E-3</v>
      </c>
      <c r="ER22" s="31">
        <v>3.7046955499999999E-2</v>
      </c>
      <c r="ES22" s="30">
        <v>7.7424340000000001E-4</v>
      </c>
      <c r="ET22" s="31">
        <v>2.2988805899999999E-2</v>
      </c>
      <c r="EU22" s="36">
        <v>5.7189950000000002E-4</v>
      </c>
      <c r="EV22" s="31"/>
      <c r="EW22" s="30"/>
      <c r="EX22" s="31"/>
      <c r="EY22" s="30"/>
      <c r="EZ22" s="31"/>
      <c r="FA22" s="30"/>
      <c r="FB22" s="31"/>
      <c r="FC22" s="30"/>
      <c r="FD22" s="31"/>
      <c r="FE22" s="36"/>
    </row>
    <row r="23" spans="1:161" x14ac:dyDescent="0.2">
      <c r="A23" s="12">
        <v>1800</v>
      </c>
      <c r="B23" s="2">
        <v>48984</v>
      </c>
      <c r="C23" s="15">
        <f t="shared" si="0"/>
        <v>1.2602982633849444E-2</v>
      </c>
      <c r="D23" s="15">
        <f t="shared" si="5"/>
        <v>0.53446536508229725</v>
      </c>
      <c r="E23" s="15">
        <f t="shared" si="8"/>
        <v>262.629665866143</v>
      </c>
      <c r="F23" s="26">
        <v>1155.759378</v>
      </c>
      <c r="G23" s="4">
        <v>1749.3510424000001</v>
      </c>
      <c r="H23" s="41">
        <f t="shared" si="6"/>
        <v>0.30842151970087145</v>
      </c>
      <c r="I23" s="4">
        <f t="shared" si="1"/>
        <v>142.1144572856</v>
      </c>
      <c r="J23" s="4">
        <f>(I23*SUM($B$5:$B23)-I22*SUM($B$5:$B22))/$B23</f>
        <v>539.53750698731164</v>
      </c>
      <c r="K23" s="4">
        <f t="shared" si="2"/>
        <v>568.17545805049997</v>
      </c>
      <c r="L23" s="4">
        <f>(K23*SUM(B$5:B23)-K22*SUM(B$5:B22))/B23</f>
        <v>1798.8775304984506</v>
      </c>
      <c r="M23" s="41">
        <f t="shared" si="7"/>
        <v>2.831134912207401E-2</v>
      </c>
      <c r="N23" s="4">
        <v>28.391443170999999</v>
      </c>
      <c r="O23" s="28">
        <v>4.4347592200000001E-2</v>
      </c>
      <c r="P23" s="26">
        <v>0.26733112609999998</v>
      </c>
      <c r="Q23" s="28">
        <v>2.6233639999999998E-4</v>
      </c>
      <c r="R23" s="4">
        <v>116.10016057999999</v>
      </c>
      <c r="S23" s="28">
        <v>0.77545666499999999</v>
      </c>
      <c r="T23" s="4">
        <v>51.965421442999997</v>
      </c>
      <c r="U23" s="28">
        <v>0.32567518610000001</v>
      </c>
      <c r="V23" s="4">
        <v>9.4898967042999995</v>
      </c>
      <c r="W23" s="28">
        <v>8.0853143599999996E-2</v>
      </c>
      <c r="X23" s="29" t="s">
        <v>136</v>
      </c>
      <c r="Y23" s="30">
        <v>0</v>
      </c>
      <c r="Z23" s="4">
        <v>4.5457504924999999</v>
      </c>
      <c r="AA23" s="28">
        <v>1.05670433E-2</v>
      </c>
      <c r="AB23" s="29" t="s">
        <v>136</v>
      </c>
      <c r="AC23" s="30">
        <v>0</v>
      </c>
      <c r="AD23" s="29" t="s">
        <v>136</v>
      </c>
      <c r="AE23" s="30">
        <v>0</v>
      </c>
      <c r="AF23" s="4">
        <v>8.1464659199999997E-2</v>
      </c>
      <c r="AG23" s="28">
        <v>9.0147559999999999E-4</v>
      </c>
      <c r="AH23" s="4">
        <v>12.862775217999999</v>
      </c>
      <c r="AI23" s="28">
        <v>0.311996355</v>
      </c>
      <c r="AJ23" s="29" t="s">
        <v>136</v>
      </c>
      <c r="AK23" s="30">
        <v>0</v>
      </c>
      <c r="AL23" s="4">
        <v>2.53054E-5</v>
      </c>
      <c r="AM23" s="28">
        <v>2.4359716999999999E-7</v>
      </c>
      <c r="AN23" s="29" t="s">
        <v>136</v>
      </c>
      <c r="AO23" s="30">
        <v>0</v>
      </c>
      <c r="AP23" s="29" t="s">
        <v>136</v>
      </c>
      <c r="AQ23" s="30">
        <v>0</v>
      </c>
      <c r="AR23" s="4">
        <f t="shared" si="3"/>
        <v>2.53054E-5</v>
      </c>
      <c r="AS23" s="28">
        <f t="shared" si="3"/>
        <v>2.4359716999999999E-7</v>
      </c>
      <c r="AT23" s="4">
        <v>66.619045998000004</v>
      </c>
      <c r="AU23" s="28">
        <v>1.0815337107</v>
      </c>
      <c r="AV23" s="29" t="s">
        <v>136</v>
      </c>
      <c r="AW23" s="30">
        <v>0</v>
      </c>
      <c r="AX23" s="29" t="s">
        <v>136</v>
      </c>
      <c r="AY23" s="30">
        <v>0</v>
      </c>
      <c r="AZ23" s="29" t="s">
        <v>136</v>
      </c>
      <c r="BA23" s="30">
        <v>0</v>
      </c>
      <c r="BB23" s="4">
        <v>37.569588037999999</v>
      </c>
      <c r="BC23" s="28">
        <v>1.4631527143</v>
      </c>
      <c r="BD23" s="4">
        <v>25.460317834000001</v>
      </c>
      <c r="BE23" s="28">
        <v>0.24790101980000001</v>
      </c>
      <c r="BF23" s="4">
        <v>11.791890755000001</v>
      </c>
      <c r="BG23" s="28">
        <v>0.1498393331</v>
      </c>
      <c r="BH23" s="4">
        <v>4.8273723108000004</v>
      </c>
      <c r="BI23" s="28">
        <v>5.0268762500000001E-2</v>
      </c>
      <c r="BJ23" s="31">
        <f t="shared" si="4"/>
        <v>8.8410547681999994</v>
      </c>
      <c r="BK23" s="30">
        <f t="shared" si="4"/>
        <v>4.7792924200000003E-2</v>
      </c>
      <c r="BL23" s="4">
        <v>0</v>
      </c>
      <c r="BM23" s="30">
        <v>0</v>
      </c>
      <c r="BN23" s="4">
        <v>72.707754890000004</v>
      </c>
      <c r="BO23" s="28">
        <v>1.0191524457000001</v>
      </c>
      <c r="BP23" s="28">
        <v>4.7856629999999998E-4</v>
      </c>
      <c r="BQ23" s="28">
        <v>4.8719435000000001E-7</v>
      </c>
      <c r="BR23" s="4">
        <v>72.745799774999995</v>
      </c>
      <c r="BS23" s="28">
        <v>2.7622006775000001</v>
      </c>
      <c r="BT23" s="4">
        <v>55.044630961000003</v>
      </c>
      <c r="BU23" s="28">
        <v>0.42271673250000003</v>
      </c>
      <c r="BV23" s="4">
        <v>14.290725022</v>
      </c>
      <c r="BW23" s="28">
        <v>8.3933670799999999E-2</v>
      </c>
      <c r="BX23" s="4">
        <v>3.3301527599999999E-2</v>
      </c>
      <c r="BY23" s="28">
        <v>4.3129270000000003E-4</v>
      </c>
      <c r="BZ23" s="4">
        <v>0</v>
      </c>
      <c r="CA23" s="33">
        <v>0</v>
      </c>
      <c r="CB23" s="29" t="s">
        <v>136</v>
      </c>
      <c r="CC23" s="30">
        <v>0</v>
      </c>
      <c r="CD23" s="4">
        <v>0.18243752630000001</v>
      </c>
      <c r="CE23" s="28">
        <v>2.8915631999999998E-3</v>
      </c>
      <c r="CF23" s="4">
        <v>9.3074591780000002</v>
      </c>
      <c r="CG23" s="28">
        <v>7.7961580399999994E-2</v>
      </c>
      <c r="CH23" s="29" t="s">
        <v>136</v>
      </c>
      <c r="CI23" s="30">
        <v>0</v>
      </c>
      <c r="CJ23" s="29" t="s">
        <v>136</v>
      </c>
      <c r="CK23" s="30">
        <v>0</v>
      </c>
      <c r="CL23" s="4">
        <v>1.2299128206000001</v>
      </c>
      <c r="CM23" s="28">
        <v>2.1154973000000001E-3</v>
      </c>
      <c r="CN23" s="4">
        <v>3.3158376718999998</v>
      </c>
      <c r="CO23" s="28">
        <v>8.4515458999999994E-3</v>
      </c>
      <c r="CP23" s="29" t="s">
        <v>136</v>
      </c>
      <c r="CQ23" s="30">
        <v>0</v>
      </c>
      <c r="CR23" s="29" t="s">
        <v>136</v>
      </c>
      <c r="CS23" s="30">
        <v>0</v>
      </c>
      <c r="CT23" s="29" t="s">
        <v>136</v>
      </c>
      <c r="CU23" s="30">
        <v>0</v>
      </c>
      <c r="CV23" s="29" t="s">
        <v>136</v>
      </c>
      <c r="CW23" s="30">
        <v>0</v>
      </c>
      <c r="CX23" s="4">
        <v>2.0784201700000001E-2</v>
      </c>
      <c r="CY23" s="28">
        <v>2.6652929999999999E-4</v>
      </c>
      <c r="CZ23" s="4">
        <v>6.06804575E-2</v>
      </c>
      <c r="DA23" s="28">
        <v>6.3494630000000005E-4</v>
      </c>
      <c r="DB23" s="4">
        <v>0.64089620449999996</v>
      </c>
      <c r="DC23" s="28">
        <v>8.6142991999999998E-3</v>
      </c>
      <c r="DD23" s="4">
        <v>12.221879014000001</v>
      </c>
      <c r="DE23" s="28">
        <v>0.30338205579999999</v>
      </c>
      <c r="DF23" s="29" t="s">
        <v>136</v>
      </c>
      <c r="DG23" s="30">
        <v>0</v>
      </c>
      <c r="DH23" s="29" t="s">
        <v>136</v>
      </c>
      <c r="DI23" s="30">
        <v>0</v>
      </c>
      <c r="DJ23" s="4">
        <v>10.108410658</v>
      </c>
      <c r="DK23" s="28">
        <v>0.2117888232</v>
      </c>
      <c r="DL23" s="4">
        <v>27.461177379999999</v>
      </c>
      <c r="DM23" s="28">
        <v>1.2513638912</v>
      </c>
      <c r="DN23" s="4">
        <v>5.0863971579999996</v>
      </c>
      <c r="DO23" s="28">
        <v>0.3041887788</v>
      </c>
      <c r="DP23" s="4">
        <v>67.621357732000007</v>
      </c>
      <c r="DQ23" s="28">
        <v>0.71496366700000002</v>
      </c>
      <c r="DR23" s="37">
        <v>2.6143800000000001E-4</v>
      </c>
      <c r="DS23" s="38">
        <v>4.2794079999999997E-4</v>
      </c>
      <c r="DT23" s="38">
        <v>4.669974E-4</v>
      </c>
      <c r="DU23" s="38">
        <v>4.7402849999999999E-4</v>
      </c>
      <c r="DV23" s="38">
        <v>4.765169E-4</v>
      </c>
      <c r="DW23" s="38">
        <v>4.7856629999999998E-4</v>
      </c>
      <c r="DX23" s="38">
        <v>4.7856629999999998E-4</v>
      </c>
      <c r="DY23" s="38">
        <v>4.7856629999999998E-4</v>
      </c>
      <c r="DZ23" s="38">
        <v>4.7856629999999998E-4</v>
      </c>
      <c r="EA23" s="39">
        <v>4.7856629999999998E-4</v>
      </c>
      <c r="EB23" s="40">
        <v>49.574247993</v>
      </c>
      <c r="EC23" s="30">
        <v>0.35393532779999998</v>
      </c>
      <c r="ED23" s="31">
        <v>20.129211641000001</v>
      </c>
      <c r="EE23" s="30">
        <v>0.151199579</v>
      </c>
      <c r="EF23" s="31">
        <v>7.8676764093999996</v>
      </c>
      <c r="EG23" s="30">
        <v>6.2109321799999999E-2</v>
      </c>
      <c r="EH23" s="31">
        <v>2.9749663984999999</v>
      </c>
      <c r="EI23" s="30">
        <v>2.49514378E-2</v>
      </c>
      <c r="EJ23" s="31">
        <v>1.1313751332999999</v>
      </c>
      <c r="EK23" s="30">
        <v>1.03303949E-2</v>
      </c>
      <c r="EL23" s="31">
        <v>0.44392771959999999</v>
      </c>
      <c r="EM23" s="30">
        <v>4.6066689000000003E-3</v>
      </c>
      <c r="EN23" s="31">
        <v>0.18264486869999999</v>
      </c>
      <c r="EO23" s="30">
        <v>2.3022178999999999E-3</v>
      </c>
      <c r="EP23" s="31">
        <v>8.6378661100000004E-2</v>
      </c>
      <c r="EQ23" s="30">
        <v>1.3627645E-3</v>
      </c>
      <c r="ER23" s="31">
        <v>4.7260105300000001E-2</v>
      </c>
      <c r="ES23" s="30">
        <v>9.2320070000000002E-4</v>
      </c>
      <c r="ET23" s="31">
        <v>2.8986306999999999E-2</v>
      </c>
      <c r="EU23" s="36">
        <v>6.7778550000000004E-4</v>
      </c>
      <c r="EV23" s="31"/>
      <c r="EW23" s="30"/>
      <c r="EX23" s="31"/>
      <c r="EY23" s="30"/>
      <c r="EZ23" s="31"/>
      <c r="FA23" s="30"/>
      <c r="FB23" s="31"/>
      <c r="FC23" s="30"/>
      <c r="FD23" s="31"/>
      <c r="FE23" s="36"/>
    </row>
    <row r="24" spans="1:161" x14ac:dyDescent="0.2">
      <c r="A24" s="12">
        <v>1900</v>
      </c>
      <c r="B24" s="2">
        <v>46438</v>
      </c>
      <c r="C24" s="15">
        <f t="shared" si="0"/>
        <v>1.1947928048969061E-2</v>
      </c>
      <c r="D24" s="15">
        <f t="shared" si="5"/>
        <v>0.5464132931312663</v>
      </c>
      <c r="E24" s="15">
        <f t="shared" si="8"/>
        <v>279.04084816219483</v>
      </c>
      <c r="F24" s="26">
        <v>1203.9869980999999</v>
      </c>
      <c r="G24" s="4">
        <v>1849.8108511</v>
      </c>
      <c r="H24" s="41">
        <f t="shared" si="6"/>
        <v>0.31245482216760589</v>
      </c>
      <c r="I24" s="4">
        <f t="shared" si="1"/>
        <v>151.6451878412</v>
      </c>
      <c r="J24" s="4">
        <f>(I24*SUM($B$5:$B24)-I23*SUM($B$5:$B23))/$B24</f>
        <v>577.98232052415824</v>
      </c>
      <c r="K24" s="4">
        <f t="shared" si="2"/>
        <v>597.36454969789997</v>
      </c>
      <c r="L24" s="4">
        <f>(K24*SUM(B$5:B24)-K23*SUM(B$5:B23))/B24</f>
        <v>1903.0770096163699</v>
      </c>
      <c r="M24" s="41">
        <f t="shared" si="7"/>
        <v>2.8795462241285281E-2</v>
      </c>
      <c r="N24" s="4">
        <v>30.675113103000001</v>
      </c>
      <c r="O24" s="28">
        <v>4.6638841700000003E-2</v>
      </c>
      <c r="P24" s="26">
        <v>0.33225749040000002</v>
      </c>
      <c r="Q24" s="28">
        <v>3.0634409999999999E-4</v>
      </c>
      <c r="R24" s="4">
        <v>119.33564987</v>
      </c>
      <c r="S24" s="28">
        <v>0.7967068102</v>
      </c>
      <c r="T24" s="4">
        <v>54.069625711</v>
      </c>
      <c r="U24" s="28">
        <v>0.33832783249999998</v>
      </c>
      <c r="V24" s="4">
        <v>10.134119986</v>
      </c>
      <c r="W24" s="28">
        <v>8.6097490299999996E-2</v>
      </c>
      <c r="X24" s="29" t="s">
        <v>136</v>
      </c>
      <c r="Y24" s="30">
        <v>0</v>
      </c>
      <c r="Z24" s="4">
        <v>5.2633359093000003</v>
      </c>
      <c r="AA24" s="28">
        <v>1.19587332E-2</v>
      </c>
      <c r="AB24" s="29" t="s">
        <v>136</v>
      </c>
      <c r="AC24" s="30">
        <v>0</v>
      </c>
      <c r="AD24" s="29" t="s">
        <v>136</v>
      </c>
      <c r="AE24" s="30">
        <v>0</v>
      </c>
      <c r="AF24" s="4">
        <v>9.4432361800000003E-2</v>
      </c>
      <c r="AG24" s="28">
        <v>1.0514890000000001E-3</v>
      </c>
      <c r="AH24" s="4">
        <v>13.822472499</v>
      </c>
      <c r="AI24" s="28">
        <v>0.334469829</v>
      </c>
      <c r="AJ24" s="29" t="s">
        <v>136</v>
      </c>
      <c r="AK24" s="30">
        <v>0</v>
      </c>
      <c r="AL24" s="4">
        <v>2.46456E-5</v>
      </c>
      <c r="AM24" s="28">
        <v>2.3724598000000001E-7</v>
      </c>
      <c r="AN24" s="29" t="s">
        <v>136</v>
      </c>
      <c r="AO24" s="30">
        <v>0</v>
      </c>
      <c r="AP24" s="29" t="s">
        <v>136</v>
      </c>
      <c r="AQ24" s="30">
        <v>0</v>
      </c>
      <c r="AR24" s="4">
        <f t="shared" si="3"/>
        <v>2.46456E-5</v>
      </c>
      <c r="AS24" s="28">
        <f t="shared" si="3"/>
        <v>2.3724598000000001E-7</v>
      </c>
      <c r="AT24" s="4">
        <v>69.261229713000006</v>
      </c>
      <c r="AU24" s="28">
        <v>1.1166577129999999</v>
      </c>
      <c r="AV24" s="29" t="s">
        <v>136</v>
      </c>
      <c r="AW24" s="30">
        <v>0</v>
      </c>
      <c r="AX24" s="29" t="s">
        <v>136</v>
      </c>
      <c r="AY24" s="30">
        <v>0</v>
      </c>
      <c r="AZ24" s="29" t="s">
        <v>136</v>
      </c>
      <c r="BA24" s="30">
        <v>0</v>
      </c>
      <c r="BB24" s="4">
        <v>39.375969003999998</v>
      </c>
      <c r="BC24" s="28">
        <v>1.5176871894999999</v>
      </c>
      <c r="BD24" s="4">
        <v>27.178154024000001</v>
      </c>
      <c r="BE24" s="28">
        <v>0.26036546269999999</v>
      </c>
      <c r="BF24" s="4">
        <v>12.559710958</v>
      </c>
      <c r="BG24" s="28">
        <v>0.1574503666</v>
      </c>
      <c r="BH24" s="4">
        <v>5.0979950421</v>
      </c>
      <c r="BI24" s="28">
        <v>5.2334488499999998E-2</v>
      </c>
      <c r="BJ24" s="31">
        <f t="shared" si="4"/>
        <v>9.520448023900002</v>
      </c>
      <c r="BK24" s="30">
        <f t="shared" si="4"/>
        <v>5.0580607599999994E-2</v>
      </c>
      <c r="BL24" s="4">
        <v>0</v>
      </c>
      <c r="BM24" s="30">
        <v>0</v>
      </c>
      <c r="BN24" s="4">
        <v>76.176952893999996</v>
      </c>
      <c r="BO24" s="28">
        <v>1.0587668035</v>
      </c>
      <c r="BP24" s="28">
        <v>5.6191369999999995E-4</v>
      </c>
      <c r="BQ24" s="28">
        <v>4.7449197000000001E-7</v>
      </c>
      <c r="BR24" s="4">
        <v>76.050429296999994</v>
      </c>
      <c r="BS24" s="28">
        <v>2.8545076341</v>
      </c>
      <c r="BT24" s="4">
        <v>60.096822062999998</v>
      </c>
      <c r="BU24" s="28">
        <v>0.45969996769999999</v>
      </c>
      <c r="BV24" s="4">
        <v>15.461745987</v>
      </c>
      <c r="BW24" s="28">
        <v>8.94697728E-2</v>
      </c>
      <c r="BX24" s="4">
        <v>3.6190494199999999E-2</v>
      </c>
      <c r="BY24" s="28">
        <v>4.5324990000000001E-4</v>
      </c>
      <c r="BZ24" s="4">
        <v>0</v>
      </c>
      <c r="CA24" s="33">
        <v>0</v>
      </c>
      <c r="CB24" s="29" t="s">
        <v>136</v>
      </c>
      <c r="CC24" s="30">
        <v>0</v>
      </c>
      <c r="CD24" s="4">
        <v>0.1943087174</v>
      </c>
      <c r="CE24" s="28">
        <v>3.0757234E-3</v>
      </c>
      <c r="CF24" s="4">
        <v>9.9398112686999998</v>
      </c>
      <c r="CG24" s="28">
        <v>8.3021766900000002E-2</v>
      </c>
      <c r="CH24" s="29" t="s">
        <v>136</v>
      </c>
      <c r="CI24" s="30">
        <v>0</v>
      </c>
      <c r="CJ24" s="29" t="s">
        <v>136</v>
      </c>
      <c r="CK24" s="30">
        <v>0</v>
      </c>
      <c r="CL24" s="4">
        <v>1.4883675698000001</v>
      </c>
      <c r="CM24" s="28">
        <v>2.4652466000000001E-3</v>
      </c>
      <c r="CN24" s="4">
        <v>3.7749683395</v>
      </c>
      <c r="CO24" s="28">
        <v>9.4934866E-3</v>
      </c>
      <c r="CP24" s="29" t="s">
        <v>136</v>
      </c>
      <c r="CQ24" s="30">
        <v>0</v>
      </c>
      <c r="CR24" s="29" t="s">
        <v>136</v>
      </c>
      <c r="CS24" s="30">
        <v>0</v>
      </c>
      <c r="CT24" s="29" t="s">
        <v>136</v>
      </c>
      <c r="CU24" s="30">
        <v>0</v>
      </c>
      <c r="CV24" s="29" t="s">
        <v>136</v>
      </c>
      <c r="CW24" s="30">
        <v>0</v>
      </c>
      <c r="CX24" s="4">
        <v>2.5740661099999999E-2</v>
      </c>
      <c r="CY24" s="28">
        <v>3.3337850000000001E-4</v>
      </c>
      <c r="CZ24" s="4">
        <v>6.8691700699999997E-2</v>
      </c>
      <c r="DA24" s="28">
        <v>7.1811049999999995E-4</v>
      </c>
      <c r="DB24" s="4">
        <v>0.71548914370000005</v>
      </c>
      <c r="DC24" s="28">
        <v>9.4996688999999992E-3</v>
      </c>
      <c r="DD24" s="4">
        <v>13.106983355000001</v>
      </c>
      <c r="DE24" s="28">
        <v>0.32497016000000001</v>
      </c>
      <c r="DF24" s="29" t="s">
        <v>136</v>
      </c>
      <c r="DG24" s="30">
        <v>0</v>
      </c>
      <c r="DH24" s="29" t="s">
        <v>136</v>
      </c>
      <c r="DI24" s="30">
        <v>0</v>
      </c>
      <c r="DJ24" s="4">
        <v>10.714989127999999</v>
      </c>
      <c r="DK24" s="28">
        <v>0.22209884269999999</v>
      </c>
      <c r="DL24" s="4">
        <v>28.660979875999999</v>
      </c>
      <c r="DM24" s="28">
        <v>1.2955883468</v>
      </c>
      <c r="DN24" s="4">
        <v>5.4891541630000003</v>
      </c>
      <c r="DO24" s="28">
        <v>0.31825762260000001</v>
      </c>
      <c r="DP24" s="4">
        <v>70.687798731000001</v>
      </c>
      <c r="DQ24" s="28">
        <v>0.74050918089999995</v>
      </c>
      <c r="DR24" s="37">
        <v>3.0499329999999998E-4</v>
      </c>
      <c r="DS24" s="38">
        <v>5.0074709999999999E-4</v>
      </c>
      <c r="DT24" s="38">
        <v>5.4698449999999999E-4</v>
      </c>
      <c r="DU24" s="38">
        <v>5.5605349999999999E-4</v>
      </c>
      <c r="DV24" s="38">
        <v>5.5931730000000003E-4</v>
      </c>
      <c r="DW24" s="38">
        <v>5.6191369999999995E-4</v>
      </c>
      <c r="DX24" s="38">
        <v>5.6191369999999995E-4</v>
      </c>
      <c r="DY24" s="38">
        <v>5.6191369999999995E-4</v>
      </c>
      <c r="DZ24" s="38">
        <v>5.6191369999999995E-4</v>
      </c>
      <c r="EA24" s="39">
        <v>5.6191369999999995E-4</v>
      </c>
      <c r="EB24" s="40">
        <v>51.821801874000002</v>
      </c>
      <c r="EC24" s="30">
        <v>0.36921759780000002</v>
      </c>
      <c r="ED24" s="31">
        <v>21.477603137999999</v>
      </c>
      <c r="EE24" s="30">
        <v>0.16075759479999999</v>
      </c>
      <c r="EF24" s="31">
        <v>8.6018467061999999</v>
      </c>
      <c r="EG24" s="30">
        <v>6.7556564999999999E-2</v>
      </c>
      <c r="EH24" s="31">
        <v>3.3494777645</v>
      </c>
      <c r="EI24" s="30">
        <v>2.7889641699999999E-2</v>
      </c>
      <c r="EJ24" s="31">
        <v>1.3136879000999999</v>
      </c>
      <c r="EK24" s="30">
        <v>1.1874297299999999E-2</v>
      </c>
      <c r="EL24" s="31">
        <v>0.53204139689999996</v>
      </c>
      <c r="EM24" s="30">
        <v>5.430102E-3</v>
      </c>
      <c r="EN24" s="31">
        <v>0.22535099610000001</v>
      </c>
      <c r="EO24" s="30">
        <v>2.7584552E-3</v>
      </c>
      <c r="EP24" s="31">
        <v>0.1077863444</v>
      </c>
      <c r="EQ24" s="30">
        <v>1.6345169E-3</v>
      </c>
      <c r="ER24" s="31">
        <v>5.9055868300000001E-2</v>
      </c>
      <c r="ES24" s="30">
        <v>1.1037332E-3</v>
      </c>
      <c r="ET24" s="31">
        <v>3.6061273400000003E-2</v>
      </c>
      <c r="EU24" s="36">
        <v>8.0923840000000002E-4</v>
      </c>
      <c r="EV24" s="31"/>
      <c r="EW24" s="30"/>
      <c r="EX24" s="31"/>
      <c r="EY24" s="30"/>
      <c r="EZ24" s="31"/>
      <c r="FA24" s="30"/>
      <c r="FB24" s="31"/>
      <c r="FC24" s="30"/>
      <c r="FD24" s="31"/>
      <c r="FE24" s="36"/>
    </row>
    <row r="25" spans="1:161" x14ac:dyDescent="0.2">
      <c r="A25" s="12">
        <v>2000</v>
      </c>
      <c r="B25" s="2">
        <v>44390</v>
      </c>
      <c r="C25" s="15">
        <f t="shared" si="0"/>
        <v>1.1421002758381855E-2</v>
      </c>
      <c r="D25" s="15">
        <f t="shared" si="5"/>
        <v>0.55783429588964817</v>
      </c>
      <c r="E25" s="15">
        <f t="shared" si="8"/>
        <v>295.34241547334267</v>
      </c>
      <c r="F25" s="26">
        <v>1251.1219716999999</v>
      </c>
      <c r="G25" s="4">
        <v>1949.5553837</v>
      </c>
      <c r="H25" s="41">
        <f t="shared" si="6"/>
        <v>0.31467431925959954</v>
      </c>
      <c r="I25" s="4">
        <f t="shared" si="1"/>
        <v>161.10061169820003</v>
      </c>
      <c r="J25" s="4">
        <f>(I25*SUM($B$5:$B25)-I24*SUM($B$5:$B24))/$B25</f>
        <v>613.47501322468486</v>
      </c>
      <c r="K25" s="4">
        <f t="shared" si="2"/>
        <v>626.19031240909999</v>
      </c>
      <c r="L25" s="4">
        <f>(K25*SUM(B$5:B25)-K24*SUM(B$5:B24))/B25</f>
        <v>2005.2968815313102</v>
      </c>
      <c r="M25" s="41">
        <f t="shared" si="7"/>
        <v>2.8591902696049679E-2</v>
      </c>
      <c r="N25" s="4">
        <v>33.002605422000002</v>
      </c>
      <c r="O25" s="28">
        <v>4.8923724799999999E-2</v>
      </c>
      <c r="P25" s="26">
        <v>0.39606393280000002</v>
      </c>
      <c r="Q25" s="28">
        <v>3.4883180000000002E-4</v>
      </c>
      <c r="R25" s="4">
        <v>122.34263855</v>
      </c>
      <c r="S25" s="28">
        <v>0.81632926630000002</v>
      </c>
      <c r="T25" s="4">
        <v>56.109207435000002</v>
      </c>
      <c r="U25" s="28">
        <v>0.3507465394</v>
      </c>
      <c r="V25" s="4">
        <v>10.742016177</v>
      </c>
      <c r="W25" s="28">
        <v>9.0905797499999996E-2</v>
      </c>
      <c r="X25" s="29" t="s">
        <v>136</v>
      </c>
      <c r="Y25" s="30">
        <v>0</v>
      </c>
      <c r="Z25" s="4">
        <v>6.0380304414000001</v>
      </c>
      <c r="AA25" s="28">
        <v>1.33718677E-2</v>
      </c>
      <c r="AB25" s="29" t="s">
        <v>136</v>
      </c>
      <c r="AC25" s="30">
        <v>0</v>
      </c>
      <c r="AD25" s="29" t="s">
        <v>136</v>
      </c>
      <c r="AE25" s="30">
        <v>0</v>
      </c>
      <c r="AF25" s="4">
        <v>0.1073435927</v>
      </c>
      <c r="AG25" s="28">
        <v>1.1931159999999999E-3</v>
      </c>
      <c r="AH25" s="4">
        <v>14.860332558</v>
      </c>
      <c r="AI25" s="28">
        <v>0.35795163899999999</v>
      </c>
      <c r="AJ25" s="29" t="s">
        <v>136</v>
      </c>
      <c r="AK25" s="30">
        <v>0</v>
      </c>
      <c r="AL25" s="4">
        <v>2.40585E-5</v>
      </c>
      <c r="AM25" s="28">
        <v>2.3159425000000001E-7</v>
      </c>
      <c r="AN25" s="29" t="s">
        <v>136</v>
      </c>
      <c r="AO25" s="30">
        <v>0</v>
      </c>
      <c r="AP25" s="29" t="s">
        <v>136</v>
      </c>
      <c r="AQ25" s="30">
        <v>0</v>
      </c>
      <c r="AR25" s="4">
        <f t="shared" si="3"/>
        <v>2.40585E-5</v>
      </c>
      <c r="AS25" s="28">
        <f t="shared" si="3"/>
        <v>2.3159425000000001E-7</v>
      </c>
      <c r="AT25" s="4">
        <v>71.774508069999996</v>
      </c>
      <c r="AU25" s="28">
        <v>1.149379876</v>
      </c>
      <c r="AV25" s="29" t="s">
        <v>136</v>
      </c>
      <c r="AW25" s="30">
        <v>0</v>
      </c>
      <c r="AX25" s="29" t="s">
        <v>136</v>
      </c>
      <c r="AY25" s="30">
        <v>0</v>
      </c>
      <c r="AZ25" s="29" t="s">
        <v>136</v>
      </c>
      <c r="BA25" s="30">
        <v>0</v>
      </c>
      <c r="BB25" s="4">
        <v>41.133147112000003</v>
      </c>
      <c r="BC25" s="28">
        <v>1.5696013618</v>
      </c>
      <c r="BD25" s="4">
        <v>28.907007621000002</v>
      </c>
      <c r="BE25" s="28">
        <v>0.27270520479999999</v>
      </c>
      <c r="BF25" s="4">
        <v>13.340218652000001</v>
      </c>
      <c r="BG25" s="28">
        <v>0.16501623030000001</v>
      </c>
      <c r="BH25" s="4">
        <v>5.3649545187000003</v>
      </c>
      <c r="BI25" s="28">
        <v>5.4332826200000003E-2</v>
      </c>
      <c r="BJ25" s="31">
        <f t="shared" si="4"/>
        <v>10.201834450300002</v>
      </c>
      <c r="BK25" s="30">
        <f t="shared" si="4"/>
        <v>5.3356148299999961E-2</v>
      </c>
      <c r="BL25" s="4">
        <v>0</v>
      </c>
      <c r="BM25" s="30">
        <v>0</v>
      </c>
      <c r="BN25" s="4">
        <v>79.676751682000003</v>
      </c>
      <c r="BO25" s="28">
        <v>1.0966990195999999</v>
      </c>
      <c r="BP25" s="28">
        <v>6.3626540000000004E-4</v>
      </c>
      <c r="BQ25" s="28">
        <v>4.6318848999999998E-7</v>
      </c>
      <c r="BR25" s="4">
        <v>79.244142584000002</v>
      </c>
      <c r="BS25" s="28">
        <v>2.9412795065999999</v>
      </c>
      <c r="BT25" s="4">
        <v>65.145658917999995</v>
      </c>
      <c r="BU25" s="28">
        <v>0.49629919099999997</v>
      </c>
      <c r="BV25" s="4">
        <v>16.672229512000001</v>
      </c>
      <c r="BW25" s="28">
        <v>9.4951949499999994E-2</v>
      </c>
      <c r="BX25" s="4">
        <v>3.85806842E-2</v>
      </c>
      <c r="BY25" s="28">
        <v>4.8449179999999998E-4</v>
      </c>
      <c r="BZ25" s="4">
        <v>0</v>
      </c>
      <c r="CA25" s="33">
        <v>0</v>
      </c>
      <c r="CB25" s="29" t="s">
        <v>136</v>
      </c>
      <c r="CC25" s="30">
        <v>0</v>
      </c>
      <c r="CD25" s="4">
        <v>0.20341009039999999</v>
      </c>
      <c r="CE25" s="28">
        <v>3.1960622E-3</v>
      </c>
      <c r="CF25" s="4">
        <v>10.538606087</v>
      </c>
      <c r="CG25" s="28">
        <v>8.7709735299999994E-2</v>
      </c>
      <c r="CH25" s="29" t="s">
        <v>136</v>
      </c>
      <c r="CI25" s="30">
        <v>0</v>
      </c>
      <c r="CJ25" s="29" t="s">
        <v>136</v>
      </c>
      <c r="CK25" s="30">
        <v>0</v>
      </c>
      <c r="CL25" s="4">
        <v>1.7812805597000001</v>
      </c>
      <c r="CM25" s="28">
        <v>2.8297321999999998E-3</v>
      </c>
      <c r="CN25" s="4">
        <v>4.2567498817000002</v>
      </c>
      <c r="CO25" s="28">
        <v>1.0542135500000001E-2</v>
      </c>
      <c r="CP25" s="29" t="s">
        <v>136</v>
      </c>
      <c r="CQ25" s="30">
        <v>0</v>
      </c>
      <c r="CR25" s="29" t="s">
        <v>136</v>
      </c>
      <c r="CS25" s="30">
        <v>0</v>
      </c>
      <c r="CT25" s="29" t="s">
        <v>136</v>
      </c>
      <c r="CU25" s="30">
        <v>0</v>
      </c>
      <c r="CV25" s="29" t="s">
        <v>136</v>
      </c>
      <c r="CW25" s="30">
        <v>0</v>
      </c>
      <c r="CX25" s="4">
        <v>2.9893480399999998E-2</v>
      </c>
      <c r="CY25" s="28">
        <v>3.7258579999999999E-4</v>
      </c>
      <c r="CZ25" s="4">
        <v>7.7450112299999999E-2</v>
      </c>
      <c r="DA25" s="28">
        <v>8.2053020000000005E-4</v>
      </c>
      <c r="DB25" s="4">
        <v>0.79266207310000003</v>
      </c>
      <c r="DC25" s="28">
        <v>1.0476664E-2</v>
      </c>
      <c r="DD25" s="4">
        <v>14.067670484000001</v>
      </c>
      <c r="DE25" s="28">
        <v>0.34747497500000002</v>
      </c>
      <c r="DF25" s="29" t="s">
        <v>136</v>
      </c>
      <c r="DG25" s="30">
        <v>0</v>
      </c>
      <c r="DH25" s="29" t="s">
        <v>136</v>
      </c>
      <c r="DI25" s="30">
        <v>0</v>
      </c>
      <c r="DJ25" s="4">
        <v>11.291602387999999</v>
      </c>
      <c r="DK25" s="28">
        <v>0.2315277416</v>
      </c>
      <c r="DL25" s="4">
        <v>29.841544723999998</v>
      </c>
      <c r="DM25" s="28">
        <v>1.3380736202000001</v>
      </c>
      <c r="DN25" s="4">
        <v>5.9104716098000001</v>
      </c>
      <c r="DO25" s="28">
        <v>0.33153628559999998</v>
      </c>
      <c r="DP25" s="4">
        <v>73.766280073000004</v>
      </c>
      <c r="DQ25" s="28">
        <v>0.76516273410000002</v>
      </c>
      <c r="DR25" s="37">
        <v>3.4751219999999998E-4</v>
      </c>
      <c r="DS25" s="38">
        <v>5.6990369999999999E-4</v>
      </c>
      <c r="DT25" s="38">
        <v>6.2142090000000001E-4</v>
      </c>
      <c r="DU25" s="38">
        <v>6.3052240000000003E-4</v>
      </c>
      <c r="DV25" s="38">
        <v>6.337208E-4</v>
      </c>
      <c r="DW25" s="38">
        <v>6.3626540000000004E-4</v>
      </c>
      <c r="DX25" s="38">
        <v>6.3626540000000004E-4</v>
      </c>
      <c r="DY25" s="38">
        <v>6.3626540000000004E-4</v>
      </c>
      <c r="DZ25" s="38">
        <v>6.3626540000000004E-4</v>
      </c>
      <c r="EA25" s="39">
        <v>6.3626540000000004E-4</v>
      </c>
      <c r="EB25" s="40">
        <v>53.927673753000001</v>
      </c>
      <c r="EC25" s="30">
        <v>0.38343133480000002</v>
      </c>
      <c r="ED25" s="31">
        <v>22.747251216999999</v>
      </c>
      <c r="EE25" s="30">
        <v>0.16968222720000001</v>
      </c>
      <c r="EF25" s="31">
        <v>9.3001835501999999</v>
      </c>
      <c r="EG25" s="30">
        <v>7.2688841300000001E-2</v>
      </c>
      <c r="EH25" s="31">
        <v>3.7099359500000002</v>
      </c>
      <c r="EI25" s="30">
        <v>3.0683361199999998E-2</v>
      </c>
      <c r="EJ25" s="31">
        <v>1.491966116</v>
      </c>
      <c r="EK25" s="30">
        <v>1.33532687E-2</v>
      </c>
      <c r="EL25" s="31">
        <v>0.61702040609999997</v>
      </c>
      <c r="EM25" s="30">
        <v>6.2026121999999998E-3</v>
      </c>
      <c r="EN25" s="31">
        <v>0.26682528239999997</v>
      </c>
      <c r="EO25" s="30">
        <v>3.1816807999999999E-3</v>
      </c>
      <c r="EP25" s="31">
        <v>0.12908271490000001</v>
      </c>
      <c r="EQ25" s="30">
        <v>1.8839318E-3</v>
      </c>
      <c r="ER25" s="31">
        <v>6.9801940600000001E-2</v>
      </c>
      <c r="ES25" s="30">
        <v>1.2538764E-3</v>
      </c>
      <c r="ET25" s="31">
        <v>4.2238721299999997E-2</v>
      </c>
      <c r="EU25" s="36">
        <v>9.1154080000000002E-4</v>
      </c>
      <c r="EV25" s="31"/>
      <c r="EW25" s="30"/>
      <c r="EX25" s="31"/>
      <c r="EY25" s="30"/>
      <c r="EZ25" s="31"/>
      <c r="FA25" s="30"/>
      <c r="FB25" s="31"/>
      <c r="FC25" s="30"/>
      <c r="FD25" s="31"/>
      <c r="FE25" s="36"/>
    </row>
    <row r="26" spans="1:161" x14ac:dyDescent="0.2">
      <c r="A26" s="12">
        <v>2100</v>
      </c>
      <c r="B26" s="2">
        <v>42562</v>
      </c>
      <c r="C26" s="15">
        <f t="shared" si="0"/>
        <v>1.0950680770494449E-2</v>
      </c>
      <c r="D26" s="15">
        <f t="shared" si="5"/>
        <v>0.5687849766601426</v>
      </c>
      <c r="E26" s="15">
        <f t="shared" si="8"/>
        <v>311.54827777297135</v>
      </c>
      <c r="F26" s="26">
        <v>1297.1958528</v>
      </c>
      <c r="G26" s="4">
        <v>2049.5770287999999</v>
      </c>
      <c r="H26" s="41">
        <f t="shared" si="6"/>
        <v>0.31826560572184581</v>
      </c>
      <c r="I26" s="4">
        <f t="shared" si="1"/>
        <v>170.55774585200001</v>
      </c>
      <c r="J26" s="4">
        <f>(I26*SUM($B$5:$B26)-I25*SUM($B$5:$B25))/$B26</f>
        <v>652.30987454461297</v>
      </c>
      <c r="K26" s="4">
        <f t="shared" si="2"/>
        <v>654.84752877109997</v>
      </c>
      <c r="L26" s="4">
        <f>(K26*SUM(B$5:B26)-K25*SUM(B$5:B25))/B26</f>
        <v>2114.6634476613876</v>
      </c>
      <c r="M26" s="41">
        <f t="shared" si="7"/>
        <v>3.1756024753797608E-2</v>
      </c>
      <c r="N26" s="4">
        <v>35.358232653999998</v>
      </c>
      <c r="O26" s="28">
        <v>5.1155550799999998E-2</v>
      </c>
      <c r="P26" s="26">
        <v>0.48206356620000002</v>
      </c>
      <c r="Q26" s="28">
        <v>4.0437269999999998E-4</v>
      </c>
      <c r="R26" s="4">
        <v>125.23462246</v>
      </c>
      <c r="S26" s="28">
        <v>0.83525367800000005</v>
      </c>
      <c r="T26" s="4">
        <v>58.094062332</v>
      </c>
      <c r="U26" s="28">
        <v>0.36295503060000001</v>
      </c>
      <c r="V26" s="4">
        <v>11.361041701</v>
      </c>
      <c r="W26" s="28">
        <v>9.5851026199999995E-2</v>
      </c>
      <c r="X26" s="29" t="s">
        <v>136</v>
      </c>
      <c r="Y26" s="30">
        <v>0</v>
      </c>
      <c r="Z26" s="4">
        <v>6.8480809907999998</v>
      </c>
      <c r="AA26" s="28">
        <v>1.48597855E-2</v>
      </c>
      <c r="AB26" s="29" t="s">
        <v>136</v>
      </c>
      <c r="AC26" s="30">
        <v>0</v>
      </c>
      <c r="AD26" s="29" t="s">
        <v>136</v>
      </c>
      <c r="AE26" s="30">
        <v>0</v>
      </c>
      <c r="AF26" s="4">
        <v>0.1215633169</v>
      </c>
      <c r="AG26" s="28">
        <v>1.3399543000000001E-3</v>
      </c>
      <c r="AH26" s="4">
        <v>15.901897236</v>
      </c>
      <c r="AI26" s="28">
        <v>0.38195171259999999</v>
      </c>
      <c r="AJ26" s="29" t="s">
        <v>136</v>
      </c>
      <c r="AK26" s="30">
        <v>0</v>
      </c>
      <c r="AL26" s="4">
        <v>2.3529599999999999E-5</v>
      </c>
      <c r="AM26" s="28">
        <v>2.2650233999999999E-7</v>
      </c>
      <c r="AN26" s="29" t="s">
        <v>136</v>
      </c>
      <c r="AO26" s="30">
        <v>0</v>
      </c>
      <c r="AP26" s="29" t="s">
        <v>136</v>
      </c>
      <c r="AQ26" s="30">
        <v>0</v>
      </c>
      <c r="AR26" s="4">
        <f t="shared" si="3"/>
        <v>2.3529599999999999E-5</v>
      </c>
      <c r="AS26" s="28">
        <f t="shared" si="3"/>
        <v>2.2650233999999999E-7</v>
      </c>
      <c r="AT26" s="4">
        <v>74.335037662999994</v>
      </c>
      <c r="AU26" s="28">
        <v>1.1812146157000001</v>
      </c>
      <c r="AV26" s="29" t="s">
        <v>136</v>
      </c>
      <c r="AW26" s="30">
        <v>0</v>
      </c>
      <c r="AX26" s="29" t="s">
        <v>136</v>
      </c>
      <c r="AY26" s="30">
        <v>0</v>
      </c>
      <c r="AZ26" s="29" t="s">
        <v>136</v>
      </c>
      <c r="BA26" s="30">
        <v>0</v>
      </c>
      <c r="BB26" s="4">
        <v>42.858470156000003</v>
      </c>
      <c r="BC26" s="28">
        <v>1.6209812755999999</v>
      </c>
      <c r="BD26" s="4">
        <v>30.60310144</v>
      </c>
      <c r="BE26" s="28">
        <v>0.28456794410000003</v>
      </c>
      <c r="BF26" s="4">
        <v>14.105768855999999</v>
      </c>
      <c r="BG26" s="28">
        <v>0.17234104110000001</v>
      </c>
      <c r="BH26" s="4">
        <v>5.6305705493999998</v>
      </c>
      <c r="BI26" s="28">
        <v>5.6210037099999999E-2</v>
      </c>
      <c r="BJ26" s="31">
        <f t="shared" si="4"/>
        <v>10.866762034600001</v>
      </c>
      <c r="BK26" s="30">
        <f t="shared" si="4"/>
        <v>5.6016865900000018E-2</v>
      </c>
      <c r="BL26" s="4">
        <v>0</v>
      </c>
      <c r="BM26" s="30">
        <v>0</v>
      </c>
      <c r="BN26" s="4">
        <v>83.091562343999996</v>
      </c>
      <c r="BO26" s="28">
        <v>1.1329196703</v>
      </c>
      <c r="BP26" s="28">
        <v>7.376444E-4</v>
      </c>
      <c r="BQ26" s="28">
        <v>4.5300466999999999E-7</v>
      </c>
      <c r="BR26" s="4">
        <v>82.283124008000001</v>
      </c>
      <c r="BS26" s="28">
        <v>3.0206310252000002</v>
      </c>
      <c r="BT26" s="4">
        <v>70.378071996000003</v>
      </c>
      <c r="BU26" s="28">
        <v>0.53403944410000004</v>
      </c>
      <c r="BV26" s="4">
        <v>17.854240506</v>
      </c>
      <c r="BW26" s="28">
        <v>0.10024384309999999</v>
      </c>
      <c r="BX26" s="4">
        <v>4.2309342E-2</v>
      </c>
      <c r="BY26" s="28">
        <v>5.1058929999999998E-4</v>
      </c>
      <c r="BZ26" s="4">
        <v>0</v>
      </c>
      <c r="CA26" s="33">
        <v>0</v>
      </c>
      <c r="CB26" s="29" t="s">
        <v>136</v>
      </c>
      <c r="CC26" s="30">
        <v>0</v>
      </c>
      <c r="CD26" s="4">
        <v>0.21378693309999999</v>
      </c>
      <c r="CE26" s="28">
        <v>3.3344677000000001E-3</v>
      </c>
      <c r="CF26" s="4">
        <v>11.147254768</v>
      </c>
      <c r="CG26" s="28">
        <v>9.2516558499999998E-2</v>
      </c>
      <c r="CH26" s="29" t="s">
        <v>136</v>
      </c>
      <c r="CI26" s="30">
        <v>0</v>
      </c>
      <c r="CJ26" s="29" t="s">
        <v>136</v>
      </c>
      <c r="CK26" s="30">
        <v>0</v>
      </c>
      <c r="CL26" s="4">
        <v>2.1206804593999999</v>
      </c>
      <c r="CM26" s="28">
        <v>3.2452356000000002E-3</v>
      </c>
      <c r="CN26" s="4">
        <v>4.7274005313999998</v>
      </c>
      <c r="CO26" s="28">
        <v>1.16145499E-2</v>
      </c>
      <c r="CP26" s="29" t="s">
        <v>136</v>
      </c>
      <c r="CQ26" s="30">
        <v>0</v>
      </c>
      <c r="CR26" s="29" t="s">
        <v>136</v>
      </c>
      <c r="CS26" s="30">
        <v>0</v>
      </c>
      <c r="CT26" s="29" t="s">
        <v>136</v>
      </c>
      <c r="CU26" s="30">
        <v>0</v>
      </c>
      <c r="CV26" s="29" t="s">
        <v>136</v>
      </c>
      <c r="CW26" s="30">
        <v>0</v>
      </c>
      <c r="CX26" s="4">
        <v>3.3638450600000001E-2</v>
      </c>
      <c r="CY26" s="28">
        <v>4.1654499999999999E-4</v>
      </c>
      <c r="CZ26" s="4">
        <v>8.7924866399999996E-2</v>
      </c>
      <c r="DA26" s="28">
        <v>9.2340930000000003E-4</v>
      </c>
      <c r="DB26" s="4">
        <v>0.86884800390000005</v>
      </c>
      <c r="DC26" s="28">
        <v>1.1320703E-2</v>
      </c>
      <c r="DD26" s="4">
        <v>15.033049233</v>
      </c>
      <c r="DE26" s="28">
        <v>0.37063100960000001</v>
      </c>
      <c r="DF26" s="29" t="s">
        <v>136</v>
      </c>
      <c r="DG26" s="30">
        <v>0</v>
      </c>
      <c r="DH26" s="29" t="s">
        <v>136</v>
      </c>
      <c r="DI26" s="30">
        <v>0</v>
      </c>
      <c r="DJ26" s="4">
        <v>11.866388655</v>
      </c>
      <c r="DK26" s="28">
        <v>0.24096842909999999</v>
      </c>
      <c r="DL26" s="4">
        <v>30.992081501000001</v>
      </c>
      <c r="DM26" s="28">
        <v>1.3800128464999999</v>
      </c>
      <c r="DN26" s="4">
        <v>6.3347883079000002</v>
      </c>
      <c r="DO26" s="28">
        <v>0.34454191649999999</v>
      </c>
      <c r="DP26" s="4">
        <v>76.756774035999996</v>
      </c>
      <c r="DQ26" s="28">
        <v>0.78837775389999998</v>
      </c>
      <c r="DR26" s="37">
        <v>4.0285499999999998E-4</v>
      </c>
      <c r="DS26" s="38">
        <v>6.6142359999999995E-4</v>
      </c>
      <c r="DT26" s="38">
        <v>7.2116740000000002E-4</v>
      </c>
      <c r="DU26" s="38">
        <v>7.3157739999999999E-4</v>
      </c>
      <c r="DV26" s="38">
        <v>7.3514689999999998E-4</v>
      </c>
      <c r="DW26" s="38">
        <v>7.376444E-4</v>
      </c>
      <c r="DX26" s="38">
        <v>7.376444E-4</v>
      </c>
      <c r="DY26" s="38">
        <v>7.376444E-4</v>
      </c>
      <c r="DZ26" s="38">
        <v>7.376444E-4</v>
      </c>
      <c r="EA26" s="39">
        <v>7.376444E-4</v>
      </c>
      <c r="EB26" s="40">
        <v>55.979908536000003</v>
      </c>
      <c r="EC26" s="30">
        <v>0.39728400209999998</v>
      </c>
      <c r="ED26" s="31">
        <v>23.994273200999999</v>
      </c>
      <c r="EE26" s="30">
        <v>0.17848270660000001</v>
      </c>
      <c r="EF26" s="31">
        <v>9.9888419314999997</v>
      </c>
      <c r="EG26" s="30">
        <v>7.7799151100000005E-2</v>
      </c>
      <c r="EH26" s="31">
        <v>4.0657050442999996</v>
      </c>
      <c r="EI26" s="30">
        <v>3.35066038E-2</v>
      </c>
      <c r="EJ26" s="31">
        <v>1.6709456439000001</v>
      </c>
      <c r="EK26" s="30">
        <v>1.49078101E-2</v>
      </c>
      <c r="EL26" s="31">
        <v>0.7056379344</v>
      </c>
      <c r="EM26" s="30">
        <v>7.0776757000000001E-3</v>
      </c>
      <c r="EN26" s="31">
        <v>0.31212904990000001</v>
      </c>
      <c r="EO26" s="30">
        <v>3.7068943000000002E-3</v>
      </c>
      <c r="EP26" s="31">
        <v>0.1540483493</v>
      </c>
      <c r="EQ26" s="30">
        <v>2.2337897000000002E-3</v>
      </c>
      <c r="ER26" s="31">
        <v>8.5185951400000001E-2</v>
      </c>
      <c r="ES26" s="30">
        <v>1.5140386000000001E-3</v>
      </c>
      <c r="ET26" s="31">
        <v>5.2447005599999999E-2</v>
      </c>
      <c r="EU26" s="36">
        <v>1.1180571E-3</v>
      </c>
      <c r="EV26" s="31"/>
      <c r="EW26" s="30"/>
      <c r="EX26" s="31"/>
      <c r="EY26" s="30"/>
      <c r="EZ26" s="31"/>
      <c r="FA26" s="30"/>
      <c r="FB26" s="31"/>
      <c r="FC26" s="30"/>
      <c r="FD26" s="31"/>
      <c r="FE26" s="36"/>
    </row>
    <row r="27" spans="1:161" x14ac:dyDescent="0.2">
      <c r="A27" s="12">
        <v>2200</v>
      </c>
      <c r="B27" s="2">
        <v>40319</v>
      </c>
      <c r="C27" s="15">
        <f t="shared" si="0"/>
        <v>1.0373584370696059E-2</v>
      </c>
      <c r="D27" s="15">
        <f t="shared" si="5"/>
        <v>0.57915856103083863</v>
      </c>
      <c r="E27" s="15">
        <f t="shared" si="8"/>
        <v>327.43210463701189</v>
      </c>
      <c r="F27" s="26">
        <v>1342.1492929999999</v>
      </c>
      <c r="G27" s="4">
        <v>2149.5936998000002</v>
      </c>
      <c r="H27" s="41">
        <f t="shared" si="6"/>
        <v>0.32038024743811339</v>
      </c>
      <c r="I27" s="4">
        <f t="shared" si="1"/>
        <v>179.83821176210003</v>
      </c>
      <c r="J27" s="4">
        <f>(I27*SUM($B$5:$B27)-I26*SUM($B$5:$B26))/$B27</f>
        <v>688.68736143333365</v>
      </c>
      <c r="K27" s="4">
        <f t="shared" si="2"/>
        <v>682.78742818060005</v>
      </c>
      <c r="L27" s="4">
        <f>(K27*SUM(B$5:B27)-K26*SUM(B$5:B26))/B27</f>
        <v>2214.7357370420332</v>
      </c>
      <c r="M27" s="41">
        <f t="shared" si="7"/>
        <v>3.0304348793027187E-2</v>
      </c>
      <c r="N27" s="4">
        <v>37.610648353000002</v>
      </c>
      <c r="O27" s="28">
        <v>5.3217697600000002E-2</v>
      </c>
      <c r="P27" s="26">
        <v>0.57553903900000003</v>
      </c>
      <c r="Q27" s="28">
        <v>4.6234629999999997E-4</v>
      </c>
      <c r="R27" s="4">
        <v>127.93052514999999</v>
      </c>
      <c r="S27" s="28">
        <v>0.8530733452</v>
      </c>
      <c r="T27" s="4">
        <v>60.016621817000001</v>
      </c>
      <c r="U27" s="28">
        <v>0.37451179909999999</v>
      </c>
      <c r="V27" s="4">
        <v>11.983195342</v>
      </c>
      <c r="W27" s="28">
        <v>0.10081175320000001</v>
      </c>
      <c r="X27" s="29" t="s">
        <v>136</v>
      </c>
      <c r="Y27" s="30">
        <v>0</v>
      </c>
      <c r="Z27" s="4">
        <v>7.7065723105000004</v>
      </c>
      <c r="AA27" s="28">
        <v>1.6398225200000002E-2</v>
      </c>
      <c r="AB27" s="29" t="s">
        <v>136</v>
      </c>
      <c r="AC27" s="30">
        <v>0</v>
      </c>
      <c r="AD27" s="29" t="s">
        <v>136</v>
      </c>
      <c r="AE27" s="30">
        <v>0</v>
      </c>
      <c r="AF27" s="4">
        <v>0.13485792520000001</v>
      </c>
      <c r="AG27" s="28">
        <v>1.4741012000000001E-3</v>
      </c>
      <c r="AH27" s="4">
        <v>16.953641604000001</v>
      </c>
      <c r="AI27" s="28">
        <v>0.40642047799999997</v>
      </c>
      <c r="AJ27" s="29" t="s">
        <v>136</v>
      </c>
      <c r="AK27" s="30">
        <v>0</v>
      </c>
      <c r="AL27" s="4">
        <v>2.30604E-5</v>
      </c>
      <c r="AM27" s="28">
        <v>2.2198578000000001E-7</v>
      </c>
      <c r="AN27" s="29" t="s">
        <v>136</v>
      </c>
      <c r="AO27" s="30">
        <v>0</v>
      </c>
      <c r="AP27" s="29" t="s">
        <v>136</v>
      </c>
      <c r="AQ27" s="30">
        <v>0</v>
      </c>
      <c r="AR27" s="4">
        <f t="shared" si="3"/>
        <v>2.30604E-5</v>
      </c>
      <c r="AS27" s="28">
        <f t="shared" si="3"/>
        <v>2.2198578000000001E-7</v>
      </c>
      <c r="AT27" s="4">
        <v>76.795138815000001</v>
      </c>
      <c r="AU27" s="28">
        <v>1.2108500215</v>
      </c>
      <c r="AV27" s="29" t="s">
        <v>136</v>
      </c>
      <c r="AW27" s="30">
        <v>0</v>
      </c>
      <c r="AX27" s="29" t="s">
        <v>136</v>
      </c>
      <c r="AY27" s="30">
        <v>0</v>
      </c>
      <c r="AZ27" s="29" t="s">
        <v>136</v>
      </c>
      <c r="BA27" s="30">
        <v>0</v>
      </c>
      <c r="BB27" s="4">
        <v>44.527773203000002</v>
      </c>
      <c r="BC27" s="28">
        <v>1.6694325612000001</v>
      </c>
      <c r="BD27" s="4">
        <v>32.258422897000003</v>
      </c>
      <c r="BE27" s="28">
        <v>0.29599684749999999</v>
      </c>
      <c r="BF27" s="4">
        <v>14.83307259</v>
      </c>
      <c r="BG27" s="28">
        <v>0.17927996530000001</v>
      </c>
      <c r="BH27" s="4">
        <v>5.8723802172999999</v>
      </c>
      <c r="BI27" s="28">
        <v>5.8012886499999999E-2</v>
      </c>
      <c r="BJ27" s="31">
        <f t="shared" si="4"/>
        <v>11.552970089700004</v>
      </c>
      <c r="BK27" s="30">
        <f t="shared" si="4"/>
        <v>5.8703995699999983E-2</v>
      </c>
      <c r="BL27" s="4">
        <v>0</v>
      </c>
      <c r="BM27" s="30">
        <v>0</v>
      </c>
      <c r="BN27" s="4">
        <v>86.456233842000003</v>
      </c>
      <c r="BO27" s="28">
        <v>1.1678622902</v>
      </c>
      <c r="BP27" s="28">
        <v>8.552271E-4</v>
      </c>
      <c r="BQ27" s="28">
        <v>4.4397156000000002E-7</v>
      </c>
      <c r="BR27" s="4">
        <v>85.224207996999993</v>
      </c>
      <c r="BS27" s="28">
        <v>3.0981930180999999</v>
      </c>
      <c r="BT27" s="4">
        <v>75.530314992000001</v>
      </c>
      <c r="BU27" s="28">
        <v>0.5712627334</v>
      </c>
      <c r="BV27" s="4">
        <v>19.035624311999999</v>
      </c>
      <c r="BW27" s="28">
        <v>0.1055196303</v>
      </c>
      <c r="BX27" s="4">
        <v>4.8064461099999997E-2</v>
      </c>
      <c r="BY27" s="28">
        <v>5.3753839999999998E-4</v>
      </c>
      <c r="BZ27" s="4">
        <v>0</v>
      </c>
      <c r="CA27" s="33">
        <v>0</v>
      </c>
      <c r="CB27" s="29" t="s">
        <v>136</v>
      </c>
      <c r="CC27" s="30">
        <v>0</v>
      </c>
      <c r="CD27" s="4">
        <v>0.22574831989999999</v>
      </c>
      <c r="CE27" s="28">
        <v>3.5122580999999999E-3</v>
      </c>
      <c r="CF27" s="4">
        <v>11.757447021999999</v>
      </c>
      <c r="CG27" s="28">
        <v>9.7299495099999994E-2</v>
      </c>
      <c r="CH27" s="29" t="s">
        <v>136</v>
      </c>
      <c r="CI27" s="30">
        <v>0</v>
      </c>
      <c r="CJ27" s="29" t="s">
        <v>136</v>
      </c>
      <c r="CK27" s="30">
        <v>0</v>
      </c>
      <c r="CL27" s="4">
        <v>2.4783823103999998</v>
      </c>
      <c r="CM27" s="28">
        <v>3.6718050000000002E-3</v>
      </c>
      <c r="CN27" s="4">
        <v>5.2281900000999997</v>
      </c>
      <c r="CO27" s="28">
        <v>1.27264202E-2</v>
      </c>
      <c r="CP27" s="29" t="s">
        <v>136</v>
      </c>
      <c r="CQ27" s="30">
        <v>0</v>
      </c>
      <c r="CR27" s="29" t="s">
        <v>136</v>
      </c>
      <c r="CS27" s="30">
        <v>0</v>
      </c>
      <c r="CT27" s="29" t="s">
        <v>136</v>
      </c>
      <c r="CU27" s="30">
        <v>0</v>
      </c>
      <c r="CV27" s="29" t="s">
        <v>136</v>
      </c>
      <c r="CW27" s="30">
        <v>0</v>
      </c>
      <c r="CX27" s="4">
        <v>3.7239123399999997E-2</v>
      </c>
      <c r="CY27" s="28">
        <v>4.4445299999999998E-4</v>
      </c>
      <c r="CZ27" s="4">
        <v>9.7618801800000002E-2</v>
      </c>
      <c r="DA27" s="28">
        <v>1.0296483000000001E-3</v>
      </c>
      <c r="DB27" s="4">
        <v>0.94656871740000004</v>
      </c>
      <c r="DC27" s="28">
        <v>1.2241360200000001E-2</v>
      </c>
      <c r="DD27" s="4">
        <v>16.007072886</v>
      </c>
      <c r="DE27" s="28">
        <v>0.39417911770000003</v>
      </c>
      <c r="DF27" s="29" t="s">
        <v>136</v>
      </c>
      <c r="DG27" s="30">
        <v>0</v>
      </c>
      <c r="DH27" s="29" t="s">
        <v>136</v>
      </c>
      <c r="DI27" s="30">
        <v>0</v>
      </c>
      <c r="DJ27" s="4">
        <v>12.425957097</v>
      </c>
      <c r="DK27" s="28">
        <v>0.24993106270000001</v>
      </c>
      <c r="DL27" s="4">
        <v>32.101816106000001</v>
      </c>
      <c r="DM27" s="28">
        <v>1.4195014985000001</v>
      </c>
      <c r="DN27" s="4">
        <v>6.7689264955999997</v>
      </c>
      <c r="DO27" s="28">
        <v>0.35710601079999998</v>
      </c>
      <c r="DP27" s="4">
        <v>79.687307347000001</v>
      </c>
      <c r="DQ27" s="28">
        <v>0.81075627939999995</v>
      </c>
      <c r="DR27" s="37">
        <v>4.6045359999999998E-4</v>
      </c>
      <c r="DS27" s="38">
        <v>7.5847060000000001E-4</v>
      </c>
      <c r="DT27" s="38">
        <v>8.2738310000000004E-4</v>
      </c>
      <c r="DU27" s="38">
        <v>8.3882569999999999E-4</v>
      </c>
      <c r="DV27" s="38">
        <v>8.4253819999999995E-4</v>
      </c>
      <c r="DW27" s="38">
        <v>8.4519819999999998E-4</v>
      </c>
      <c r="DX27" s="38">
        <v>8.4540289999999996E-4</v>
      </c>
      <c r="DY27" s="38">
        <v>8.4560750000000002E-4</v>
      </c>
      <c r="DZ27" s="38">
        <v>8.458122E-4</v>
      </c>
      <c r="EA27" s="39">
        <v>8.4601689999999998E-4</v>
      </c>
      <c r="EB27" s="40">
        <v>57.917637179000003</v>
      </c>
      <c r="EC27" s="30">
        <v>0.41043907759999998</v>
      </c>
      <c r="ED27" s="31">
        <v>25.191853313999999</v>
      </c>
      <c r="EE27" s="30">
        <v>0.18692086969999999</v>
      </c>
      <c r="EF27" s="31">
        <v>10.66523572</v>
      </c>
      <c r="EG27" s="30">
        <v>8.2783743199999996E-2</v>
      </c>
      <c r="EH27" s="31">
        <v>4.4226887239000003</v>
      </c>
      <c r="EI27" s="30">
        <v>3.6276310300000003E-2</v>
      </c>
      <c r="EJ27" s="31">
        <v>1.8539791587000001</v>
      </c>
      <c r="EK27" s="30">
        <v>1.6432906000000001E-2</v>
      </c>
      <c r="EL27" s="31">
        <v>0.79768543309999995</v>
      </c>
      <c r="EM27" s="30">
        <v>7.9206971000000004E-3</v>
      </c>
      <c r="EN27" s="31">
        <v>0.35944357999999998</v>
      </c>
      <c r="EO27" s="30">
        <v>4.1993606999999999E-3</v>
      </c>
      <c r="EP27" s="31">
        <v>0.17863298050000001</v>
      </c>
      <c r="EQ27" s="30">
        <v>2.5423823999999999E-3</v>
      </c>
      <c r="ER27" s="31">
        <v>9.9162650199999994E-2</v>
      </c>
      <c r="ES27" s="30">
        <v>1.7266507E-3</v>
      </c>
      <c r="ET27" s="31">
        <v>6.0775071E-2</v>
      </c>
      <c r="EU27" s="36">
        <v>1.2748391999999999E-3</v>
      </c>
      <c r="EV27" s="31"/>
      <c r="EW27" s="30"/>
      <c r="EX27" s="31"/>
      <c r="EY27" s="30"/>
      <c r="EZ27" s="31"/>
      <c r="FA27" s="30"/>
      <c r="FB27" s="31"/>
      <c r="FC27" s="30"/>
      <c r="FD27" s="31"/>
      <c r="FE27" s="36"/>
    </row>
    <row r="28" spans="1:161" x14ac:dyDescent="0.2">
      <c r="A28" s="12">
        <v>2300</v>
      </c>
      <c r="B28" s="2">
        <v>39198</v>
      </c>
      <c r="C28" s="15">
        <f t="shared" si="0"/>
        <v>1.0085164814666637E-2</v>
      </c>
      <c r="D28" s="15">
        <f t="shared" si="5"/>
        <v>0.58924372584550522</v>
      </c>
      <c r="E28" s="15">
        <f t="shared" si="8"/>
        <v>343.38075895011366</v>
      </c>
      <c r="F28" s="26">
        <v>1386.1670486</v>
      </c>
      <c r="G28" s="4">
        <v>2249.5779269999998</v>
      </c>
      <c r="H28" s="41">
        <f t="shared" si="6"/>
        <v>0.32470323973153847</v>
      </c>
      <c r="I28" s="4">
        <f t="shared" si="1"/>
        <v>189.26209256670001</v>
      </c>
      <c r="J28" s="4">
        <f>(I28*SUM($B$5:$B28)-I27*SUM($B$5:$B27))/$B28</f>
        <v>730.44524092545828</v>
      </c>
      <c r="K28" s="4">
        <f t="shared" si="2"/>
        <v>710.81608469820003</v>
      </c>
      <c r="L28" s="4">
        <f>(K28*SUM(B$5:B28)-K27*SUM(B$5:B27))/B28</f>
        <v>2320.4116316895088</v>
      </c>
      <c r="M28" s="41">
        <f t="shared" si="7"/>
        <v>3.1487553215803307E-2</v>
      </c>
      <c r="N28" s="4">
        <v>39.932232216999999</v>
      </c>
      <c r="O28" s="28">
        <v>5.5275490099999998E-2</v>
      </c>
      <c r="P28" s="26">
        <v>0.70521257950000005</v>
      </c>
      <c r="Q28" s="28">
        <v>5.3869110000000003E-4</v>
      </c>
      <c r="R28" s="4">
        <v>130.50097198</v>
      </c>
      <c r="S28" s="28">
        <v>0.87011735290000003</v>
      </c>
      <c r="T28" s="4">
        <v>61.935193462999997</v>
      </c>
      <c r="U28" s="28">
        <v>0.386205929</v>
      </c>
      <c r="V28" s="4">
        <v>12.628498024000001</v>
      </c>
      <c r="W28" s="28">
        <v>0.10586739520000001</v>
      </c>
      <c r="X28" s="29" t="s">
        <v>136</v>
      </c>
      <c r="Y28" s="30">
        <v>0</v>
      </c>
      <c r="Z28" s="4">
        <v>8.6016894907000001</v>
      </c>
      <c r="AA28" s="28">
        <v>1.79851013E-2</v>
      </c>
      <c r="AB28" s="29" t="s">
        <v>136</v>
      </c>
      <c r="AC28" s="30">
        <v>0</v>
      </c>
      <c r="AD28" s="29" t="s">
        <v>136</v>
      </c>
      <c r="AE28" s="30">
        <v>0</v>
      </c>
      <c r="AF28" s="4">
        <v>0.1498243417</v>
      </c>
      <c r="AG28" s="28">
        <v>1.6440309E-3</v>
      </c>
      <c r="AH28" s="4">
        <v>18.009173270000002</v>
      </c>
      <c r="AI28" s="28">
        <v>0.43074833070000002</v>
      </c>
      <c r="AJ28" s="29" t="s">
        <v>136</v>
      </c>
      <c r="AK28" s="30">
        <v>0</v>
      </c>
      <c r="AL28" s="4">
        <v>2.2617300000000001E-5</v>
      </c>
      <c r="AM28" s="28">
        <v>2.1772099000000001E-7</v>
      </c>
      <c r="AN28" s="29" t="s">
        <v>136</v>
      </c>
      <c r="AO28" s="30">
        <v>0</v>
      </c>
      <c r="AP28" s="29" t="s">
        <v>136</v>
      </c>
      <c r="AQ28" s="30">
        <v>0</v>
      </c>
      <c r="AR28" s="4">
        <f t="shared" si="3"/>
        <v>2.2617300000000001E-5</v>
      </c>
      <c r="AS28" s="28">
        <f t="shared" si="3"/>
        <v>2.1772099000000001E-7</v>
      </c>
      <c r="AT28" s="4">
        <v>79.256078231000004</v>
      </c>
      <c r="AU28" s="28">
        <v>1.2395527660000001</v>
      </c>
      <c r="AV28" s="29" t="s">
        <v>136</v>
      </c>
      <c r="AW28" s="30">
        <v>0</v>
      </c>
      <c r="AX28" s="29" t="s">
        <v>136</v>
      </c>
      <c r="AY28" s="30">
        <v>0</v>
      </c>
      <c r="AZ28" s="29" t="s">
        <v>136</v>
      </c>
      <c r="BA28" s="30">
        <v>0</v>
      </c>
      <c r="BB28" s="4">
        <v>46.102982929</v>
      </c>
      <c r="BC28" s="28">
        <v>1.7153044514</v>
      </c>
      <c r="BD28" s="4">
        <v>33.873715079</v>
      </c>
      <c r="BE28" s="28">
        <v>0.30701337919999999</v>
      </c>
      <c r="BF28" s="4">
        <v>15.564020154</v>
      </c>
      <c r="BG28" s="28">
        <v>0.1861109507</v>
      </c>
      <c r="BH28" s="4">
        <v>6.0918948103000004</v>
      </c>
      <c r="BI28" s="28">
        <v>5.9646156999999998E-2</v>
      </c>
      <c r="BJ28" s="31">
        <f t="shared" si="4"/>
        <v>12.217800114700001</v>
      </c>
      <c r="BK28" s="30">
        <f t="shared" si="4"/>
        <v>6.1256271499999987E-2</v>
      </c>
      <c r="BL28" s="4">
        <v>0</v>
      </c>
      <c r="BM28" s="30">
        <v>0</v>
      </c>
      <c r="BN28" s="4">
        <v>89.858375292000005</v>
      </c>
      <c r="BO28" s="28">
        <v>1.2035768421999999</v>
      </c>
      <c r="BP28" s="28">
        <v>9.989094E-4</v>
      </c>
      <c r="BQ28" s="28">
        <v>4.3544196999999999E-7</v>
      </c>
      <c r="BR28" s="4">
        <v>88.108334631000005</v>
      </c>
      <c r="BS28" s="28">
        <v>3.1723824369</v>
      </c>
      <c r="BT28" s="4">
        <v>80.861161093999996</v>
      </c>
      <c r="BU28" s="28">
        <v>0.60894678140000003</v>
      </c>
      <c r="BV28" s="4">
        <v>20.238118355000001</v>
      </c>
      <c r="BW28" s="28">
        <v>0.11076670700000001</v>
      </c>
      <c r="BX28" s="4">
        <v>5.4478486700000002E-2</v>
      </c>
      <c r="BY28" s="28">
        <v>5.5282729999999998E-4</v>
      </c>
      <c r="BZ28" s="4">
        <v>0</v>
      </c>
      <c r="CA28" s="33">
        <v>0</v>
      </c>
      <c r="CB28" s="29" t="s">
        <v>136</v>
      </c>
      <c r="CC28" s="30">
        <v>0</v>
      </c>
      <c r="CD28" s="4">
        <v>0.23915733119999999</v>
      </c>
      <c r="CE28" s="28">
        <v>3.6797992000000002E-3</v>
      </c>
      <c r="CF28" s="4">
        <v>12.389340691999999</v>
      </c>
      <c r="CG28" s="28">
        <v>0.10218759600000001</v>
      </c>
      <c r="CH28" s="29" t="s">
        <v>136</v>
      </c>
      <c r="CI28" s="30">
        <v>0</v>
      </c>
      <c r="CJ28" s="29" t="s">
        <v>136</v>
      </c>
      <c r="CK28" s="30">
        <v>0</v>
      </c>
      <c r="CL28" s="4">
        <v>2.8683892647999998</v>
      </c>
      <c r="CM28" s="28">
        <v>4.1371450000000001E-3</v>
      </c>
      <c r="CN28" s="4">
        <v>5.7333002258999999</v>
      </c>
      <c r="CO28" s="28">
        <v>1.38479563E-2</v>
      </c>
      <c r="CP28" s="29" t="s">
        <v>136</v>
      </c>
      <c r="CQ28" s="30">
        <v>0</v>
      </c>
      <c r="CR28" s="29" t="s">
        <v>136</v>
      </c>
      <c r="CS28" s="30">
        <v>0</v>
      </c>
      <c r="CT28" s="29" t="s">
        <v>136</v>
      </c>
      <c r="CU28" s="30">
        <v>0</v>
      </c>
      <c r="CV28" s="29" t="s">
        <v>136</v>
      </c>
      <c r="CW28" s="30">
        <v>0</v>
      </c>
      <c r="CX28" s="4">
        <v>3.9720829300000003E-2</v>
      </c>
      <c r="CY28" s="28">
        <v>4.7029329999999999E-4</v>
      </c>
      <c r="CZ28" s="4">
        <v>0.11010351240000001</v>
      </c>
      <c r="DA28" s="28">
        <v>1.1737377E-3</v>
      </c>
      <c r="DB28" s="4">
        <v>1.0395706346</v>
      </c>
      <c r="DC28" s="28">
        <v>1.3328654299999999E-2</v>
      </c>
      <c r="DD28" s="4">
        <v>16.969602635000001</v>
      </c>
      <c r="DE28" s="28">
        <v>0.41741967639999999</v>
      </c>
      <c r="DF28" s="29" t="s">
        <v>136</v>
      </c>
      <c r="DG28" s="30">
        <v>0</v>
      </c>
      <c r="DH28" s="29" t="s">
        <v>136</v>
      </c>
      <c r="DI28" s="30">
        <v>0</v>
      </c>
      <c r="DJ28" s="4">
        <v>12.977783874</v>
      </c>
      <c r="DK28" s="28">
        <v>0.25877853070000001</v>
      </c>
      <c r="DL28" s="4">
        <v>33.125199055000003</v>
      </c>
      <c r="DM28" s="28">
        <v>1.4565259207000001</v>
      </c>
      <c r="DN28" s="4">
        <v>7.2502439221000001</v>
      </c>
      <c r="DO28" s="28">
        <v>0.37020156739999999</v>
      </c>
      <c r="DP28" s="4">
        <v>82.608131369999995</v>
      </c>
      <c r="DQ28" s="28">
        <v>0.83337527489999996</v>
      </c>
      <c r="DR28" s="37">
        <v>5.3683270000000002E-4</v>
      </c>
      <c r="DS28" s="38">
        <v>8.8951709999999997E-4</v>
      </c>
      <c r="DT28" s="38">
        <v>9.6942389999999995E-4</v>
      </c>
      <c r="DU28" s="38">
        <v>9.8210820000000005E-4</v>
      </c>
      <c r="DV28" s="38">
        <v>9.8638010000000006E-4</v>
      </c>
      <c r="DW28" s="38">
        <v>9.8899759999999991E-4</v>
      </c>
      <c r="DX28" s="38">
        <v>9.8919989999999994E-4</v>
      </c>
      <c r="DY28" s="38">
        <v>9.8940219999999997E-4</v>
      </c>
      <c r="DZ28" s="38">
        <v>9.8960439999999997E-4</v>
      </c>
      <c r="EA28" s="39">
        <v>9.898067E-4</v>
      </c>
      <c r="EB28" s="40">
        <v>59.768615435000001</v>
      </c>
      <c r="EC28" s="30">
        <v>0.42310635969999999</v>
      </c>
      <c r="ED28" s="31">
        <v>26.348042552999999</v>
      </c>
      <c r="EE28" s="30">
        <v>0.19516194370000001</v>
      </c>
      <c r="EF28" s="31">
        <v>11.32789378</v>
      </c>
      <c r="EG28" s="30">
        <v>8.7728950099999994E-2</v>
      </c>
      <c r="EH28" s="31">
        <v>4.7863006489000002</v>
      </c>
      <c r="EI28" s="30">
        <v>3.9154401399999997E-2</v>
      </c>
      <c r="EJ28" s="31">
        <v>2.0468777034999999</v>
      </c>
      <c r="EK28" s="30">
        <v>1.80893541E-2</v>
      </c>
      <c r="EL28" s="31">
        <v>0.9001688256</v>
      </c>
      <c r="EM28" s="30">
        <v>8.9054583000000003E-3</v>
      </c>
      <c r="EN28" s="31">
        <v>0.41320665039999999</v>
      </c>
      <c r="EO28" s="30">
        <v>4.8054441999999999E-3</v>
      </c>
      <c r="EP28" s="31">
        <v>0.2084905742</v>
      </c>
      <c r="EQ28" s="30">
        <v>2.9496606E-3</v>
      </c>
      <c r="ER28" s="31">
        <v>0.1166152469</v>
      </c>
      <c r="ES28" s="30">
        <v>2.0211262999999999E-3</v>
      </c>
      <c r="ET28" s="31">
        <v>7.2085323100000001E-2</v>
      </c>
      <c r="EU28" s="36">
        <v>1.5055518E-3</v>
      </c>
      <c r="EV28" s="31"/>
      <c r="EW28" s="30"/>
      <c r="EX28" s="31"/>
      <c r="EY28" s="30"/>
      <c r="EZ28" s="31"/>
      <c r="FA28" s="30"/>
      <c r="FB28" s="31"/>
      <c r="FC28" s="30"/>
      <c r="FD28" s="31"/>
      <c r="FE28" s="36"/>
    </row>
    <row r="29" spans="1:161" x14ac:dyDescent="0.2">
      <c r="A29" s="12">
        <v>2400</v>
      </c>
      <c r="B29" s="2">
        <v>36983</v>
      </c>
      <c r="C29" s="15">
        <f t="shared" si="0"/>
        <v>9.5152724715754939E-3</v>
      </c>
      <c r="D29" s="15">
        <f t="shared" si="5"/>
        <v>0.59875899831708068</v>
      </c>
      <c r="E29" s="15">
        <f t="shared" si="8"/>
        <v>358.89460401253007</v>
      </c>
      <c r="F29" s="26">
        <v>1429.1333265000001</v>
      </c>
      <c r="G29" s="4">
        <v>2349.7073338999999</v>
      </c>
      <c r="H29" s="41">
        <f t="shared" si="6"/>
        <v>0.32736057183961281</v>
      </c>
      <c r="I29" s="4">
        <f t="shared" si="1"/>
        <v>198.47829113969999</v>
      </c>
      <c r="J29" s="4">
        <f>(I29*SUM($B$5:$B29)-I28*SUM($B$5:$B28))/$B29</f>
        <v>769.20153648123596</v>
      </c>
      <c r="K29" s="4">
        <f t="shared" si="2"/>
        <v>738.07035065779996</v>
      </c>
      <c r="L29" s="4">
        <f>(K29*SUM(B$5:B29)-K28*SUM(B$5:B28))/B29</f>
        <v>2425.8207821028759</v>
      </c>
      <c r="M29" s="41">
        <f t="shared" si="7"/>
        <v>3.2392735514232905E-2</v>
      </c>
      <c r="N29" s="4">
        <v>42.136528112999997</v>
      </c>
      <c r="O29" s="28">
        <v>5.7219042300000002E-2</v>
      </c>
      <c r="P29" s="26">
        <v>0.83127701639999996</v>
      </c>
      <c r="Q29" s="28">
        <v>6.0947569999999997E-4</v>
      </c>
      <c r="R29" s="4">
        <v>132.89843504999999</v>
      </c>
      <c r="S29" s="28">
        <v>0.88593398629999998</v>
      </c>
      <c r="T29" s="4">
        <v>63.643917696999999</v>
      </c>
      <c r="U29" s="28">
        <v>0.39662081589999998</v>
      </c>
      <c r="V29" s="4">
        <v>13.258381154</v>
      </c>
      <c r="W29" s="28">
        <v>0.1108358116</v>
      </c>
      <c r="X29" s="29" t="s">
        <v>136</v>
      </c>
      <c r="Y29" s="30">
        <v>0</v>
      </c>
      <c r="Z29" s="4">
        <v>9.5038825704000001</v>
      </c>
      <c r="AA29" s="28">
        <v>1.9532719699999999E-2</v>
      </c>
      <c r="AB29" s="29" t="s">
        <v>136</v>
      </c>
      <c r="AC29" s="30">
        <v>0</v>
      </c>
      <c r="AD29" s="29" t="s">
        <v>136</v>
      </c>
      <c r="AE29" s="30">
        <v>0</v>
      </c>
      <c r="AF29" s="4">
        <v>0.1690099501</v>
      </c>
      <c r="AG29" s="28">
        <v>1.8433928E-3</v>
      </c>
      <c r="AH29" s="4">
        <v>19.059347712000001</v>
      </c>
      <c r="AI29" s="28">
        <v>0.45456851450000002</v>
      </c>
      <c r="AJ29" s="29" t="s">
        <v>136</v>
      </c>
      <c r="AK29" s="30">
        <v>0</v>
      </c>
      <c r="AL29" s="4">
        <v>5.9607100000000001E-5</v>
      </c>
      <c r="AM29" s="28">
        <v>4.0693273999999999E-7</v>
      </c>
      <c r="AN29" s="29" t="s">
        <v>136</v>
      </c>
      <c r="AO29" s="30">
        <v>0</v>
      </c>
      <c r="AP29" s="29" t="s">
        <v>136</v>
      </c>
      <c r="AQ29" s="30">
        <v>0</v>
      </c>
      <c r="AR29" s="4">
        <f t="shared" si="3"/>
        <v>5.9607100000000001E-5</v>
      </c>
      <c r="AS29" s="28">
        <f t="shared" si="3"/>
        <v>4.0693273999999999E-7</v>
      </c>
      <c r="AT29" s="4">
        <v>81.687074511000006</v>
      </c>
      <c r="AU29" s="28">
        <v>1.2663685808</v>
      </c>
      <c r="AV29" s="29" t="s">
        <v>136</v>
      </c>
      <c r="AW29" s="30">
        <v>0</v>
      </c>
      <c r="AX29" s="29" t="s">
        <v>136</v>
      </c>
      <c r="AY29" s="30">
        <v>0</v>
      </c>
      <c r="AZ29" s="29" t="s">
        <v>136</v>
      </c>
      <c r="BA29" s="30">
        <v>0</v>
      </c>
      <c r="BB29" s="4">
        <v>47.663225019999999</v>
      </c>
      <c r="BC29" s="28">
        <v>1.7589196706000001</v>
      </c>
      <c r="BD29" s="4">
        <v>35.459221782</v>
      </c>
      <c r="BE29" s="28">
        <v>0.3174003547</v>
      </c>
      <c r="BF29" s="4">
        <v>16.277225894000001</v>
      </c>
      <c r="BG29" s="28">
        <v>0.19254310250000001</v>
      </c>
      <c r="BH29" s="4">
        <v>6.3164827030000001</v>
      </c>
      <c r="BI29" s="28">
        <v>6.1226817199999999E-2</v>
      </c>
      <c r="BJ29" s="31">
        <f t="shared" si="4"/>
        <v>12.865513184999998</v>
      </c>
      <c r="BK29" s="30">
        <f t="shared" si="4"/>
        <v>6.3630434999999985E-2</v>
      </c>
      <c r="BL29" s="4">
        <v>0</v>
      </c>
      <c r="BM29" s="30">
        <v>0</v>
      </c>
      <c r="BN29" s="4">
        <v>93.281639728000002</v>
      </c>
      <c r="BO29" s="28">
        <v>1.2372490002000001</v>
      </c>
      <c r="BP29" s="28">
        <v>1.1306301999999999E-3</v>
      </c>
      <c r="BQ29" s="28">
        <v>8.7230267999999998E-7</v>
      </c>
      <c r="BR29" s="4">
        <v>90.815164181</v>
      </c>
      <c r="BS29" s="28">
        <v>3.2402509811</v>
      </c>
      <c r="BT29" s="4">
        <v>86.154642819000003</v>
      </c>
      <c r="BU29" s="28">
        <v>0.64628989179999996</v>
      </c>
      <c r="BV29" s="4">
        <v>21.448710691999999</v>
      </c>
      <c r="BW29" s="28">
        <v>0.1158729718</v>
      </c>
      <c r="BX29" s="4">
        <v>5.9773447700000003E-2</v>
      </c>
      <c r="BY29" s="28">
        <v>5.5468559999999995E-4</v>
      </c>
      <c r="BZ29" s="4">
        <v>0</v>
      </c>
      <c r="CA29" s="33">
        <v>0</v>
      </c>
      <c r="CB29" s="29" t="s">
        <v>136</v>
      </c>
      <c r="CC29" s="30">
        <v>0</v>
      </c>
      <c r="CD29" s="4">
        <v>0.25584216389999997</v>
      </c>
      <c r="CE29" s="28">
        <v>3.8868874E-3</v>
      </c>
      <c r="CF29" s="4">
        <v>13.00253899</v>
      </c>
      <c r="CG29" s="28">
        <v>0.1069489242</v>
      </c>
      <c r="CH29" s="29" t="s">
        <v>136</v>
      </c>
      <c r="CI29" s="30">
        <v>0</v>
      </c>
      <c r="CJ29" s="29" t="s">
        <v>136</v>
      </c>
      <c r="CK29" s="30">
        <v>0</v>
      </c>
      <c r="CL29" s="4">
        <v>3.2511811772999999</v>
      </c>
      <c r="CM29" s="28">
        <v>4.5634370999999996E-3</v>
      </c>
      <c r="CN29" s="4">
        <v>6.2527013929999997</v>
      </c>
      <c r="CO29" s="28">
        <v>1.4969282699999999E-2</v>
      </c>
      <c r="CP29" s="29" t="s">
        <v>136</v>
      </c>
      <c r="CQ29" s="30">
        <v>0</v>
      </c>
      <c r="CR29" s="29" t="s">
        <v>136</v>
      </c>
      <c r="CS29" s="30">
        <v>0</v>
      </c>
      <c r="CT29" s="29" t="s">
        <v>136</v>
      </c>
      <c r="CU29" s="30">
        <v>0</v>
      </c>
      <c r="CV29" s="29" t="s">
        <v>136</v>
      </c>
      <c r="CW29" s="30">
        <v>0</v>
      </c>
      <c r="CX29" s="4">
        <v>4.4421423600000003E-2</v>
      </c>
      <c r="CY29" s="28">
        <v>5.2511780000000002E-4</v>
      </c>
      <c r="CZ29" s="4">
        <v>0.1245885265</v>
      </c>
      <c r="DA29" s="28">
        <v>1.318275E-3</v>
      </c>
      <c r="DB29" s="4">
        <v>1.1329581450999999</v>
      </c>
      <c r="DC29" s="28">
        <v>1.44871093E-2</v>
      </c>
      <c r="DD29" s="4">
        <v>17.926389567000001</v>
      </c>
      <c r="DE29" s="28">
        <v>0.4400814052</v>
      </c>
      <c r="DF29" s="29" t="s">
        <v>136</v>
      </c>
      <c r="DG29" s="30">
        <v>0</v>
      </c>
      <c r="DH29" s="29" t="s">
        <v>136</v>
      </c>
      <c r="DI29" s="30">
        <v>0</v>
      </c>
      <c r="DJ29" s="4">
        <v>13.535721472000001</v>
      </c>
      <c r="DK29" s="28">
        <v>0.26795217869999999</v>
      </c>
      <c r="DL29" s="4">
        <v>34.127503548</v>
      </c>
      <c r="DM29" s="28">
        <v>1.490967492</v>
      </c>
      <c r="DN29" s="4">
        <v>7.7772401964000002</v>
      </c>
      <c r="DO29" s="28">
        <v>0.38291036690000002</v>
      </c>
      <c r="DP29" s="4">
        <v>85.504399531999994</v>
      </c>
      <c r="DQ29" s="28">
        <v>0.85433863330000004</v>
      </c>
      <c r="DR29" s="37">
        <v>6.0700610000000003E-4</v>
      </c>
      <c r="DS29" s="38">
        <v>1.0102104E-3</v>
      </c>
      <c r="DT29" s="38">
        <v>1.0986680999999999E-3</v>
      </c>
      <c r="DU29" s="38">
        <v>1.1130084999999999E-3</v>
      </c>
      <c r="DV29" s="38">
        <v>1.1176243000000001E-3</v>
      </c>
      <c r="DW29" s="38">
        <v>1.1206113E-3</v>
      </c>
      <c r="DX29" s="38">
        <v>1.1210253E-3</v>
      </c>
      <c r="DY29" s="38">
        <v>1.1212253999999999E-3</v>
      </c>
      <c r="DZ29" s="38">
        <v>1.1214255000000001E-3</v>
      </c>
      <c r="EA29" s="39">
        <v>1.1216256E-3</v>
      </c>
      <c r="EB29" s="40">
        <v>61.514576253000001</v>
      </c>
      <c r="EC29" s="30">
        <v>0.4349301384</v>
      </c>
      <c r="ED29" s="31">
        <v>27.446792321</v>
      </c>
      <c r="EE29" s="30">
        <v>0.20284962779999999</v>
      </c>
      <c r="EF29" s="31">
        <v>11.968147502000001</v>
      </c>
      <c r="EG29" s="30">
        <v>9.2386045799999997E-2</v>
      </c>
      <c r="EH29" s="31">
        <v>5.1372447458000003</v>
      </c>
      <c r="EI29" s="30">
        <v>4.1841804400000002E-2</v>
      </c>
      <c r="EJ29" s="31">
        <v>2.2376055527999998</v>
      </c>
      <c r="EK29" s="30">
        <v>1.9634378000000001E-2</v>
      </c>
      <c r="EL29" s="31">
        <v>1.0039263851</v>
      </c>
      <c r="EM29" s="30">
        <v>9.8094284000000004E-3</v>
      </c>
      <c r="EN29" s="31">
        <v>0.4689621933</v>
      </c>
      <c r="EO29" s="30">
        <v>5.3408196999999999E-3</v>
      </c>
      <c r="EP29" s="31">
        <v>0.23919723079999999</v>
      </c>
      <c r="EQ29" s="30">
        <v>3.2866495000000002E-3</v>
      </c>
      <c r="ER29" s="31">
        <v>0.13541157039999999</v>
      </c>
      <c r="ES29" s="30">
        <v>2.2575017000000001E-3</v>
      </c>
      <c r="ET29" s="31">
        <v>8.42534323E-2</v>
      </c>
      <c r="EU29" s="36">
        <v>1.6817386999999999E-3</v>
      </c>
      <c r="EV29" s="31"/>
      <c r="EW29" s="30"/>
      <c r="EX29" s="31"/>
      <c r="EY29" s="30"/>
      <c r="EZ29" s="31"/>
      <c r="FA29" s="30"/>
      <c r="FB29" s="31"/>
      <c r="FC29" s="30"/>
      <c r="FD29" s="31"/>
      <c r="FE29" s="36"/>
    </row>
    <row r="30" spans="1:161" x14ac:dyDescent="0.2">
      <c r="A30" s="12">
        <v>2500</v>
      </c>
      <c r="B30" s="2">
        <v>36322</v>
      </c>
      <c r="C30" s="15">
        <f t="shared" si="0"/>
        <v>9.3452052757365574E-3</v>
      </c>
      <c r="D30" s="15">
        <f t="shared" si="5"/>
        <v>0.60810420359281725</v>
      </c>
      <c r="E30" s="15">
        <f t="shared" si="8"/>
        <v>374.58015753738471</v>
      </c>
      <c r="F30" s="26">
        <v>1471.2467939999999</v>
      </c>
      <c r="G30" s="4">
        <v>2449.6569696000001</v>
      </c>
      <c r="H30" s="41">
        <f t="shared" si="6"/>
        <v>0.32706573996712823</v>
      </c>
      <c r="I30" s="4">
        <f t="shared" si="1"/>
        <v>207.74076210229998</v>
      </c>
      <c r="J30" s="4">
        <f>(I30*SUM($B$5:$B30)-I29*SUM($B$5:$B29))/$B30</f>
        <v>801.19886942785695</v>
      </c>
      <c r="K30" s="4">
        <f t="shared" si="2"/>
        <v>765.48984255760001</v>
      </c>
      <c r="L30" s="4">
        <f>(K30*SUM(B$5:B30)-K29*SUM(B$5:B29))/B30</f>
        <v>2522.2910063494396</v>
      </c>
      <c r="M30" s="41">
        <f t="shared" si="7"/>
        <v>2.9650697077517652E-2</v>
      </c>
      <c r="N30" s="4">
        <v>44.415904724000001</v>
      </c>
      <c r="O30" s="28">
        <v>5.9117968899999998E-2</v>
      </c>
      <c r="P30" s="26">
        <v>0.99706629930000001</v>
      </c>
      <c r="Q30" s="28">
        <v>6.9847089999999995E-4</v>
      </c>
      <c r="R30" s="4">
        <v>135.22187177000001</v>
      </c>
      <c r="S30" s="28">
        <v>0.90135937340000005</v>
      </c>
      <c r="T30" s="4">
        <v>65.374238695000003</v>
      </c>
      <c r="U30" s="28">
        <v>0.4072147331</v>
      </c>
      <c r="V30" s="4">
        <v>13.871200652000001</v>
      </c>
      <c r="W30" s="28">
        <v>0.1156913219</v>
      </c>
      <c r="X30" s="29" t="s">
        <v>136</v>
      </c>
      <c r="Y30" s="30">
        <v>0</v>
      </c>
      <c r="Z30" s="4">
        <v>10.449412415999999</v>
      </c>
      <c r="AA30" s="28">
        <v>2.1116504299999998E-2</v>
      </c>
      <c r="AB30" s="29" t="s">
        <v>136</v>
      </c>
      <c r="AC30" s="30">
        <v>0</v>
      </c>
      <c r="AD30" s="29" t="s">
        <v>136</v>
      </c>
      <c r="AE30" s="30">
        <v>0</v>
      </c>
      <c r="AF30" s="4">
        <v>0.18377971200000001</v>
      </c>
      <c r="AG30" s="28">
        <v>1.9927145999999998E-3</v>
      </c>
      <c r="AH30" s="4">
        <v>20.136348369</v>
      </c>
      <c r="AI30" s="28">
        <v>0.47891234240000002</v>
      </c>
      <c r="AJ30" s="29" t="s">
        <v>136</v>
      </c>
      <c r="AK30" s="30">
        <v>0</v>
      </c>
      <c r="AL30" s="4">
        <v>5.8621500000000001E-5</v>
      </c>
      <c r="AM30" s="28">
        <v>4.0017646999999998E-7</v>
      </c>
      <c r="AN30" s="29" t="s">
        <v>136</v>
      </c>
      <c r="AO30" s="30">
        <v>0</v>
      </c>
      <c r="AP30" s="29" t="s">
        <v>136</v>
      </c>
      <c r="AQ30" s="30">
        <v>0</v>
      </c>
      <c r="AR30" s="4">
        <f t="shared" si="3"/>
        <v>5.8621500000000001E-5</v>
      </c>
      <c r="AS30" s="28">
        <f t="shared" si="3"/>
        <v>4.0017646999999998E-7</v>
      </c>
      <c r="AT30" s="4">
        <v>84.114529461000004</v>
      </c>
      <c r="AU30" s="28">
        <v>1.2925089246999999</v>
      </c>
      <c r="AV30" s="29" t="s">
        <v>136</v>
      </c>
      <c r="AW30" s="30">
        <v>0</v>
      </c>
      <c r="AX30" s="29" t="s">
        <v>136</v>
      </c>
      <c r="AY30" s="30">
        <v>0</v>
      </c>
      <c r="AZ30" s="29" t="s">
        <v>136</v>
      </c>
      <c r="BA30" s="30">
        <v>0</v>
      </c>
      <c r="BB30" s="4">
        <v>49.214107427999998</v>
      </c>
      <c r="BC30" s="28">
        <v>1.8020364374</v>
      </c>
      <c r="BD30" s="4">
        <v>37.069783760999997</v>
      </c>
      <c r="BE30" s="28">
        <v>0.32793569299999997</v>
      </c>
      <c r="BF30" s="4">
        <v>17.004263767000001</v>
      </c>
      <c r="BG30" s="28">
        <v>0.1990547808</v>
      </c>
      <c r="BH30" s="4">
        <v>6.5498049810000003</v>
      </c>
      <c r="BI30" s="28">
        <v>6.2829464700000004E-2</v>
      </c>
      <c r="BJ30" s="31">
        <f t="shared" si="4"/>
        <v>13.515715012999994</v>
      </c>
      <c r="BK30" s="30">
        <f t="shared" si="4"/>
        <v>6.6051447499999971E-2</v>
      </c>
      <c r="BL30" s="4">
        <v>0</v>
      </c>
      <c r="BM30" s="30">
        <v>0</v>
      </c>
      <c r="BN30" s="4">
        <v>96.700719925000001</v>
      </c>
      <c r="BO30" s="28">
        <v>1.2702337091</v>
      </c>
      <c r="BP30" s="28">
        <v>1.3096604E-3</v>
      </c>
      <c r="BQ30" s="28">
        <v>5.3226413E-6</v>
      </c>
      <c r="BR30" s="4">
        <v>93.539010297999994</v>
      </c>
      <c r="BS30" s="28">
        <v>3.3070591786999999</v>
      </c>
      <c r="BT30" s="4">
        <v>91.515019953999996</v>
      </c>
      <c r="BU30" s="28">
        <v>0.68387385599999995</v>
      </c>
      <c r="BV30" s="4">
        <v>22.617495844</v>
      </c>
      <c r="BW30" s="28">
        <v>0.120716622</v>
      </c>
      <c r="BX30" s="4">
        <v>6.92360063E-2</v>
      </c>
      <c r="BY30" s="28">
        <v>5.9996470000000005E-4</v>
      </c>
      <c r="BZ30" s="4">
        <v>0</v>
      </c>
      <c r="CA30" s="33">
        <v>0</v>
      </c>
      <c r="CB30" s="29" t="s">
        <v>136</v>
      </c>
      <c r="CC30" s="30">
        <v>0</v>
      </c>
      <c r="CD30" s="4">
        <v>0.26890966379999998</v>
      </c>
      <c r="CE30" s="28">
        <v>4.0599523E-3</v>
      </c>
      <c r="CF30" s="4">
        <v>13.602290988</v>
      </c>
      <c r="CG30" s="28">
        <v>0.1116313696</v>
      </c>
      <c r="CH30" s="29" t="s">
        <v>136</v>
      </c>
      <c r="CI30" s="30">
        <v>0</v>
      </c>
      <c r="CJ30" s="29" t="s">
        <v>136</v>
      </c>
      <c r="CK30" s="30">
        <v>0</v>
      </c>
      <c r="CL30" s="4">
        <v>3.6630407909999998</v>
      </c>
      <c r="CM30" s="28">
        <v>5.0195971999999998E-3</v>
      </c>
      <c r="CN30" s="4">
        <v>6.7863716250000001</v>
      </c>
      <c r="CO30" s="28">
        <v>1.6096907099999998E-2</v>
      </c>
      <c r="CP30" s="29" t="s">
        <v>136</v>
      </c>
      <c r="CQ30" s="30">
        <v>0</v>
      </c>
      <c r="CR30" s="29" t="s">
        <v>136</v>
      </c>
      <c r="CS30" s="30">
        <v>0</v>
      </c>
      <c r="CT30" s="29" t="s">
        <v>136</v>
      </c>
      <c r="CU30" s="30">
        <v>0</v>
      </c>
      <c r="CV30" s="29" t="s">
        <v>136</v>
      </c>
      <c r="CW30" s="30">
        <v>0</v>
      </c>
      <c r="CX30" s="4">
        <v>4.9792891800000003E-2</v>
      </c>
      <c r="CY30" s="28">
        <v>5.8475770000000001E-4</v>
      </c>
      <c r="CZ30" s="4">
        <v>0.1339868202</v>
      </c>
      <c r="DA30" s="28">
        <v>1.407957E-3</v>
      </c>
      <c r="DB30" s="4">
        <v>1.2275229523</v>
      </c>
      <c r="DC30" s="28">
        <v>1.56045687E-2</v>
      </c>
      <c r="DD30" s="4">
        <v>18.908825416999999</v>
      </c>
      <c r="DE30" s="28">
        <v>0.46330777379999999</v>
      </c>
      <c r="DF30" s="29" t="s">
        <v>136</v>
      </c>
      <c r="DG30" s="30">
        <v>0</v>
      </c>
      <c r="DH30" s="29" t="s">
        <v>136</v>
      </c>
      <c r="DI30" s="30">
        <v>0</v>
      </c>
      <c r="DJ30" s="4">
        <v>14.066900803999999</v>
      </c>
      <c r="DK30" s="28">
        <v>0.2764226535</v>
      </c>
      <c r="DL30" s="4">
        <v>35.147206623999999</v>
      </c>
      <c r="DM30" s="28">
        <v>1.5256137838999999</v>
      </c>
      <c r="DN30" s="4">
        <v>8.2929052854999998</v>
      </c>
      <c r="DO30" s="28">
        <v>0.39511988399999998</v>
      </c>
      <c r="DP30" s="4">
        <v>88.407814638999994</v>
      </c>
      <c r="DQ30" s="28">
        <v>0.87511382510000002</v>
      </c>
      <c r="DR30" s="37">
        <v>6.9564099999999999E-4</v>
      </c>
      <c r="DS30" s="38">
        <v>1.1670158E-3</v>
      </c>
      <c r="DT30" s="38">
        <v>1.2735253000000001E-3</v>
      </c>
      <c r="DU30" s="38">
        <v>1.2902771999999999E-3</v>
      </c>
      <c r="DV30" s="38">
        <v>1.2950238E-3</v>
      </c>
      <c r="DW30" s="38">
        <v>1.2981659000000001E-3</v>
      </c>
      <c r="DX30" s="38">
        <v>1.2987720999999999E-3</v>
      </c>
      <c r="DY30" s="38">
        <v>1.2991681000000001E-3</v>
      </c>
      <c r="DZ30" s="38">
        <v>1.299564E-3</v>
      </c>
      <c r="EA30" s="39">
        <v>1.29996E-3</v>
      </c>
      <c r="EB30" s="40">
        <v>63.203100732999999</v>
      </c>
      <c r="EC30" s="30">
        <v>0.44648103169999998</v>
      </c>
      <c r="ED30" s="31">
        <v>28.518786895000002</v>
      </c>
      <c r="EE30" s="30">
        <v>0.21046315360000001</v>
      </c>
      <c r="EF30" s="31">
        <v>12.597022029</v>
      </c>
      <c r="EG30" s="30">
        <v>9.7071700699999999E-2</v>
      </c>
      <c r="EH30" s="31">
        <v>5.4898167031999998</v>
      </c>
      <c r="EI30" s="30">
        <v>4.4631648900000001E-2</v>
      </c>
      <c r="EJ30" s="31">
        <v>2.4330562953000001</v>
      </c>
      <c r="EK30" s="30">
        <v>2.1300573E-2</v>
      </c>
      <c r="EL30" s="31">
        <v>1.11547767</v>
      </c>
      <c r="EM30" s="30">
        <v>1.08451752E-2</v>
      </c>
      <c r="EN30" s="31">
        <v>0.53371688849999999</v>
      </c>
      <c r="EO30" s="30">
        <v>6.0083415000000001E-3</v>
      </c>
      <c r="EP30" s="31">
        <v>0.27887963310000002</v>
      </c>
      <c r="EQ30" s="30">
        <v>3.7473760000000002E-3</v>
      </c>
      <c r="ER30" s="31">
        <v>0.16073755049999999</v>
      </c>
      <c r="ES30" s="30">
        <v>2.5918928E-3</v>
      </c>
      <c r="ET30" s="31">
        <v>0.10127633329999999</v>
      </c>
      <c r="EU30" s="36">
        <v>1.9379817000000001E-3</v>
      </c>
      <c r="EV30" s="31"/>
      <c r="EW30" s="30"/>
      <c r="EX30" s="31"/>
      <c r="EY30" s="30"/>
      <c r="EZ30" s="31"/>
      <c r="FA30" s="30"/>
      <c r="FB30" s="31"/>
      <c r="FC30" s="30"/>
      <c r="FD30" s="31"/>
      <c r="FE30" s="36"/>
    </row>
    <row r="31" spans="1:161" x14ac:dyDescent="0.2">
      <c r="A31" s="12">
        <v>2600</v>
      </c>
      <c r="B31" s="2">
        <v>34024</v>
      </c>
      <c r="C31" s="15">
        <f t="shared" si="0"/>
        <v>8.7539580502632181E-3</v>
      </c>
      <c r="D31" s="15">
        <f t="shared" si="5"/>
        <v>0.61685816164308049</v>
      </c>
      <c r="E31" s="15">
        <f t="shared" si="8"/>
        <v>389.68476383463769</v>
      </c>
      <c r="F31" s="26">
        <v>1512.4445965</v>
      </c>
      <c r="G31" s="4">
        <v>2549.5381465999999</v>
      </c>
      <c r="H31" s="41">
        <f t="shared" si="6"/>
        <v>0.33120424417515648</v>
      </c>
      <c r="I31" s="4">
        <f t="shared" si="1"/>
        <v>216.77597458380001</v>
      </c>
      <c r="J31" s="4">
        <f>(I31*SUM($B$5:$B31)-I30*SUM($B$5:$B30))/$B31</f>
        <v>844.41785484038223</v>
      </c>
      <c r="K31" s="4">
        <f t="shared" si="2"/>
        <v>792.01544921480001</v>
      </c>
      <c r="L31" s="4">
        <f>(K31*SUM(B$5:B31)-K30*SUM(B$5:B30))/B31</f>
        <v>2634.6485551168657</v>
      </c>
      <c r="M31" s="41">
        <f t="shared" si="7"/>
        <v>3.3382677027353737E-2</v>
      </c>
      <c r="N31" s="4">
        <v>46.654864123000003</v>
      </c>
      <c r="O31" s="28">
        <v>6.0928422199999999E-2</v>
      </c>
      <c r="P31" s="26">
        <v>1.149704775</v>
      </c>
      <c r="Q31" s="28">
        <v>7.8013699999999997E-4</v>
      </c>
      <c r="R31" s="4">
        <v>137.39740208000001</v>
      </c>
      <c r="S31" s="28">
        <v>0.91573104719999998</v>
      </c>
      <c r="T31" s="4">
        <v>67.058856589000001</v>
      </c>
      <c r="U31" s="28">
        <v>0.41745799579999998</v>
      </c>
      <c r="V31" s="4">
        <v>14.490805183999999</v>
      </c>
      <c r="W31" s="28">
        <v>0.1204244028</v>
      </c>
      <c r="X31" s="29" t="s">
        <v>136</v>
      </c>
      <c r="Y31" s="30">
        <v>0</v>
      </c>
      <c r="Z31" s="4">
        <v>11.389945251</v>
      </c>
      <c r="AA31" s="28">
        <v>2.2695698699999999E-2</v>
      </c>
      <c r="AB31" s="29" t="s">
        <v>136</v>
      </c>
      <c r="AC31" s="30">
        <v>0</v>
      </c>
      <c r="AD31" s="29" t="s">
        <v>136</v>
      </c>
      <c r="AE31" s="30">
        <v>0</v>
      </c>
      <c r="AF31" s="4">
        <v>0.20045923139999999</v>
      </c>
      <c r="AG31" s="28">
        <v>2.1909716000000001E-3</v>
      </c>
      <c r="AH31" s="4">
        <v>21.138626197000001</v>
      </c>
      <c r="AI31" s="28">
        <v>0.50166245949999999</v>
      </c>
      <c r="AJ31" s="29" t="s">
        <v>136</v>
      </c>
      <c r="AK31" s="30">
        <v>0</v>
      </c>
      <c r="AL31" s="4">
        <v>5.7781300000000002E-5</v>
      </c>
      <c r="AM31" s="28">
        <v>3.9439623000000002E-7</v>
      </c>
      <c r="AN31" s="29" t="s">
        <v>136</v>
      </c>
      <c r="AO31" s="30">
        <v>0</v>
      </c>
      <c r="AP31" s="29" t="s">
        <v>136</v>
      </c>
      <c r="AQ31" s="30">
        <v>0</v>
      </c>
      <c r="AR31" s="4">
        <f t="shared" si="3"/>
        <v>5.7781300000000002E-5</v>
      </c>
      <c r="AS31" s="28">
        <f t="shared" si="3"/>
        <v>3.9439623000000002E-7</v>
      </c>
      <c r="AT31" s="4">
        <v>86.404489517000002</v>
      </c>
      <c r="AU31" s="28">
        <v>1.3163361702</v>
      </c>
      <c r="AV31" s="29" t="s">
        <v>136</v>
      </c>
      <c r="AW31" s="30">
        <v>0</v>
      </c>
      <c r="AX31" s="29" t="s">
        <v>136</v>
      </c>
      <c r="AY31" s="30">
        <v>0</v>
      </c>
      <c r="AZ31" s="29" t="s">
        <v>136</v>
      </c>
      <c r="BA31" s="30">
        <v>0</v>
      </c>
      <c r="BB31" s="4">
        <v>50.654978118999999</v>
      </c>
      <c r="BC31" s="28">
        <v>1.8419472030999999</v>
      </c>
      <c r="BD31" s="4">
        <v>38.648807372</v>
      </c>
      <c r="BE31" s="28">
        <v>0.33805761490000003</v>
      </c>
      <c r="BF31" s="4">
        <v>17.723980359999999</v>
      </c>
      <c r="BG31" s="28">
        <v>0.20531339370000001</v>
      </c>
      <c r="BH31" s="4">
        <v>6.7746803081999998</v>
      </c>
      <c r="BI31" s="28">
        <v>6.4385878699999996E-2</v>
      </c>
      <c r="BJ31" s="31">
        <f t="shared" si="4"/>
        <v>14.150146703800001</v>
      </c>
      <c r="BK31" s="30">
        <f t="shared" si="4"/>
        <v>6.8358342500000002E-2</v>
      </c>
      <c r="BL31" s="4">
        <v>0</v>
      </c>
      <c r="BM31" s="30">
        <v>0</v>
      </c>
      <c r="BN31" s="4">
        <v>100.05042063</v>
      </c>
      <c r="BO31" s="28">
        <v>1.3023928812000001</v>
      </c>
      <c r="BP31" s="28">
        <v>1.4667848999999999E-3</v>
      </c>
      <c r="BQ31" s="28">
        <v>5.1875683999999998E-6</v>
      </c>
      <c r="BR31" s="4">
        <v>96.059155368000006</v>
      </c>
      <c r="BS31" s="28">
        <v>3.3694960226999999</v>
      </c>
      <c r="BT31" s="4">
        <v>96.881750617999998</v>
      </c>
      <c r="BU31" s="28">
        <v>0.72088998900000001</v>
      </c>
      <c r="BV31" s="4">
        <v>23.763279384000001</v>
      </c>
      <c r="BW31" s="28">
        <v>0.12563410380000001</v>
      </c>
      <c r="BX31" s="4">
        <v>7.1789213800000001E-2</v>
      </c>
      <c r="BY31" s="28">
        <v>6.0918379999999996E-4</v>
      </c>
      <c r="BZ31" s="4">
        <v>0</v>
      </c>
      <c r="CA31" s="33">
        <v>0</v>
      </c>
      <c r="CB31" s="29" t="s">
        <v>136</v>
      </c>
      <c r="CC31" s="30">
        <v>0</v>
      </c>
      <c r="CD31" s="4">
        <v>0.2814998615</v>
      </c>
      <c r="CE31" s="28">
        <v>4.2406898999999996E-3</v>
      </c>
      <c r="CF31" s="4">
        <v>14.209305323000001</v>
      </c>
      <c r="CG31" s="28">
        <v>0.1161837129</v>
      </c>
      <c r="CH31" s="29" t="s">
        <v>136</v>
      </c>
      <c r="CI31" s="30">
        <v>0</v>
      </c>
      <c r="CJ31" s="29" t="s">
        <v>136</v>
      </c>
      <c r="CK31" s="30">
        <v>0</v>
      </c>
      <c r="CL31" s="4">
        <v>4.1120341212999998</v>
      </c>
      <c r="CM31" s="28">
        <v>5.4830228E-3</v>
      </c>
      <c r="CN31" s="4">
        <v>7.2779111299999997</v>
      </c>
      <c r="CO31" s="28">
        <v>1.7212675899999998E-2</v>
      </c>
      <c r="CP31" s="29" t="s">
        <v>136</v>
      </c>
      <c r="CQ31" s="30">
        <v>0</v>
      </c>
      <c r="CR31" s="29" t="s">
        <v>136</v>
      </c>
      <c r="CS31" s="30">
        <v>0</v>
      </c>
      <c r="CT31" s="29" t="s">
        <v>136</v>
      </c>
      <c r="CU31" s="30">
        <v>0</v>
      </c>
      <c r="CV31" s="29" t="s">
        <v>136</v>
      </c>
      <c r="CW31" s="30">
        <v>0</v>
      </c>
      <c r="CX31" s="4">
        <v>5.4113374300000003E-2</v>
      </c>
      <c r="CY31" s="28">
        <v>6.5671119999999999E-4</v>
      </c>
      <c r="CZ31" s="4">
        <v>0.1463458571</v>
      </c>
      <c r="DA31" s="28">
        <v>1.5342604000000001E-3</v>
      </c>
      <c r="DB31" s="4">
        <v>1.3079690992999999</v>
      </c>
      <c r="DC31" s="28">
        <v>1.6555825100000001E-2</v>
      </c>
      <c r="DD31" s="4">
        <v>19.830657098</v>
      </c>
      <c r="DE31" s="28">
        <v>0.48510663450000002</v>
      </c>
      <c r="DF31" s="29" t="s">
        <v>136</v>
      </c>
      <c r="DG31" s="30">
        <v>0</v>
      </c>
      <c r="DH31" s="29" t="s">
        <v>136</v>
      </c>
      <c r="DI31" s="30">
        <v>0</v>
      </c>
      <c r="DJ31" s="4">
        <v>14.566977118000001</v>
      </c>
      <c r="DK31" s="28">
        <v>0.28459452369999999</v>
      </c>
      <c r="DL31" s="4">
        <v>36.088001001000002</v>
      </c>
      <c r="DM31" s="28">
        <v>1.5573526794999999</v>
      </c>
      <c r="DN31" s="4">
        <v>8.8165504744999996</v>
      </c>
      <c r="DO31" s="28">
        <v>0.40705764030000002</v>
      </c>
      <c r="DP31" s="4">
        <v>91.233870159000006</v>
      </c>
      <c r="DQ31" s="28">
        <v>0.89533524080000004</v>
      </c>
      <c r="DR31" s="37">
        <v>7.7633119999999996E-4</v>
      </c>
      <c r="DS31" s="38">
        <v>1.3082541E-3</v>
      </c>
      <c r="DT31" s="38">
        <v>1.4275244E-3</v>
      </c>
      <c r="DU31" s="38">
        <v>1.4471976999999999E-3</v>
      </c>
      <c r="DV31" s="38">
        <v>1.4520912E-3</v>
      </c>
      <c r="DW31" s="38">
        <v>1.4554011999999999E-3</v>
      </c>
      <c r="DX31" s="38">
        <v>1.4560006E-3</v>
      </c>
      <c r="DY31" s="38">
        <v>1.4563928E-3</v>
      </c>
      <c r="DZ31" s="38">
        <v>1.4567848999999999E-3</v>
      </c>
      <c r="EA31" s="39">
        <v>1.4571771000000001E-3</v>
      </c>
      <c r="EB31" s="40">
        <v>64.791385219000006</v>
      </c>
      <c r="EC31" s="30">
        <v>0.45728073969999999</v>
      </c>
      <c r="ED31" s="31">
        <v>29.532110268</v>
      </c>
      <c r="EE31" s="30">
        <v>0.21760323179999999</v>
      </c>
      <c r="EF31" s="31">
        <v>13.199272809</v>
      </c>
      <c r="EG31" s="30">
        <v>0.10149923869999999</v>
      </c>
      <c r="EH31" s="31">
        <v>5.8301680430999996</v>
      </c>
      <c r="EI31" s="30">
        <v>4.7265705499999998E-2</v>
      </c>
      <c r="EJ31" s="31">
        <v>2.6205758865000002</v>
      </c>
      <c r="EK31" s="30">
        <v>2.2853664999999999E-2</v>
      </c>
      <c r="EL31" s="31">
        <v>1.2208493093999999</v>
      </c>
      <c r="EM31" s="30">
        <v>1.17936723E-2</v>
      </c>
      <c r="EN31" s="31">
        <v>0.59440643609999999</v>
      </c>
      <c r="EO31" s="30">
        <v>6.6185979000000002E-3</v>
      </c>
      <c r="EP31" s="31">
        <v>0.31525082339999999</v>
      </c>
      <c r="EQ31" s="30">
        <v>4.1635513999999998E-3</v>
      </c>
      <c r="ER31" s="31">
        <v>0.1829245884</v>
      </c>
      <c r="ES31" s="30">
        <v>2.8898770999999999E-3</v>
      </c>
      <c r="ET31" s="31">
        <v>0.11545926099999999</v>
      </c>
      <c r="EU31" s="36">
        <v>2.1614970000000001E-3</v>
      </c>
      <c r="EV31" s="31"/>
      <c r="EW31" s="30"/>
      <c r="EX31" s="31"/>
      <c r="EY31" s="30"/>
      <c r="EZ31" s="31"/>
      <c r="FA31" s="30"/>
      <c r="FB31" s="31"/>
      <c r="FC31" s="30"/>
      <c r="FD31" s="31"/>
      <c r="FE31" s="36"/>
    </row>
    <row r="32" spans="1:161" x14ac:dyDescent="0.2">
      <c r="A32" s="12">
        <v>2700</v>
      </c>
      <c r="B32" s="2">
        <v>33101</v>
      </c>
      <c r="C32" s="15">
        <f t="shared" si="0"/>
        <v>8.5164814666636134E-3</v>
      </c>
      <c r="D32" s="15">
        <f t="shared" si="5"/>
        <v>0.62537464310974411</v>
      </c>
      <c r="E32" s="15">
        <f t="shared" si="8"/>
        <v>404.77170127783188</v>
      </c>
      <c r="F32" s="26">
        <v>1552.7995976</v>
      </c>
      <c r="G32" s="4">
        <v>2649.6702249999998</v>
      </c>
      <c r="H32" s="41">
        <f t="shared" si="6"/>
        <v>0.33329277322818768</v>
      </c>
      <c r="I32" s="4">
        <f t="shared" si="1"/>
        <v>225.85033026260004</v>
      </c>
      <c r="J32" s="4">
        <f>(I32*SUM($B$5:$B32)-I31*SUM($B$5:$B31))/$B32</f>
        <v>883.11593743040601</v>
      </c>
      <c r="K32" s="4">
        <f t="shared" si="2"/>
        <v>818.40183688400009</v>
      </c>
      <c r="L32" s="4">
        <f>(K32*SUM(B$5:B32)-K31*SUM(B$5:B31))/B32</f>
        <v>2729.5970474573742</v>
      </c>
      <c r="M32" s="41">
        <f t="shared" si="7"/>
        <v>3.0164818890763785E-2</v>
      </c>
      <c r="N32" s="4">
        <v>48.891002821000001</v>
      </c>
      <c r="O32" s="28">
        <v>6.2712014400000002E-2</v>
      </c>
      <c r="P32" s="26">
        <v>1.3188327159</v>
      </c>
      <c r="Q32" s="28">
        <v>8.6737209999999997E-4</v>
      </c>
      <c r="R32" s="4">
        <v>139.53800093000001</v>
      </c>
      <c r="S32" s="28">
        <v>0.92995716939999995</v>
      </c>
      <c r="T32" s="4">
        <v>68.657095377999994</v>
      </c>
      <c r="U32" s="28">
        <v>0.42726667309999999</v>
      </c>
      <c r="V32" s="4">
        <v>15.109222545</v>
      </c>
      <c r="W32" s="28">
        <v>0.12518875530000001</v>
      </c>
      <c r="X32" s="29" t="s">
        <v>136</v>
      </c>
      <c r="Y32" s="30">
        <v>0</v>
      </c>
      <c r="Z32" s="4">
        <v>12.315860815000001</v>
      </c>
      <c r="AA32" s="28">
        <v>2.42184046E-2</v>
      </c>
      <c r="AB32" s="29" t="s">
        <v>136</v>
      </c>
      <c r="AC32" s="30">
        <v>0</v>
      </c>
      <c r="AD32" s="29" t="s">
        <v>136</v>
      </c>
      <c r="AE32" s="30">
        <v>0</v>
      </c>
      <c r="AF32" s="4">
        <v>0.2178211099</v>
      </c>
      <c r="AG32" s="28">
        <v>2.3585748999999999E-3</v>
      </c>
      <c r="AH32" s="4">
        <v>22.187304486999999</v>
      </c>
      <c r="AI32" s="28">
        <v>0.52509847570000001</v>
      </c>
      <c r="AJ32" s="29" t="s">
        <v>136</v>
      </c>
      <c r="AK32" s="30">
        <v>0</v>
      </c>
      <c r="AL32" s="4">
        <v>9.2705800000000003E-5</v>
      </c>
      <c r="AM32" s="28">
        <v>5.7337835000000001E-7</v>
      </c>
      <c r="AN32" s="29" t="s">
        <v>136</v>
      </c>
      <c r="AO32" s="30">
        <v>0</v>
      </c>
      <c r="AP32" s="29" t="s">
        <v>136</v>
      </c>
      <c r="AQ32" s="30">
        <v>0</v>
      </c>
      <c r="AR32" s="4">
        <f t="shared" si="3"/>
        <v>9.2705800000000003E-5</v>
      </c>
      <c r="AS32" s="28">
        <f t="shared" si="3"/>
        <v>5.7337835000000001E-7</v>
      </c>
      <c r="AT32" s="4">
        <v>88.695946524999997</v>
      </c>
      <c r="AU32" s="28">
        <v>1.3400344222</v>
      </c>
      <c r="AV32" s="29" t="s">
        <v>136</v>
      </c>
      <c r="AW32" s="30">
        <v>0</v>
      </c>
      <c r="AX32" s="29" t="s">
        <v>136</v>
      </c>
      <c r="AY32" s="30">
        <v>0</v>
      </c>
      <c r="AZ32" s="29" t="s">
        <v>136</v>
      </c>
      <c r="BA32" s="30">
        <v>0</v>
      </c>
      <c r="BB32" s="4">
        <v>52.093778530999998</v>
      </c>
      <c r="BC32" s="28">
        <v>1.8822148187000001</v>
      </c>
      <c r="BD32" s="4">
        <v>40.135267012</v>
      </c>
      <c r="BE32" s="28">
        <v>0.34757532619999998</v>
      </c>
      <c r="BF32" s="4">
        <v>18.407136437999998</v>
      </c>
      <c r="BG32" s="28">
        <v>0.21117537759999999</v>
      </c>
      <c r="BH32" s="4">
        <v>6.9844052601</v>
      </c>
      <c r="BI32" s="28">
        <v>6.5880121400000005E-2</v>
      </c>
      <c r="BJ32" s="31">
        <f t="shared" si="4"/>
        <v>14.743725313900001</v>
      </c>
      <c r="BK32" s="30">
        <f t="shared" si="4"/>
        <v>7.0519827199999996E-2</v>
      </c>
      <c r="BL32" s="4">
        <v>0</v>
      </c>
      <c r="BM32" s="30">
        <v>0</v>
      </c>
      <c r="BN32" s="4">
        <v>103.39118834</v>
      </c>
      <c r="BO32" s="28">
        <v>1.334508188</v>
      </c>
      <c r="BP32" s="28">
        <v>1.6368901E-3</v>
      </c>
      <c r="BQ32" s="28">
        <v>5.0631619000000004E-6</v>
      </c>
      <c r="BR32" s="4">
        <v>98.507883148000005</v>
      </c>
      <c r="BS32" s="28">
        <v>3.4287767694000002</v>
      </c>
      <c r="BT32" s="4">
        <v>102.27758065</v>
      </c>
      <c r="BU32" s="28">
        <v>0.75845981439999999</v>
      </c>
      <c r="BV32" s="4">
        <v>24.984238723000001</v>
      </c>
      <c r="BW32" s="28">
        <v>0.1304964807</v>
      </c>
      <c r="BX32" s="4">
        <v>8.0627741599999997E-2</v>
      </c>
      <c r="BY32" s="28">
        <v>6.4200550000000002E-4</v>
      </c>
      <c r="BZ32" s="4">
        <v>0</v>
      </c>
      <c r="CA32" s="33">
        <v>0</v>
      </c>
      <c r="CB32" s="29" t="s">
        <v>136</v>
      </c>
      <c r="CC32" s="30">
        <v>0</v>
      </c>
      <c r="CD32" s="4">
        <v>0.29305738370000001</v>
      </c>
      <c r="CE32" s="28">
        <v>4.4095393999999998E-3</v>
      </c>
      <c r="CF32" s="4">
        <v>14.816165161000001</v>
      </c>
      <c r="CG32" s="28">
        <v>0.1207792159</v>
      </c>
      <c r="CH32" s="29" t="s">
        <v>136</v>
      </c>
      <c r="CI32" s="30">
        <v>0</v>
      </c>
      <c r="CJ32" s="29" t="s">
        <v>136</v>
      </c>
      <c r="CK32" s="30">
        <v>0</v>
      </c>
      <c r="CL32" s="4">
        <v>4.5498483727999997</v>
      </c>
      <c r="CM32" s="28">
        <v>5.9372212000000004E-3</v>
      </c>
      <c r="CN32" s="4">
        <v>7.7660124426000001</v>
      </c>
      <c r="CO32" s="28">
        <v>1.8281183400000001E-2</v>
      </c>
      <c r="CP32" s="29" t="s">
        <v>136</v>
      </c>
      <c r="CQ32" s="30">
        <v>0</v>
      </c>
      <c r="CR32" s="29" t="s">
        <v>136</v>
      </c>
      <c r="CS32" s="30">
        <v>0</v>
      </c>
      <c r="CT32" s="29" t="s">
        <v>136</v>
      </c>
      <c r="CU32" s="30">
        <v>0</v>
      </c>
      <c r="CV32" s="29" t="s">
        <v>136</v>
      </c>
      <c r="CW32" s="30">
        <v>0</v>
      </c>
      <c r="CX32" s="4">
        <v>5.8565320800000001E-2</v>
      </c>
      <c r="CY32" s="28">
        <v>7.0154039999999998E-4</v>
      </c>
      <c r="CZ32" s="4">
        <v>0.15925578909999999</v>
      </c>
      <c r="DA32" s="28">
        <v>1.6570345000000001E-3</v>
      </c>
      <c r="DB32" s="4">
        <v>1.4035713978</v>
      </c>
      <c r="DC32" s="28">
        <v>1.7705323799999999E-2</v>
      </c>
      <c r="DD32" s="4">
        <v>20.783733088999998</v>
      </c>
      <c r="DE32" s="28">
        <v>0.50739315190000001</v>
      </c>
      <c r="DF32" s="29" t="s">
        <v>136</v>
      </c>
      <c r="DG32" s="30">
        <v>0</v>
      </c>
      <c r="DH32" s="29" t="s">
        <v>136</v>
      </c>
      <c r="DI32" s="30">
        <v>0</v>
      </c>
      <c r="DJ32" s="4">
        <v>15.078365609</v>
      </c>
      <c r="DK32" s="28">
        <v>0.29271031889999999</v>
      </c>
      <c r="DL32" s="4">
        <v>37.015412922000003</v>
      </c>
      <c r="DM32" s="28">
        <v>1.5895044998000001</v>
      </c>
      <c r="DN32" s="4">
        <v>9.3987828819000008</v>
      </c>
      <c r="DO32" s="28">
        <v>0.4192246751</v>
      </c>
      <c r="DP32" s="4">
        <v>93.992405458999997</v>
      </c>
      <c r="DQ32" s="28">
        <v>0.91528351279999998</v>
      </c>
      <c r="DR32" s="37">
        <v>8.6341640000000002E-4</v>
      </c>
      <c r="DS32" s="38">
        <v>1.4574252000000001E-3</v>
      </c>
      <c r="DT32" s="38">
        <v>1.5940777E-3</v>
      </c>
      <c r="DU32" s="38">
        <v>1.6167538999999999E-3</v>
      </c>
      <c r="DV32" s="38">
        <v>1.6219750999999999E-3</v>
      </c>
      <c r="DW32" s="38">
        <v>1.6254291000000001E-3</v>
      </c>
      <c r="DX32" s="38">
        <v>1.6262062999999999E-3</v>
      </c>
      <c r="DY32" s="38">
        <v>1.6265947999999999E-3</v>
      </c>
      <c r="DZ32" s="38">
        <v>1.6269832999999999E-3</v>
      </c>
      <c r="EA32" s="39">
        <v>1.6273717999999999E-3</v>
      </c>
      <c r="EB32" s="40">
        <v>66.368088529999994</v>
      </c>
      <c r="EC32" s="30">
        <v>0.46805412079999997</v>
      </c>
      <c r="ED32" s="31">
        <v>30.547209423999998</v>
      </c>
      <c r="EE32" s="30">
        <v>0.2248190904</v>
      </c>
      <c r="EF32" s="31">
        <v>13.803813830999999</v>
      </c>
      <c r="EG32" s="30">
        <v>0.1059882419</v>
      </c>
      <c r="EH32" s="31">
        <v>6.1792749454999996</v>
      </c>
      <c r="EI32" s="30">
        <v>4.9997765399999998E-2</v>
      </c>
      <c r="EJ32" s="31">
        <v>2.8180658455000001</v>
      </c>
      <c r="EK32" s="30">
        <v>2.4508134599999998E-2</v>
      </c>
      <c r="EL32" s="31">
        <v>1.3333340107</v>
      </c>
      <c r="EM32" s="30">
        <v>1.2822472999999999E-2</v>
      </c>
      <c r="EN32" s="31">
        <v>0.66006774140000002</v>
      </c>
      <c r="EO32" s="30">
        <v>7.2834978000000002E-3</v>
      </c>
      <c r="EP32" s="31">
        <v>0.35437099230000002</v>
      </c>
      <c r="EQ32" s="30">
        <v>4.6130192000000004E-3</v>
      </c>
      <c r="ER32" s="31">
        <v>0.2073365462</v>
      </c>
      <c r="ES32" s="30">
        <v>3.2109228E-3</v>
      </c>
      <c r="ET32" s="31">
        <v>0.13127397330000001</v>
      </c>
      <c r="EU32" s="36">
        <v>2.4026064E-3</v>
      </c>
      <c r="EV32" s="31"/>
      <c r="EW32" s="30"/>
      <c r="EX32" s="31"/>
      <c r="EY32" s="30"/>
      <c r="EZ32" s="31"/>
      <c r="FA32" s="30"/>
      <c r="FB32" s="31"/>
      <c r="FC32" s="30"/>
      <c r="FD32" s="31"/>
      <c r="FE32" s="36"/>
    </row>
    <row r="33" spans="1:161" x14ac:dyDescent="0.2">
      <c r="A33" s="12">
        <v>2800</v>
      </c>
      <c r="B33" s="2">
        <v>31656</v>
      </c>
      <c r="C33" s="15">
        <f t="shared" si="0"/>
        <v>8.1447006830217619E-3</v>
      </c>
      <c r="D33" s="15">
        <f t="shared" si="5"/>
        <v>0.63351934379276587</v>
      </c>
      <c r="E33" s="15">
        <f t="shared" si="8"/>
        <v>419.56775480381083</v>
      </c>
      <c r="F33" s="26">
        <v>1592.3747814000001</v>
      </c>
      <c r="G33" s="4">
        <v>2749.6393896999998</v>
      </c>
      <c r="H33" s="41">
        <f t="shared" si="6"/>
        <v>0.33077097961559526</v>
      </c>
      <c r="I33" s="4">
        <f t="shared" si="1"/>
        <v>234.63953210009998</v>
      </c>
      <c r="J33" s="4">
        <f>(I33*SUM($B$5:$B33)-I32*SUM($B$5:$B32))/$B33</f>
        <v>909.50091452069637</v>
      </c>
      <c r="K33" s="4">
        <f t="shared" si="2"/>
        <v>844.32493042830004</v>
      </c>
      <c r="L33" s="4">
        <f>(K33*SUM(B$5:B33)-K32*SUM(B$5:B32))/B33</f>
        <v>2834.7781102930335</v>
      </c>
      <c r="M33" s="41">
        <f t="shared" si="7"/>
        <v>3.0963595048848477E-2</v>
      </c>
      <c r="N33" s="4">
        <v>51.166190944</v>
      </c>
      <c r="O33" s="28">
        <v>6.4506944499999996E-2</v>
      </c>
      <c r="P33" s="26">
        <v>1.5162388534</v>
      </c>
      <c r="Q33" s="28">
        <v>9.6481560000000004E-4</v>
      </c>
      <c r="R33" s="4">
        <v>141.55964768999999</v>
      </c>
      <c r="S33" s="28">
        <v>0.94335688159999997</v>
      </c>
      <c r="T33" s="4">
        <v>70.224375381000002</v>
      </c>
      <c r="U33" s="28">
        <v>0.43677419080000002</v>
      </c>
      <c r="V33" s="4">
        <v>15.678073259</v>
      </c>
      <c r="W33" s="28">
        <v>0.1296158291</v>
      </c>
      <c r="X33" s="29" t="s">
        <v>136</v>
      </c>
      <c r="Y33" s="30">
        <v>0</v>
      </c>
      <c r="Z33" s="4">
        <v>13.31745744</v>
      </c>
      <c r="AA33" s="28">
        <v>2.5903231700000001E-2</v>
      </c>
      <c r="AB33" s="29" t="s">
        <v>136</v>
      </c>
      <c r="AC33" s="30">
        <v>0</v>
      </c>
      <c r="AD33" s="29" t="s">
        <v>136</v>
      </c>
      <c r="AE33" s="30">
        <v>0</v>
      </c>
      <c r="AF33" s="4">
        <v>0.2362911794</v>
      </c>
      <c r="AG33" s="28">
        <v>2.5421584999999998E-3</v>
      </c>
      <c r="AH33" s="4">
        <v>23.256510483</v>
      </c>
      <c r="AI33" s="28">
        <v>0.54865387379999997</v>
      </c>
      <c r="AJ33" s="29" t="s">
        <v>136</v>
      </c>
      <c r="AK33" s="30">
        <v>0</v>
      </c>
      <c r="AL33" s="4">
        <v>9.87897E-5</v>
      </c>
      <c r="AM33" s="28">
        <v>7.6689988000000001E-7</v>
      </c>
      <c r="AN33" s="29" t="s">
        <v>136</v>
      </c>
      <c r="AO33" s="30">
        <v>0</v>
      </c>
      <c r="AP33" s="29" t="s">
        <v>136</v>
      </c>
      <c r="AQ33" s="30">
        <v>0</v>
      </c>
      <c r="AR33" s="4">
        <f t="shared" si="3"/>
        <v>9.87897E-5</v>
      </c>
      <c r="AS33" s="28">
        <f t="shared" si="3"/>
        <v>7.6689988000000001E-7</v>
      </c>
      <c r="AT33" s="4">
        <v>90.921947376000006</v>
      </c>
      <c r="AU33" s="28">
        <v>1.36212976</v>
      </c>
      <c r="AV33" s="29" t="s">
        <v>136</v>
      </c>
      <c r="AW33" s="30">
        <v>0</v>
      </c>
      <c r="AX33" s="29" t="s">
        <v>136</v>
      </c>
      <c r="AY33" s="30">
        <v>0</v>
      </c>
      <c r="AZ33" s="29" t="s">
        <v>136</v>
      </c>
      <c r="BA33" s="30">
        <v>0</v>
      </c>
      <c r="BB33" s="4">
        <v>53.496255161999997</v>
      </c>
      <c r="BC33" s="28">
        <v>1.9208898396</v>
      </c>
      <c r="BD33" s="4">
        <v>41.592324581</v>
      </c>
      <c r="BE33" s="28">
        <v>0.3570057968</v>
      </c>
      <c r="BF33" s="4">
        <v>19.081582400999999</v>
      </c>
      <c r="BG33" s="28">
        <v>0.21709812119999999</v>
      </c>
      <c r="BH33" s="4">
        <v>7.1902942238999996</v>
      </c>
      <c r="BI33" s="28">
        <v>6.7238711699999995E-2</v>
      </c>
      <c r="BJ33" s="31">
        <f t="shared" si="4"/>
        <v>15.320447956100001</v>
      </c>
      <c r="BK33" s="30">
        <f t="shared" si="4"/>
        <v>7.2668963899999994E-2</v>
      </c>
      <c r="BL33" s="4">
        <v>0</v>
      </c>
      <c r="BM33" s="30">
        <v>0</v>
      </c>
      <c r="BN33" s="4">
        <v>106.7198884</v>
      </c>
      <c r="BO33" s="28">
        <v>1.3649008633999999</v>
      </c>
      <c r="BP33" s="28">
        <v>1.8254368E-3</v>
      </c>
      <c r="BQ33" s="28">
        <v>4.9466123000000004E-6</v>
      </c>
      <c r="BR33" s="4">
        <v>100.86338323</v>
      </c>
      <c r="BS33" s="28">
        <v>3.4843294266</v>
      </c>
      <c r="BT33" s="4">
        <v>107.63434597</v>
      </c>
      <c r="BU33" s="28">
        <v>0.79494674200000004</v>
      </c>
      <c r="BV33" s="4">
        <v>26.056850258000001</v>
      </c>
      <c r="BW33" s="28">
        <v>0.13482701559999999</v>
      </c>
      <c r="BX33" s="4">
        <v>8.4952642100000003E-2</v>
      </c>
      <c r="BY33" s="28">
        <v>6.6410250000000003E-4</v>
      </c>
      <c r="BZ33" s="4">
        <v>0</v>
      </c>
      <c r="CA33" s="33">
        <v>0</v>
      </c>
      <c r="CB33" s="29" t="s">
        <v>136</v>
      </c>
      <c r="CC33" s="30">
        <v>0</v>
      </c>
      <c r="CD33" s="4">
        <v>0.30646999689999999</v>
      </c>
      <c r="CE33" s="28">
        <v>4.5946855E-3</v>
      </c>
      <c r="CF33" s="4">
        <v>15.371603262000001</v>
      </c>
      <c r="CG33" s="28">
        <v>0.1250211437</v>
      </c>
      <c r="CH33" s="29" t="s">
        <v>136</v>
      </c>
      <c r="CI33" s="30">
        <v>0</v>
      </c>
      <c r="CJ33" s="29" t="s">
        <v>136</v>
      </c>
      <c r="CK33" s="30">
        <v>0</v>
      </c>
      <c r="CL33" s="4">
        <v>5.0445911279000004</v>
      </c>
      <c r="CM33" s="28">
        <v>6.4568124999999999E-3</v>
      </c>
      <c r="CN33" s="4">
        <v>8.2728663122999997</v>
      </c>
      <c r="CO33" s="28">
        <v>1.9446419199999999E-2</v>
      </c>
      <c r="CP33" s="29" t="s">
        <v>136</v>
      </c>
      <c r="CQ33" s="30">
        <v>0</v>
      </c>
      <c r="CR33" s="29" t="s">
        <v>136</v>
      </c>
      <c r="CS33" s="30">
        <v>0</v>
      </c>
      <c r="CT33" s="29" t="s">
        <v>136</v>
      </c>
      <c r="CU33" s="30">
        <v>0</v>
      </c>
      <c r="CV33" s="29" t="s">
        <v>136</v>
      </c>
      <c r="CW33" s="30">
        <v>0</v>
      </c>
      <c r="CX33" s="4">
        <v>6.2471692199999998E-2</v>
      </c>
      <c r="CY33" s="28">
        <v>7.4331699999999996E-4</v>
      </c>
      <c r="CZ33" s="4">
        <v>0.17381948720000001</v>
      </c>
      <c r="DA33" s="28">
        <v>1.7988413999999999E-3</v>
      </c>
      <c r="DB33" s="4">
        <v>1.5125847741</v>
      </c>
      <c r="DC33" s="28">
        <v>1.89308199E-2</v>
      </c>
      <c r="DD33" s="4">
        <v>21.743925707999999</v>
      </c>
      <c r="DE33" s="28">
        <v>0.52972305389999996</v>
      </c>
      <c r="DF33" s="29" t="s">
        <v>136</v>
      </c>
      <c r="DG33" s="30">
        <v>0</v>
      </c>
      <c r="DH33" s="29" t="s">
        <v>136</v>
      </c>
      <c r="DI33" s="30">
        <v>0</v>
      </c>
      <c r="DJ33" s="4">
        <v>15.555522140000001</v>
      </c>
      <c r="DK33" s="28">
        <v>0.30038085809999998</v>
      </c>
      <c r="DL33" s="4">
        <v>37.940733022000003</v>
      </c>
      <c r="DM33" s="28">
        <v>1.6205089815</v>
      </c>
      <c r="DN33" s="4">
        <v>9.9713777917000002</v>
      </c>
      <c r="DO33" s="28">
        <v>0.43062287939999999</v>
      </c>
      <c r="DP33" s="4">
        <v>96.748510604000003</v>
      </c>
      <c r="DQ33" s="28">
        <v>0.93427798399999995</v>
      </c>
      <c r="DR33" s="37">
        <v>9.6071169999999997E-4</v>
      </c>
      <c r="DS33" s="38">
        <v>1.6269336999999999E-3</v>
      </c>
      <c r="DT33" s="38">
        <v>1.7799185999999999E-3</v>
      </c>
      <c r="DU33" s="38">
        <v>1.8050173E-3</v>
      </c>
      <c r="DV33" s="38">
        <v>1.8106607E-3</v>
      </c>
      <c r="DW33" s="38">
        <v>1.8140744999999999E-3</v>
      </c>
      <c r="DX33" s="38">
        <v>1.8148432000000001E-3</v>
      </c>
      <c r="DY33" s="38">
        <v>1.8152284E-3</v>
      </c>
      <c r="DZ33" s="38">
        <v>1.8156136E-3</v>
      </c>
      <c r="EA33" s="39">
        <v>1.8159987999999999E-3</v>
      </c>
      <c r="EB33" s="40">
        <v>67.861036037999995</v>
      </c>
      <c r="EC33" s="30">
        <v>0.47822952070000002</v>
      </c>
      <c r="ED33" s="31">
        <v>31.516181448000001</v>
      </c>
      <c r="EE33" s="30">
        <v>0.2316779202</v>
      </c>
      <c r="EF33" s="31">
        <v>14.384639412</v>
      </c>
      <c r="EG33" s="30">
        <v>0.1102768147</v>
      </c>
      <c r="EH33" s="31">
        <v>6.5152713553000003</v>
      </c>
      <c r="EI33" s="30">
        <v>5.2611831900000003E-2</v>
      </c>
      <c r="EJ33" s="31">
        <v>3.010981766</v>
      </c>
      <c r="EK33" s="30">
        <v>2.61118927E-2</v>
      </c>
      <c r="EL33" s="31">
        <v>1.4456623683000001</v>
      </c>
      <c r="EM33" s="30">
        <v>1.38349628E-2</v>
      </c>
      <c r="EN33" s="31">
        <v>0.72572146039999996</v>
      </c>
      <c r="EO33" s="30">
        <v>7.9415978999999998E-3</v>
      </c>
      <c r="EP33" s="31">
        <v>0.39278050019999999</v>
      </c>
      <c r="EQ33" s="30">
        <v>5.0571174E-3</v>
      </c>
      <c r="ER33" s="31">
        <v>0.22975776849999999</v>
      </c>
      <c r="ES33" s="30">
        <v>3.5214374999999998E-3</v>
      </c>
      <c r="ET33" s="31">
        <v>0.14518404439999999</v>
      </c>
      <c r="EU33" s="36">
        <v>2.6357733000000002E-3</v>
      </c>
      <c r="EV33" s="31"/>
      <c r="EW33" s="30"/>
      <c r="EX33" s="31"/>
      <c r="EY33" s="30"/>
      <c r="EZ33" s="31"/>
      <c r="FA33" s="30"/>
      <c r="FB33" s="31"/>
      <c r="FC33" s="30"/>
      <c r="FD33" s="31"/>
      <c r="FE33" s="36"/>
    </row>
    <row r="34" spans="1:161" x14ac:dyDescent="0.2">
      <c r="A34" s="12">
        <v>2900</v>
      </c>
      <c r="B34" s="2">
        <v>30621</v>
      </c>
      <c r="C34" s="15">
        <f t="shared" si="0"/>
        <v>7.8784078725931701E-3</v>
      </c>
      <c r="D34" s="15">
        <f t="shared" si="5"/>
        <v>0.64139775166535906</v>
      </c>
      <c r="E34" s="15">
        <f t="shared" si="8"/>
        <v>434.22752900075812</v>
      </c>
      <c r="F34" s="26">
        <v>1631.0352456999999</v>
      </c>
      <c r="G34" s="4">
        <v>2849.764068</v>
      </c>
      <c r="H34" s="41">
        <f t="shared" si="6"/>
        <v>0.33553745657984646</v>
      </c>
      <c r="I34" s="4">
        <f t="shared" si="1"/>
        <v>243.50262530450001</v>
      </c>
      <c r="J34" s="4">
        <f>(I34*SUM($B$5:$B34)-I33*SUM($B$5:$B33))/$B34</f>
        <v>956.2025872293566</v>
      </c>
      <c r="K34" s="4">
        <f t="shared" si="2"/>
        <v>870.06462900200006</v>
      </c>
      <c r="L34" s="4">
        <f>(K34*SUM(B$5:B34)-K33*SUM(B$5:B33))/B34</f>
        <v>2939.8479168868766</v>
      </c>
      <c r="M34" s="41">
        <f t="shared" si="7"/>
        <v>3.1610984887636209E-2</v>
      </c>
      <c r="N34" s="4">
        <v>53.282982345999997</v>
      </c>
      <c r="O34" s="28">
        <v>6.6139056200000004E-2</v>
      </c>
      <c r="P34" s="26">
        <v>1.7120002298000001</v>
      </c>
      <c r="Q34" s="28">
        <v>1.0594964E-3</v>
      </c>
      <c r="R34" s="4">
        <v>143.48060563999999</v>
      </c>
      <c r="S34" s="28">
        <v>0.95618370929999996</v>
      </c>
      <c r="T34" s="4">
        <v>71.732051178000006</v>
      </c>
      <c r="U34" s="28">
        <v>0.44629902449999997</v>
      </c>
      <c r="V34" s="4">
        <v>16.292145090999998</v>
      </c>
      <c r="W34" s="28">
        <v>0.13432954159999999</v>
      </c>
      <c r="X34" s="29" t="s">
        <v>136</v>
      </c>
      <c r="Y34" s="30">
        <v>0</v>
      </c>
      <c r="Z34" s="4">
        <v>14.321923290000001</v>
      </c>
      <c r="AA34" s="28">
        <v>2.7541296199999999E-2</v>
      </c>
      <c r="AB34" s="29" t="s">
        <v>136</v>
      </c>
      <c r="AC34" s="30">
        <v>0</v>
      </c>
      <c r="AD34" s="29" t="s">
        <v>136</v>
      </c>
      <c r="AE34" s="30">
        <v>0</v>
      </c>
      <c r="AF34" s="4">
        <v>0.2497249527</v>
      </c>
      <c r="AG34" s="28">
        <v>2.7043985E-3</v>
      </c>
      <c r="AH34" s="4">
        <v>24.312735736</v>
      </c>
      <c r="AI34" s="28">
        <v>0.57165753699999999</v>
      </c>
      <c r="AJ34" s="29" t="s">
        <v>136</v>
      </c>
      <c r="AK34" s="30">
        <v>0</v>
      </c>
      <c r="AL34" s="4">
        <v>9.7582499999999996E-5</v>
      </c>
      <c r="AM34" s="28">
        <v>7.5744507999999999E-7</v>
      </c>
      <c r="AN34" s="29" t="s">
        <v>136</v>
      </c>
      <c r="AO34" s="30">
        <v>0</v>
      </c>
      <c r="AP34" s="29" t="s">
        <v>136</v>
      </c>
      <c r="AQ34" s="30">
        <v>0</v>
      </c>
      <c r="AR34" s="4">
        <f t="shared" si="3"/>
        <v>9.7582499999999996E-5</v>
      </c>
      <c r="AS34" s="28">
        <f t="shared" si="3"/>
        <v>7.5744507999999999E-7</v>
      </c>
      <c r="AT34" s="4">
        <v>93.113072361999997</v>
      </c>
      <c r="AU34" s="28">
        <v>1.3835859145</v>
      </c>
      <c r="AV34" s="29" t="s">
        <v>136</v>
      </c>
      <c r="AW34" s="30">
        <v>0</v>
      </c>
      <c r="AX34" s="29" t="s">
        <v>136</v>
      </c>
      <c r="AY34" s="30">
        <v>0</v>
      </c>
      <c r="AZ34" s="29" t="s">
        <v>136</v>
      </c>
      <c r="BA34" s="30">
        <v>0</v>
      </c>
      <c r="BB34" s="4">
        <v>54.858829227000001</v>
      </c>
      <c r="BC34" s="28">
        <v>1.9574758553</v>
      </c>
      <c r="BD34" s="4">
        <v>43.092211689999999</v>
      </c>
      <c r="BE34" s="28">
        <v>0.36635444090000002</v>
      </c>
      <c r="BF34" s="4">
        <v>19.768602346000002</v>
      </c>
      <c r="BG34" s="28">
        <v>0.2229331037</v>
      </c>
      <c r="BH34" s="4">
        <v>7.3816073636999997</v>
      </c>
      <c r="BI34" s="28">
        <v>6.8560761200000001E-2</v>
      </c>
      <c r="BJ34" s="31">
        <f t="shared" si="4"/>
        <v>15.942001980299999</v>
      </c>
      <c r="BK34" s="30">
        <f t="shared" si="4"/>
        <v>7.4860576000000012E-2</v>
      </c>
      <c r="BL34" s="4">
        <v>0</v>
      </c>
      <c r="BM34" s="30">
        <v>0</v>
      </c>
      <c r="BN34" s="4">
        <v>110.11352678999999</v>
      </c>
      <c r="BO34" s="28">
        <v>1.395775306</v>
      </c>
      <c r="BP34" s="28">
        <v>2.0167423999999999E-3</v>
      </c>
      <c r="BQ34" s="28">
        <v>4.8400481999999998E-6</v>
      </c>
      <c r="BR34" s="4">
        <v>103.14322288</v>
      </c>
      <c r="BS34" s="28">
        <v>3.537198091</v>
      </c>
      <c r="BT34" s="4">
        <v>113.04215368</v>
      </c>
      <c r="BU34" s="28">
        <v>0.83172040179999995</v>
      </c>
      <c r="BV34" s="4">
        <v>27.220252992999999</v>
      </c>
      <c r="BW34" s="28">
        <v>0.13951284729999999</v>
      </c>
      <c r="BX34" s="4">
        <v>9.6995751500000005E-2</v>
      </c>
      <c r="BY34" s="28">
        <v>6.861692E-4</v>
      </c>
      <c r="BZ34" s="4">
        <v>0</v>
      </c>
      <c r="CA34" s="33">
        <v>0</v>
      </c>
      <c r="CB34" s="29" t="s">
        <v>136</v>
      </c>
      <c r="CC34" s="30">
        <v>0</v>
      </c>
      <c r="CD34" s="4">
        <v>0.31280945049999997</v>
      </c>
      <c r="CE34" s="28">
        <v>4.6890190999999996E-3</v>
      </c>
      <c r="CF34" s="4">
        <v>15.979335641</v>
      </c>
      <c r="CG34" s="28">
        <v>0.12964052249999999</v>
      </c>
      <c r="CH34" s="29" t="s">
        <v>136</v>
      </c>
      <c r="CI34" s="30">
        <v>0</v>
      </c>
      <c r="CJ34" s="29" t="s">
        <v>136</v>
      </c>
      <c r="CK34" s="30">
        <v>0</v>
      </c>
      <c r="CL34" s="4">
        <v>5.5348723095999999</v>
      </c>
      <c r="CM34" s="28">
        <v>6.9589420999999997E-3</v>
      </c>
      <c r="CN34" s="4">
        <v>8.7870509805000001</v>
      </c>
      <c r="CO34" s="28">
        <v>2.0582354099999998E-2</v>
      </c>
      <c r="CP34" s="29" t="s">
        <v>136</v>
      </c>
      <c r="CQ34" s="30">
        <v>0</v>
      </c>
      <c r="CR34" s="29" t="s">
        <v>136</v>
      </c>
      <c r="CS34" s="30">
        <v>0</v>
      </c>
      <c r="CT34" s="29" t="s">
        <v>136</v>
      </c>
      <c r="CU34" s="30">
        <v>0</v>
      </c>
      <c r="CV34" s="29" t="s">
        <v>136</v>
      </c>
      <c r="CW34" s="30">
        <v>0</v>
      </c>
      <c r="CX34" s="4">
        <v>6.6918653999999994E-2</v>
      </c>
      <c r="CY34" s="28">
        <v>8.1324390000000004E-4</v>
      </c>
      <c r="CZ34" s="4">
        <v>0.18280629879999999</v>
      </c>
      <c r="DA34" s="28">
        <v>1.8911545999999999E-3</v>
      </c>
      <c r="DB34" s="4">
        <v>1.6290929929</v>
      </c>
      <c r="DC34" s="28">
        <v>2.0140870200000001E-2</v>
      </c>
      <c r="DD34" s="4">
        <v>22.683642743</v>
      </c>
      <c r="DE34" s="28">
        <v>0.5515166668</v>
      </c>
      <c r="DF34" s="29" t="s">
        <v>136</v>
      </c>
      <c r="DG34" s="30">
        <v>0</v>
      </c>
      <c r="DH34" s="29" t="s">
        <v>136</v>
      </c>
      <c r="DI34" s="30">
        <v>0</v>
      </c>
      <c r="DJ34" s="4">
        <v>16.031781427999999</v>
      </c>
      <c r="DK34" s="28">
        <v>0.30784719179999998</v>
      </c>
      <c r="DL34" s="4">
        <v>38.827047798999999</v>
      </c>
      <c r="DM34" s="28">
        <v>1.6496286634999999</v>
      </c>
      <c r="DN34" s="4">
        <v>10.598751760000001</v>
      </c>
      <c r="DO34" s="28">
        <v>0.44242211380000002</v>
      </c>
      <c r="DP34" s="4">
        <v>99.514775032000003</v>
      </c>
      <c r="DQ34" s="28">
        <v>0.95335319220000003</v>
      </c>
      <c r="DR34" s="37">
        <v>1.0548107E-3</v>
      </c>
      <c r="DS34" s="38">
        <v>1.7921984E-3</v>
      </c>
      <c r="DT34" s="38">
        <v>1.9672437999999999E-3</v>
      </c>
      <c r="DU34" s="38">
        <v>1.9965194000000001E-3</v>
      </c>
      <c r="DV34" s="38">
        <v>2.0020987000000001E-3</v>
      </c>
      <c r="DW34" s="38">
        <v>2.0054755999999998E-3</v>
      </c>
      <c r="DX34" s="38">
        <v>2.0062363999999999E-3</v>
      </c>
      <c r="DY34" s="38">
        <v>2.0066184000000001E-3</v>
      </c>
      <c r="DZ34" s="38">
        <v>2.0070004999999998E-3</v>
      </c>
      <c r="EA34" s="39">
        <v>2.0073825E-3</v>
      </c>
      <c r="EB34" s="40">
        <v>69.294992019999995</v>
      </c>
      <c r="EC34" s="30">
        <v>0.48805095980000002</v>
      </c>
      <c r="ED34" s="31">
        <v>32.442279319000001</v>
      </c>
      <c r="EE34" s="30">
        <v>0.2382990197</v>
      </c>
      <c r="EF34" s="31">
        <v>14.949218377999999</v>
      </c>
      <c r="EG34" s="30">
        <v>0.1145038297</v>
      </c>
      <c r="EH34" s="31">
        <v>6.8454857730000001</v>
      </c>
      <c r="EI34" s="30">
        <v>5.52292437E-2</v>
      </c>
      <c r="EJ34" s="31">
        <v>3.2012102116999999</v>
      </c>
      <c r="EK34" s="30">
        <v>2.77341098E-2</v>
      </c>
      <c r="EL34" s="31">
        <v>1.5573181136000001</v>
      </c>
      <c r="EM34" s="30">
        <v>1.48760231E-2</v>
      </c>
      <c r="EN34" s="31">
        <v>0.79336108370000002</v>
      </c>
      <c r="EO34" s="30">
        <v>8.6464952999999994E-3</v>
      </c>
      <c r="EP34" s="31">
        <v>0.43425006700000002</v>
      </c>
      <c r="EQ34" s="30">
        <v>5.5539311000000003E-3</v>
      </c>
      <c r="ER34" s="31">
        <v>0.25670720180000001</v>
      </c>
      <c r="ES34" s="30">
        <v>3.8953341999999999E-3</v>
      </c>
      <c r="ET34" s="31">
        <v>0.16333868670000001</v>
      </c>
      <c r="EU34" s="36">
        <v>2.9304507E-3</v>
      </c>
      <c r="EV34" s="31"/>
      <c r="EW34" s="30"/>
      <c r="EX34" s="31"/>
      <c r="EY34" s="30"/>
      <c r="EZ34" s="31"/>
      <c r="FA34" s="30"/>
      <c r="FB34" s="31"/>
      <c r="FC34" s="30"/>
      <c r="FD34" s="31"/>
      <c r="FE34" s="36"/>
    </row>
    <row r="35" spans="1:161" x14ac:dyDescent="0.2">
      <c r="A35" s="12">
        <v>3000</v>
      </c>
      <c r="B35" s="2">
        <v>29691</v>
      </c>
      <c r="C35" s="15">
        <f t="shared" si="0"/>
        <v>7.6391302748167536E-3</v>
      </c>
      <c r="D35" s="15">
        <f t="shared" si="5"/>
        <v>0.64903688194017584</v>
      </c>
      <c r="E35" s="15">
        <f t="shared" si="8"/>
        <v>448.77319540372559</v>
      </c>
      <c r="F35" s="26">
        <v>1669.0303443</v>
      </c>
      <c r="G35" s="4">
        <v>2949.5261225999998</v>
      </c>
      <c r="H35" s="41">
        <f t="shared" si="6"/>
        <v>0.33646326761645462</v>
      </c>
      <c r="I35" s="4">
        <f t="shared" si="1"/>
        <v>252.31719308449999</v>
      </c>
      <c r="J35" s="4">
        <f>(I35*SUM($B$5:$B35)-I34*SUM($B$5:$B34))/$B35</f>
        <v>992.40719713008741</v>
      </c>
      <c r="K35" s="4">
        <f t="shared" si="2"/>
        <v>895.72664117900001</v>
      </c>
      <c r="L35" s="4">
        <f>(K35*SUM(B$5:B35)-K34*SUM(B$5:B34))/B35</f>
        <v>3050.3641877852751</v>
      </c>
      <c r="M35" s="41">
        <f t="shared" si="7"/>
        <v>3.4187886797349958E-2</v>
      </c>
      <c r="N35" s="4">
        <v>55.515736699000001</v>
      </c>
      <c r="O35" s="28">
        <v>6.7797221500000004E-2</v>
      </c>
      <c r="P35" s="26">
        <v>1.8936585749999999</v>
      </c>
      <c r="Q35" s="28">
        <v>1.1481635E-3</v>
      </c>
      <c r="R35" s="4">
        <v>145.35385837000001</v>
      </c>
      <c r="S35" s="28">
        <v>0.96859747070000002</v>
      </c>
      <c r="T35" s="4">
        <v>73.257457776999999</v>
      </c>
      <c r="U35" s="28">
        <v>0.45572398959999999</v>
      </c>
      <c r="V35" s="4">
        <v>16.869788767999999</v>
      </c>
      <c r="W35" s="28">
        <v>0.1388412248</v>
      </c>
      <c r="X35" s="29" t="s">
        <v>136</v>
      </c>
      <c r="Y35" s="30">
        <v>0</v>
      </c>
      <c r="Z35" s="4">
        <v>15.395675158</v>
      </c>
      <c r="AA35" s="28">
        <v>2.9261741300000001E-2</v>
      </c>
      <c r="AB35" s="29" t="s">
        <v>136</v>
      </c>
      <c r="AC35" s="30">
        <v>0</v>
      </c>
      <c r="AD35" s="29" t="s">
        <v>136</v>
      </c>
      <c r="AE35" s="30">
        <v>0</v>
      </c>
      <c r="AF35" s="4">
        <v>0.26433019410000003</v>
      </c>
      <c r="AG35" s="28">
        <v>2.8649537000000002E-3</v>
      </c>
      <c r="AH35" s="4">
        <v>25.362066891000001</v>
      </c>
      <c r="AI35" s="28">
        <v>0.59468661519999999</v>
      </c>
      <c r="AJ35" s="29" t="s">
        <v>136</v>
      </c>
      <c r="AK35" s="30">
        <v>0</v>
      </c>
      <c r="AL35" s="4">
        <v>9.6461700000000005E-5</v>
      </c>
      <c r="AM35" s="28">
        <v>7.4859066000000002E-7</v>
      </c>
      <c r="AN35" s="29" t="s">
        <v>136</v>
      </c>
      <c r="AO35" s="30">
        <v>0</v>
      </c>
      <c r="AP35" s="29" t="s">
        <v>136</v>
      </c>
      <c r="AQ35" s="30">
        <v>0</v>
      </c>
      <c r="AR35" s="4">
        <f t="shared" si="3"/>
        <v>9.6461700000000005E-5</v>
      </c>
      <c r="AS35" s="28">
        <f t="shared" si="3"/>
        <v>7.4859066000000002E-7</v>
      </c>
      <c r="AT35" s="4">
        <v>95.248651448000004</v>
      </c>
      <c r="AU35" s="28">
        <v>1.4042799670999999</v>
      </c>
      <c r="AV35" s="29" t="s">
        <v>136</v>
      </c>
      <c r="AW35" s="30">
        <v>0</v>
      </c>
      <c r="AX35" s="29" t="s">
        <v>136</v>
      </c>
      <c r="AY35" s="30">
        <v>0</v>
      </c>
      <c r="AZ35" s="29" t="s">
        <v>136</v>
      </c>
      <c r="BA35" s="30">
        <v>0</v>
      </c>
      <c r="BB35" s="4">
        <v>56.183682050999998</v>
      </c>
      <c r="BC35" s="28">
        <v>1.9931138867</v>
      </c>
      <c r="BD35" s="4">
        <v>44.555506899999997</v>
      </c>
      <c r="BE35" s="28">
        <v>0.37549853529999999</v>
      </c>
      <c r="BF35" s="4">
        <v>20.459250829999998</v>
      </c>
      <c r="BG35" s="28">
        <v>0.22873285339999999</v>
      </c>
      <c r="BH35" s="4">
        <v>7.5726878287000003</v>
      </c>
      <c r="BI35" s="28">
        <v>6.9852854199999995E-2</v>
      </c>
      <c r="BJ35" s="31">
        <f t="shared" si="4"/>
        <v>16.523568241299998</v>
      </c>
      <c r="BK35" s="30">
        <f t="shared" si="4"/>
        <v>7.6912827700000019E-2</v>
      </c>
      <c r="BL35" s="4">
        <v>0</v>
      </c>
      <c r="BM35" s="30">
        <v>0</v>
      </c>
      <c r="BN35" s="4">
        <v>113.50884234</v>
      </c>
      <c r="BO35" s="28">
        <v>1.4259718968999999</v>
      </c>
      <c r="BP35" s="28">
        <v>2.1897780999999999E-3</v>
      </c>
      <c r="BQ35" s="28">
        <v>5.1738798000000001E-6</v>
      </c>
      <c r="BR35" s="4">
        <v>105.4427692</v>
      </c>
      <c r="BS35" s="28">
        <v>3.5914578651000002</v>
      </c>
      <c r="BT35" s="4">
        <v>118.49931943</v>
      </c>
      <c r="BU35" s="28">
        <v>0.86849430959999996</v>
      </c>
      <c r="BV35" s="4">
        <v>28.270088100999999</v>
      </c>
      <c r="BW35" s="28">
        <v>0.1436856601</v>
      </c>
      <c r="BX35" s="4">
        <v>0.10501635350000001</v>
      </c>
      <c r="BY35" s="28">
        <v>7.0051670000000001E-4</v>
      </c>
      <c r="BZ35" s="4">
        <v>0</v>
      </c>
      <c r="CA35" s="33">
        <v>0</v>
      </c>
      <c r="CB35" s="29" t="s">
        <v>136</v>
      </c>
      <c r="CC35" s="30">
        <v>0</v>
      </c>
      <c r="CD35" s="4">
        <v>0.32924268220000003</v>
      </c>
      <c r="CE35" s="28">
        <v>4.9113764000000004E-3</v>
      </c>
      <c r="CF35" s="4">
        <v>16.540546085999999</v>
      </c>
      <c r="CG35" s="28">
        <v>0.13392984829999999</v>
      </c>
      <c r="CH35" s="29" t="s">
        <v>136</v>
      </c>
      <c r="CI35" s="30">
        <v>0</v>
      </c>
      <c r="CJ35" s="29" t="s">
        <v>136</v>
      </c>
      <c r="CK35" s="30">
        <v>0</v>
      </c>
      <c r="CL35" s="4">
        <v>6.0497421282000001</v>
      </c>
      <c r="CM35" s="28">
        <v>7.4693043999999997E-3</v>
      </c>
      <c r="CN35" s="4">
        <v>9.3459330298999994</v>
      </c>
      <c r="CO35" s="28">
        <v>2.17924369E-2</v>
      </c>
      <c r="CP35" s="29" t="s">
        <v>136</v>
      </c>
      <c r="CQ35" s="30">
        <v>0</v>
      </c>
      <c r="CR35" s="29" t="s">
        <v>136</v>
      </c>
      <c r="CS35" s="30">
        <v>0</v>
      </c>
      <c r="CT35" s="29" t="s">
        <v>136</v>
      </c>
      <c r="CU35" s="30">
        <v>0</v>
      </c>
      <c r="CV35" s="29" t="s">
        <v>136</v>
      </c>
      <c r="CW35" s="30">
        <v>0</v>
      </c>
      <c r="CX35" s="4">
        <v>7.0102798899999999E-2</v>
      </c>
      <c r="CY35" s="28">
        <v>8.5827410000000005E-4</v>
      </c>
      <c r="CZ35" s="4">
        <v>0.19422739520000001</v>
      </c>
      <c r="DA35" s="28">
        <v>2.0066795000000001E-3</v>
      </c>
      <c r="DB35" s="4">
        <v>1.7342801998999999</v>
      </c>
      <c r="DC35" s="28">
        <v>2.1265626999999999E-2</v>
      </c>
      <c r="DD35" s="4">
        <v>23.627786691000001</v>
      </c>
      <c r="DE35" s="28">
        <v>0.57342098819999998</v>
      </c>
      <c r="DF35" s="29" t="s">
        <v>136</v>
      </c>
      <c r="DG35" s="30">
        <v>0</v>
      </c>
      <c r="DH35" s="29" t="s">
        <v>136</v>
      </c>
      <c r="DI35" s="30">
        <v>0</v>
      </c>
      <c r="DJ35" s="4">
        <v>16.491040321</v>
      </c>
      <c r="DK35" s="28">
        <v>0.31545982649999998</v>
      </c>
      <c r="DL35" s="4">
        <v>39.692641729999998</v>
      </c>
      <c r="DM35" s="28">
        <v>1.6776540602000001</v>
      </c>
      <c r="DN35" s="4">
        <v>11.272246430999999</v>
      </c>
      <c r="DO35" s="28">
        <v>0.4540285959</v>
      </c>
      <c r="DP35" s="4">
        <v>102.23659591000001</v>
      </c>
      <c r="DQ35" s="28">
        <v>0.97194330110000005</v>
      </c>
      <c r="DR35" s="37">
        <v>1.1429764999999999E-3</v>
      </c>
      <c r="DS35" s="38">
        <v>1.9461173999999999E-3</v>
      </c>
      <c r="DT35" s="38">
        <v>2.1373604000000002E-3</v>
      </c>
      <c r="DU35" s="38">
        <v>2.1682977999999999E-3</v>
      </c>
      <c r="DV35" s="38">
        <v>2.1747253999999999E-3</v>
      </c>
      <c r="DW35" s="38">
        <v>2.1784235999999998E-3</v>
      </c>
      <c r="DX35" s="38">
        <v>2.1793549E-3</v>
      </c>
      <c r="DY35" s="38">
        <v>2.1797339E-3</v>
      </c>
      <c r="DZ35" s="38">
        <v>2.1801129E-3</v>
      </c>
      <c r="EA35" s="39">
        <v>2.1804919E-3</v>
      </c>
      <c r="EB35" s="40">
        <v>70.701693139</v>
      </c>
      <c r="EC35" s="30">
        <v>0.49761706480000001</v>
      </c>
      <c r="ED35" s="31">
        <v>33.372880295000002</v>
      </c>
      <c r="EE35" s="30">
        <v>0.2448542786</v>
      </c>
      <c r="EF35" s="31">
        <v>15.52592044</v>
      </c>
      <c r="EG35" s="30">
        <v>0.1187112193</v>
      </c>
      <c r="EH35" s="31">
        <v>7.1879008665999997</v>
      </c>
      <c r="EI35" s="30">
        <v>5.7838010099999997E-2</v>
      </c>
      <c r="EJ35" s="31">
        <v>3.4001314282999999</v>
      </c>
      <c r="EK35" s="30">
        <v>2.9327722600000002E-2</v>
      </c>
      <c r="EL35" s="31">
        <v>1.6711111796</v>
      </c>
      <c r="EM35" s="30">
        <v>1.58542762E-2</v>
      </c>
      <c r="EN35" s="31">
        <v>0.86015987630000001</v>
      </c>
      <c r="EO35" s="30">
        <v>9.2688605E-3</v>
      </c>
      <c r="EP35" s="31">
        <v>0.47362547379999997</v>
      </c>
      <c r="EQ35" s="30">
        <v>5.9611126000000004E-3</v>
      </c>
      <c r="ER35" s="31">
        <v>0.28016901989999998</v>
      </c>
      <c r="ES35" s="30">
        <v>4.1714287000000003E-3</v>
      </c>
      <c r="ET35" s="31">
        <v>0.1779475489</v>
      </c>
      <c r="EU35" s="36">
        <v>3.1295047999999998E-3</v>
      </c>
      <c r="EV35" s="31"/>
      <c r="EW35" s="30"/>
      <c r="EX35" s="31"/>
      <c r="EY35" s="30"/>
      <c r="EZ35" s="31"/>
      <c r="FA35" s="30"/>
      <c r="FB35" s="31"/>
      <c r="FC35" s="30"/>
      <c r="FD35" s="31"/>
      <c r="FE35" s="36"/>
    </row>
    <row r="36" spans="1:161" x14ac:dyDescent="0.2">
      <c r="A36" s="12">
        <v>3100</v>
      </c>
      <c r="B36" s="2">
        <v>28285</v>
      </c>
      <c r="C36" s="15">
        <f t="shared" si="0"/>
        <v>7.2773837130171385E-3</v>
      </c>
      <c r="D36" s="15">
        <f t="shared" si="5"/>
        <v>0.65631426565319295</v>
      </c>
      <c r="E36" s="15">
        <f t="shared" si="8"/>
        <v>462.93952450223952</v>
      </c>
      <c r="F36" s="26">
        <v>1706.3046650000001</v>
      </c>
      <c r="G36" s="4">
        <v>3049.4758221000002</v>
      </c>
      <c r="H36" s="41">
        <f t="shared" si="6"/>
        <v>0.33421905087751208</v>
      </c>
      <c r="I36" s="4">
        <f t="shared" si="1"/>
        <v>260.82051105300002</v>
      </c>
      <c r="J36" s="4">
        <f>(I36*SUM($B$5:$B36)-I35*SUM($B$5:$B35))/$B36</f>
        <v>1019.192914936183</v>
      </c>
      <c r="K36" s="4">
        <f t="shared" si="2"/>
        <v>920.85636389589979</v>
      </c>
      <c r="L36" s="4">
        <f>(K36*SUM(B$5:B36)-K35*SUM(B$5:B35))/B36</f>
        <v>3162.0624785362083</v>
      </c>
      <c r="M36" s="41">
        <f t="shared" si="7"/>
        <v>3.6920002978963168E-2</v>
      </c>
      <c r="N36" s="4">
        <v>57.761840577000001</v>
      </c>
      <c r="O36" s="28">
        <v>6.9404275400000007E-2</v>
      </c>
      <c r="P36" s="26">
        <v>2.0845935290000002</v>
      </c>
      <c r="Q36" s="28">
        <v>1.2398642999999999E-3</v>
      </c>
      <c r="R36" s="4">
        <v>147.13401626999999</v>
      </c>
      <c r="S36" s="28">
        <v>0.98052970630000003</v>
      </c>
      <c r="T36" s="4">
        <v>74.722344695000004</v>
      </c>
      <c r="U36" s="28">
        <v>0.4648853939</v>
      </c>
      <c r="V36" s="4">
        <v>17.473862497999999</v>
      </c>
      <c r="W36" s="28">
        <v>0.14344251599999999</v>
      </c>
      <c r="X36" s="29" t="s">
        <v>136</v>
      </c>
      <c r="Y36" s="30">
        <v>0</v>
      </c>
      <c r="Z36" s="4">
        <v>16.438723865</v>
      </c>
      <c r="AA36" s="28">
        <v>3.0908788199999999E-2</v>
      </c>
      <c r="AB36" s="29" t="s">
        <v>136</v>
      </c>
      <c r="AC36" s="30">
        <v>0</v>
      </c>
      <c r="AD36" s="29" t="s">
        <v>136</v>
      </c>
      <c r="AE36" s="30">
        <v>0</v>
      </c>
      <c r="AF36" s="4">
        <v>0.28200216929999999</v>
      </c>
      <c r="AG36" s="28">
        <v>3.0430542E-3</v>
      </c>
      <c r="AH36" s="4">
        <v>26.405377486999999</v>
      </c>
      <c r="AI36" s="28">
        <v>0.61689463600000005</v>
      </c>
      <c r="AJ36" s="29" t="s">
        <v>136</v>
      </c>
      <c r="AK36" s="30">
        <v>0</v>
      </c>
      <c r="AL36" s="4">
        <v>1.4404779999999999E-4</v>
      </c>
      <c r="AM36" s="28">
        <v>9.164727E-7</v>
      </c>
      <c r="AN36" s="29" t="s">
        <v>136</v>
      </c>
      <c r="AO36" s="30">
        <v>0</v>
      </c>
      <c r="AP36" s="29" t="s">
        <v>136</v>
      </c>
      <c r="AQ36" s="30">
        <v>0</v>
      </c>
      <c r="AR36" s="4">
        <f t="shared" si="3"/>
        <v>1.4404779999999999E-4</v>
      </c>
      <c r="AS36" s="28">
        <f t="shared" si="3"/>
        <v>9.164727E-7</v>
      </c>
      <c r="AT36" s="4">
        <v>97.398466364000001</v>
      </c>
      <c r="AU36" s="28">
        <v>1.4240954232</v>
      </c>
      <c r="AV36" s="29" t="s">
        <v>136</v>
      </c>
      <c r="AW36" s="30">
        <v>0</v>
      </c>
      <c r="AX36" s="29" t="s">
        <v>136</v>
      </c>
      <c r="AY36" s="30">
        <v>0</v>
      </c>
      <c r="AZ36" s="29" t="s">
        <v>136</v>
      </c>
      <c r="BA36" s="30">
        <v>0</v>
      </c>
      <c r="BB36" s="4">
        <v>57.520899997000001</v>
      </c>
      <c r="BC36" s="28">
        <v>2.0274834678000002</v>
      </c>
      <c r="BD36" s="4">
        <v>45.978526975999998</v>
      </c>
      <c r="BE36" s="28">
        <v>0.38424937079999999</v>
      </c>
      <c r="BF36" s="4">
        <v>21.116241925000001</v>
      </c>
      <c r="BG36" s="28">
        <v>0.23421956939999999</v>
      </c>
      <c r="BH36" s="4">
        <v>7.7571573307000001</v>
      </c>
      <c r="BI36" s="28">
        <v>7.1112889100000007E-2</v>
      </c>
      <c r="BJ36" s="31">
        <f t="shared" si="4"/>
        <v>17.105127720299997</v>
      </c>
      <c r="BK36" s="30">
        <f t="shared" si="4"/>
        <v>7.8916912299999975E-2</v>
      </c>
      <c r="BL36" s="4">
        <v>0</v>
      </c>
      <c r="BM36" s="30">
        <v>0</v>
      </c>
      <c r="BN36" s="4">
        <v>116.83491032000001</v>
      </c>
      <c r="BO36" s="28">
        <v>1.4550679627000001</v>
      </c>
      <c r="BP36" s="28">
        <v>2.3759824000000001E-3</v>
      </c>
      <c r="BQ36" s="28">
        <v>5.0716627999999998E-6</v>
      </c>
      <c r="BR36" s="4">
        <v>107.5457104</v>
      </c>
      <c r="BS36" s="28">
        <v>3.6407606118000002</v>
      </c>
      <c r="BT36" s="4">
        <v>123.77249303000001</v>
      </c>
      <c r="BU36" s="28">
        <v>0.90412584829999998</v>
      </c>
      <c r="BV36" s="4">
        <v>29.391334077</v>
      </c>
      <c r="BW36" s="28">
        <v>0.14813671910000001</v>
      </c>
      <c r="BX36" s="4">
        <v>0.11097354600000001</v>
      </c>
      <c r="BY36" s="28">
        <v>7.2472210000000005E-4</v>
      </c>
      <c r="BZ36" s="4">
        <v>0</v>
      </c>
      <c r="CA36" s="33">
        <v>0</v>
      </c>
      <c r="CB36" s="29" t="s">
        <v>136</v>
      </c>
      <c r="CC36" s="30">
        <v>0</v>
      </c>
      <c r="CD36" s="4">
        <v>0.34306042349999999</v>
      </c>
      <c r="CE36" s="28">
        <v>5.0545236999999998E-3</v>
      </c>
      <c r="CF36" s="4">
        <v>17.130802074999998</v>
      </c>
      <c r="CG36" s="28">
        <v>0.13838799230000001</v>
      </c>
      <c r="CH36" s="29" t="s">
        <v>136</v>
      </c>
      <c r="CI36" s="30">
        <v>0</v>
      </c>
      <c r="CJ36" s="29" t="s">
        <v>136</v>
      </c>
      <c r="CK36" s="30">
        <v>0</v>
      </c>
      <c r="CL36" s="4">
        <v>6.5473896678000001</v>
      </c>
      <c r="CM36" s="28">
        <v>7.9576009000000003E-3</v>
      </c>
      <c r="CN36" s="4">
        <v>9.8913341976000009</v>
      </c>
      <c r="CO36" s="28">
        <v>2.2951187299999998E-2</v>
      </c>
      <c r="CP36" s="29" t="s">
        <v>136</v>
      </c>
      <c r="CQ36" s="30">
        <v>0</v>
      </c>
      <c r="CR36" s="29" t="s">
        <v>136</v>
      </c>
      <c r="CS36" s="30">
        <v>0</v>
      </c>
      <c r="CT36" s="29" t="s">
        <v>136</v>
      </c>
      <c r="CU36" s="30">
        <v>0</v>
      </c>
      <c r="CV36" s="29" t="s">
        <v>136</v>
      </c>
      <c r="CW36" s="30">
        <v>0</v>
      </c>
      <c r="CX36" s="4">
        <v>7.7541005400000002E-2</v>
      </c>
      <c r="CY36" s="28">
        <v>9.4643090000000004E-4</v>
      </c>
      <c r="CZ36" s="4">
        <v>0.20446116380000001</v>
      </c>
      <c r="DA36" s="28">
        <v>2.0966232999999998E-3</v>
      </c>
      <c r="DB36" s="4">
        <v>1.8395556629000001</v>
      </c>
      <c r="DC36" s="28">
        <v>2.2538916799999999E-2</v>
      </c>
      <c r="DD36" s="4">
        <v>24.565821824</v>
      </c>
      <c r="DE36" s="28">
        <v>0.59435571919999997</v>
      </c>
      <c r="DF36" s="29" t="s">
        <v>136</v>
      </c>
      <c r="DG36" s="30">
        <v>0</v>
      </c>
      <c r="DH36" s="29" t="s">
        <v>136</v>
      </c>
      <c r="DI36" s="30">
        <v>0</v>
      </c>
      <c r="DJ36" s="4">
        <v>16.972008435999999</v>
      </c>
      <c r="DK36" s="28">
        <v>0.32295154269999998</v>
      </c>
      <c r="DL36" s="4">
        <v>40.548891560999998</v>
      </c>
      <c r="DM36" s="28">
        <v>1.7045319251</v>
      </c>
      <c r="DN36" s="4">
        <v>11.934128814999999</v>
      </c>
      <c r="DO36" s="28">
        <v>0.4654787326</v>
      </c>
      <c r="DP36" s="4">
        <v>104.90078151</v>
      </c>
      <c r="DQ36" s="28">
        <v>0.98958922999999999</v>
      </c>
      <c r="DR36" s="37">
        <v>1.2335253E-3</v>
      </c>
      <c r="DS36" s="38">
        <v>2.1071185E-3</v>
      </c>
      <c r="DT36" s="38">
        <v>2.3196937000000001E-3</v>
      </c>
      <c r="DU36" s="38">
        <v>2.3543322999999999E-3</v>
      </c>
      <c r="DV36" s="38">
        <v>2.3608711000000001E-3</v>
      </c>
      <c r="DW36" s="38">
        <v>2.3647097999999998E-3</v>
      </c>
      <c r="DX36" s="38">
        <v>2.3656324E-3</v>
      </c>
      <c r="DY36" s="38">
        <v>2.3660088E-3</v>
      </c>
      <c r="DZ36" s="38">
        <v>2.3663851E-3</v>
      </c>
      <c r="EA36" s="39">
        <v>2.3667614999999999E-3</v>
      </c>
      <c r="EB36" s="40">
        <v>72.042439591999994</v>
      </c>
      <c r="EC36" s="30">
        <v>0.50680323159999996</v>
      </c>
      <c r="ED36" s="31">
        <v>34.263633274999997</v>
      </c>
      <c r="EE36" s="30">
        <v>0.25114028510000003</v>
      </c>
      <c r="EF36" s="31">
        <v>16.083761161999998</v>
      </c>
      <c r="EG36" s="30">
        <v>0.12277518630000001</v>
      </c>
      <c r="EH36" s="31">
        <v>7.5243611526</v>
      </c>
      <c r="EI36" s="30">
        <v>6.03907656E-2</v>
      </c>
      <c r="EJ36" s="31">
        <v>3.5993030026000001</v>
      </c>
      <c r="EK36" s="30">
        <v>3.0917074199999998E-2</v>
      </c>
      <c r="EL36" s="31">
        <v>1.7888670521000001</v>
      </c>
      <c r="EM36" s="30">
        <v>1.6860426000000001E-2</v>
      </c>
      <c r="EN36" s="31">
        <v>0.92947200480000003</v>
      </c>
      <c r="EO36" s="30">
        <v>9.9224340000000008E-3</v>
      </c>
      <c r="EP36" s="31">
        <v>0.51588195729999997</v>
      </c>
      <c r="EQ36" s="30">
        <v>6.405839E-3</v>
      </c>
      <c r="ER36" s="31">
        <v>0.30712607279999998</v>
      </c>
      <c r="ES36" s="30">
        <v>4.4919193999999997E-3</v>
      </c>
      <c r="ET36" s="31">
        <v>0.19599679270000001</v>
      </c>
      <c r="EU36" s="36">
        <v>3.3725332000000001E-3</v>
      </c>
      <c r="EV36" s="31"/>
      <c r="EW36" s="30"/>
      <c r="EX36" s="31"/>
      <c r="EY36" s="30"/>
      <c r="EZ36" s="31"/>
      <c r="FA36" s="30"/>
      <c r="FB36" s="31"/>
      <c r="FC36" s="30"/>
      <c r="FD36" s="31"/>
      <c r="FE36" s="36"/>
    </row>
    <row r="37" spans="1:161" x14ac:dyDescent="0.2">
      <c r="A37" s="12">
        <v>3200</v>
      </c>
      <c r="B37" s="2">
        <v>27078</v>
      </c>
      <c r="C37" s="15">
        <f t="shared" si="0"/>
        <v>6.9668374113868864E-3</v>
      </c>
      <c r="D37" s="15">
        <f t="shared" si="5"/>
        <v>0.66328110306457988</v>
      </c>
      <c r="E37" s="15">
        <f t="shared" si="8"/>
        <v>476.79098422227128</v>
      </c>
      <c r="F37" s="26">
        <v>1742.7472015999999</v>
      </c>
      <c r="G37" s="4">
        <v>3149.7135216000001</v>
      </c>
      <c r="H37" s="41">
        <f t="shared" si="6"/>
        <v>0.33949104845010897</v>
      </c>
      <c r="I37" s="4">
        <f t="shared" si="1"/>
        <v>269.31244902520001</v>
      </c>
      <c r="J37" s="4">
        <f>(I37*SUM($B$5:$B37)-I36*SUM($B$5:$B36))/$B37</f>
        <v>1069.299545765469</v>
      </c>
      <c r="K37" s="4">
        <f t="shared" si="2"/>
        <v>945.41735013770005</v>
      </c>
      <c r="L37" s="4">
        <f>(K37*SUM(B$5:B37)-K36*SUM(B$5:B36))/B37</f>
        <v>3259.1968597123941</v>
      </c>
      <c r="M37" s="41">
        <f t="shared" si="7"/>
        <v>3.4759776519858968E-2</v>
      </c>
      <c r="N37" s="4">
        <v>59.851171573999999</v>
      </c>
      <c r="O37" s="28">
        <v>7.0883178899999996E-2</v>
      </c>
      <c r="P37" s="26">
        <v>2.2762678098000002</v>
      </c>
      <c r="Q37" s="28">
        <v>1.3291545999999999E-3</v>
      </c>
      <c r="R37" s="4">
        <v>148.85423352999999</v>
      </c>
      <c r="S37" s="28">
        <v>0.99204453589999997</v>
      </c>
      <c r="T37" s="4">
        <v>76.144357166999995</v>
      </c>
      <c r="U37" s="28">
        <v>0.47394017820000001</v>
      </c>
      <c r="V37" s="4">
        <v>18.101890826999998</v>
      </c>
      <c r="W37" s="28">
        <v>0.14840402480000001</v>
      </c>
      <c r="X37" s="29" t="s">
        <v>136</v>
      </c>
      <c r="Y37" s="30">
        <v>0</v>
      </c>
      <c r="Z37" s="4">
        <v>17.402669702000001</v>
      </c>
      <c r="AA37" s="28">
        <v>3.2453422799999999E-2</v>
      </c>
      <c r="AB37" s="29" t="s">
        <v>136</v>
      </c>
      <c r="AC37" s="30">
        <v>0</v>
      </c>
      <c r="AD37" s="29" t="s">
        <v>136</v>
      </c>
      <c r="AE37" s="30">
        <v>0</v>
      </c>
      <c r="AF37" s="4">
        <v>0.29692365570000001</v>
      </c>
      <c r="AG37" s="28">
        <v>3.2172023999999999E-3</v>
      </c>
      <c r="AH37" s="4">
        <v>27.445230233</v>
      </c>
      <c r="AI37" s="28">
        <v>0.63974315100000001</v>
      </c>
      <c r="AJ37" s="29" t="s">
        <v>136</v>
      </c>
      <c r="AK37" s="30">
        <v>0</v>
      </c>
      <c r="AL37" s="4">
        <v>2.2745400000000001E-4</v>
      </c>
      <c r="AM37" s="28">
        <v>1.2737528000000001E-6</v>
      </c>
      <c r="AN37" s="29" t="s">
        <v>136</v>
      </c>
      <c r="AO37" s="30">
        <v>0</v>
      </c>
      <c r="AP37" s="29" t="s">
        <v>136</v>
      </c>
      <c r="AQ37" s="30">
        <v>0</v>
      </c>
      <c r="AR37" s="4">
        <f t="shared" si="3"/>
        <v>2.2745400000000001E-4</v>
      </c>
      <c r="AS37" s="28">
        <f t="shared" si="3"/>
        <v>1.2737528000000001E-6</v>
      </c>
      <c r="AT37" s="4">
        <v>99.455147483000005</v>
      </c>
      <c r="AU37" s="28">
        <v>1.4430236519999999</v>
      </c>
      <c r="AV37" s="29" t="s">
        <v>136</v>
      </c>
      <c r="AW37" s="30">
        <v>0</v>
      </c>
      <c r="AX37" s="29" t="s">
        <v>136</v>
      </c>
      <c r="AY37" s="30">
        <v>0</v>
      </c>
      <c r="AZ37" s="29" t="s">
        <v>136</v>
      </c>
      <c r="BA37" s="30">
        <v>0</v>
      </c>
      <c r="BB37" s="4">
        <v>58.803804806999999</v>
      </c>
      <c r="BC37" s="28">
        <v>2.0614340551999999</v>
      </c>
      <c r="BD37" s="4">
        <v>47.322251436000002</v>
      </c>
      <c r="BE37" s="28">
        <v>0.39254465630000002</v>
      </c>
      <c r="BF37" s="4">
        <v>21.721026083999998</v>
      </c>
      <c r="BG37" s="28">
        <v>0.23942769890000001</v>
      </c>
      <c r="BH37" s="4">
        <v>7.9311338631000003</v>
      </c>
      <c r="BI37" s="28">
        <v>7.2280201200000005E-2</v>
      </c>
      <c r="BJ37" s="31">
        <f t="shared" si="4"/>
        <v>17.670091488900002</v>
      </c>
      <c r="BK37" s="30">
        <f t="shared" si="4"/>
        <v>8.0836756199999971E-2</v>
      </c>
      <c r="BL37" s="4">
        <v>0</v>
      </c>
      <c r="BM37" s="30">
        <v>0</v>
      </c>
      <c r="BN37" s="4">
        <v>120.15049798</v>
      </c>
      <c r="BO37" s="28">
        <v>1.4830847403</v>
      </c>
      <c r="BP37" s="28">
        <v>2.5519727999999998E-3</v>
      </c>
      <c r="BQ37" s="28">
        <v>4.9773338000000004E-6</v>
      </c>
      <c r="BR37" s="4">
        <v>109.56487303</v>
      </c>
      <c r="BS37" s="28">
        <v>3.6869007505</v>
      </c>
      <c r="BT37" s="4">
        <v>129.14960692</v>
      </c>
      <c r="BU37" s="28">
        <v>0.94078753240000002</v>
      </c>
      <c r="BV37" s="4">
        <v>30.482312740000001</v>
      </c>
      <c r="BW37" s="28">
        <v>0.15233788039999999</v>
      </c>
      <c r="BX37" s="4">
        <v>0.1156563352</v>
      </c>
      <c r="BY37" s="28">
        <v>7.6103200000000003E-4</v>
      </c>
      <c r="BZ37" s="4">
        <v>0</v>
      </c>
      <c r="CA37" s="33">
        <v>0</v>
      </c>
      <c r="CB37" s="29" t="s">
        <v>136</v>
      </c>
      <c r="CC37" s="30">
        <v>0</v>
      </c>
      <c r="CD37" s="4">
        <v>0.3587829998</v>
      </c>
      <c r="CE37" s="28">
        <v>5.2871187999999998E-3</v>
      </c>
      <c r="CF37" s="4">
        <v>17.743107827999999</v>
      </c>
      <c r="CG37" s="28">
        <v>0.1431169061</v>
      </c>
      <c r="CH37" s="29" t="s">
        <v>136</v>
      </c>
      <c r="CI37" s="30">
        <v>0</v>
      </c>
      <c r="CJ37" s="29" t="s">
        <v>136</v>
      </c>
      <c r="CK37" s="30">
        <v>0</v>
      </c>
      <c r="CL37" s="4">
        <v>7.0321248559000002</v>
      </c>
      <c r="CM37" s="28">
        <v>8.4363163999999994E-3</v>
      </c>
      <c r="CN37" s="4">
        <v>10.370544846</v>
      </c>
      <c r="CO37" s="28">
        <v>2.40171065E-2</v>
      </c>
      <c r="CP37" s="29" t="s">
        <v>136</v>
      </c>
      <c r="CQ37" s="30">
        <v>0</v>
      </c>
      <c r="CR37" s="29" t="s">
        <v>136</v>
      </c>
      <c r="CS37" s="30">
        <v>0</v>
      </c>
      <c r="CT37" s="29" t="s">
        <v>136</v>
      </c>
      <c r="CU37" s="30">
        <v>0</v>
      </c>
      <c r="CV37" s="29" t="s">
        <v>136</v>
      </c>
      <c r="CW37" s="30">
        <v>0</v>
      </c>
      <c r="CX37" s="4">
        <v>8.2272142199999995E-2</v>
      </c>
      <c r="CY37" s="28">
        <v>1.0196103000000001E-3</v>
      </c>
      <c r="CZ37" s="4">
        <v>0.21465151360000001</v>
      </c>
      <c r="DA37" s="28">
        <v>2.1975919999999999E-3</v>
      </c>
      <c r="DB37" s="4">
        <v>1.9493353806</v>
      </c>
      <c r="DC37" s="28">
        <v>2.3703967499999999E-2</v>
      </c>
      <c r="DD37" s="4">
        <v>25.495894851999999</v>
      </c>
      <c r="DE37" s="28">
        <v>0.61603918349999998</v>
      </c>
      <c r="DF37" s="29" t="s">
        <v>136</v>
      </c>
      <c r="DG37" s="30">
        <v>0</v>
      </c>
      <c r="DH37" s="29" t="s">
        <v>136</v>
      </c>
      <c r="DI37" s="30">
        <v>0</v>
      </c>
      <c r="DJ37" s="4">
        <v>17.433456394</v>
      </c>
      <c r="DK37" s="28">
        <v>0.33015642439999998</v>
      </c>
      <c r="DL37" s="4">
        <v>41.370348413000002</v>
      </c>
      <c r="DM37" s="28">
        <v>1.7312776307</v>
      </c>
      <c r="DN37" s="4">
        <v>12.654108059</v>
      </c>
      <c r="DO37" s="28">
        <v>0.47683076730000001</v>
      </c>
      <c r="DP37" s="4">
        <v>107.49638992</v>
      </c>
      <c r="DQ37" s="28">
        <v>1.006253973</v>
      </c>
      <c r="DR37" s="37">
        <v>1.3221624999999999E-3</v>
      </c>
      <c r="DS37" s="38">
        <v>2.2625954999999998E-3</v>
      </c>
      <c r="DT37" s="38">
        <v>2.4936691E-3</v>
      </c>
      <c r="DU37" s="38">
        <v>2.5304974000000002E-3</v>
      </c>
      <c r="DV37" s="38">
        <v>2.5369746999999998E-3</v>
      </c>
      <c r="DW37" s="38">
        <v>2.540779E-3</v>
      </c>
      <c r="DX37" s="38">
        <v>2.5416936E-3</v>
      </c>
      <c r="DY37" s="38">
        <v>2.5420674E-3</v>
      </c>
      <c r="DZ37" s="38">
        <v>2.5424412E-3</v>
      </c>
      <c r="EA37" s="39">
        <v>2.5428148999999999E-3</v>
      </c>
      <c r="EB37" s="40">
        <v>73.345623626000005</v>
      </c>
      <c r="EC37" s="30">
        <v>0.51574525140000005</v>
      </c>
      <c r="ED37" s="31">
        <v>35.126634762000002</v>
      </c>
      <c r="EE37" s="30">
        <v>0.25728736870000002</v>
      </c>
      <c r="EF37" s="31">
        <v>16.620429951999999</v>
      </c>
      <c r="EG37" s="30">
        <v>0.12676148579999999</v>
      </c>
      <c r="EH37" s="31">
        <v>7.8442319335999997</v>
      </c>
      <c r="EI37" s="30">
        <v>6.2890586600000006E-2</v>
      </c>
      <c r="EJ37" s="31">
        <v>3.7906123403</v>
      </c>
      <c r="EK37" s="30">
        <v>3.2505312000000001E-2</v>
      </c>
      <c r="EL37" s="31">
        <v>1.9020723922</v>
      </c>
      <c r="EM37" s="30">
        <v>1.7880138399999999E-2</v>
      </c>
      <c r="EN37" s="31">
        <v>0.9980200414</v>
      </c>
      <c r="EO37" s="30">
        <v>1.0606649500000001E-2</v>
      </c>
      <c r="EP37" s="31">
        <v>0.55860460160000003</v>
      </c>
      <c r="EQ37" s="30">
        <v>6.8864360000000001E-3</v>
      </c>
      <c r="ER37" s="31">
        <v>0.33485926519999998</v>
      </c>
      <c r="ES37" s="30">
        <v>4.8489568E-3</v>
      </c>
      <c r="ET37" s="31">
        <v>0.21452981870000001</v>
      </c>
      <c r="EU37" s="36">
        <v>3.6493718000000001E-3</v>
      </c>
      <c r="EV37" s="31"/>
      <c r="EW37" s="30"/>
      <c r="EX37" s="31"/>
      <c r="EY37" s="30"/>
      <c r="EZ37" s="31"/>
      <c r="FA37" s="30"/>
      <c r="FB37" s="31"/>
      <c r="FC37" s="30"/>
      <c r="FD37" s="31"/>
      <c r="FE37" s="36"/>
    </row>
    <row r="38" spans="1:161" x14ac:dyDescent="0.2">
      <c r="A38" s="12">
        <v>3300</v>
      </c>
      <c r="B38" s="2">
        <v>26086</v>
      </c>
      <c r="C38" s="15">
        <f t="shared" si="0"/>
        <v>6.7116079737587087E-3</v>
      </c>
      <c r="D38" s="15">
        <f t="shared" si="5"/>
        <v>0.66999271103833857</v>
      </c>
      <c r="E38" s="15">
        <f t="shared" si="8"/>
        <v>490.40837002848889</v>
      </c>
      <c r="F38" s="26">
        <v>1778.4501098000001</v>
      </c>
      <c r="G38" s="4">
        <v>3249.4981059000002</v>
      </c>
      <c r="H38" s="41">
        <f t="shared" si="6"/>
        <v>0.34140510358500509</v>
      </c>
      <c r="I38" s="4">
        <f t="shared" si="1"/>
        <v>277.72792317659997</v>
      </c>
      <c r="J38" s="4">
        <f>(I38*SUM($B$5:$B38)-I37*SUM($B$5:$B37))/$B38</f>
        <v>1109.3952374440673</v>
      </c>
      <c r="K38" s="4">
        <f t="shared" si="2"/>
        <v>969.59994735949988</v>
      </c>
      <c r="L38" s="4">
        <f>(K38*SUM(B$5:B38)-K37*SUM(B$5:B37))/B38</f>
        <v>3359.4683399943133</v>
      </c>
      <c r="M38" s="41">
        <f t="shared" si="7"/>
        <v>3.3842221324777516E-2</v>
      </c>
      <c r="N38" s="4">
        <v>61.862858426999999</v>
      </c>
      <c r="O38" s="28">
        <v>7.2336572000000002E-2</v>
      </c>
      <c r="P38" s="26">
        <v>2.5029158564</v>
      </c>
      <c r="Q38" s="28">
        <v>1.4308984E-3</v>
      </c>
      <c r="R38" s="4">
        <v>150.47702809</v>
      </c>
      <c r="S38" s="28">
        <v>1.0027049888999999</v>
      </c>
      <c r="T38" s="4">
        <v>77.528126607999994</v>
      </c>
      <c r="U38" s="28">
        <v>0.48278380900000001</v>
      </c>
      <c r="V38" s="4">
        <v>18.674735651999999</v>
      </c>
      <c r="W38" s="28">
        <v>0.1528401955</v>
      </c>
      <c r="X38" s="29" t="s">
        <v>136</v>
      </c>
      <c r="Y38" s="30">
        <v>0</v>
      </c>
      <c r="Z38" s="4">
        <v>18.485904897000001</v>
      </c>
      <c r="AA38" s="28">
        <v>3.4170949499999999E-2</v>
      </c>
      <c r="AB38" s="29" t="s">
        <v>136</v>
      </c>
      <c r="AC38" s="30">
        <v>0</v>
      </c>
      <c r="AD38" s="29" t="s">
        <v>136</v>
      </c>
      <c r="AE38" s="30">
        <v>0</v>
      </c>
      <c r="AF38" s="4">
        <v>0.31095221410000001</v>
      </c>
      <c r="AG38" s="28">
        <v>3.3588825999999999E-3</v>
      </c>
      <c r="AH38" s="4">
        <v>28.423356183999999</v>
      </c>
      <c r="AI38" s="28">
        <v>0.66085497709999996</v>
      </c>
      <c r="AJ38" s="29" t="s">
        <v>136</v>
      </c>
      <c r="AK38" s="30">
        <v>0</v>
      </c>
      <c r="AL38" s="4">
        <v>2.2529970000000001E-4</v>
      </c>
      <c r="AM38" s="28">
        <v>1.2616318000000001E-6</v>
      </c>
      <c r="AN38" s="29" t="s">
        <v>136</v>
      </c>
      <c r="AO38" s="30">
        <v>0</v>
      </c>
      <c r="AP38" s="29" t="s">
        <v>136</v>
      </c>
      <c r="AQ38" s="30">
        <v>0</v>
      </c>
      <c r="AR38" s="4">
        <f t="shared" si="3"/>
        <v>2.2529970000000001E-4</v>
      </c>
      <c r="AS38" s="28">
        <f t="shared" si="3"/>
        <v>1.2616318000000001E-6</v>
      </c>
      <c r="AT38" s="4">
        <v>101.50446368</v>
      </c>
      <c r="AU38" s="28">
        <v>1.4614065738999999</v>
      </c>
      <c r="AV38" s="29" t="s">
        <v>136</v>
      </c>
      <c r="AW38" s="30">
        <v>0</v>
      </c>
      <c r="AX38" s="29" t="s">
        <v>136</v>
      </c>
      <c r="AY38" s="30">
        <v>0</v>
      </c>
      <c r="AZ38" s="29" t="s">
        <v>136</v>
      </c>
      <c r="BA38" s="30">
        <v>0</v>
      </c>
      <c r="BB38" s="4">
        <v>60.063430576999998</v>
      </c>
      <c r="BC38" s="28">
        <v>2.0935644740999999</v>
      </c>
      <c r="BD38" s="4">
        <v>48.646446628</v>
      </c>
      <c r="BE38" s="28">
        <v>0.40079104399999999</v>
      </c>
      <c r="BF38" s="4">
        <v>22.318640371000001</v>
      </c>
      <c r="BG38" s="28">
        <v>0.24461628999999999</v>
      </c>
      <c r="BH38" s="4">
        <v>8.0915738370000003</v>
      </c>
      <c r="BI38" s="28">
        <v>7.3371137700000005E-2</v>
      </c>
      <c r="BJ38" s="31">
        <f t="shared" si="4"/>
        <v>18.23623242</v>
      </c>
      <c r="BK38" s="30">
        <f t="shared" si="4"/>
        <v>8.2803616299999994E-2</v>
      </c>
      <c r="BL38" s="4">
        <v>0</v>
      </c>
      <c r="BM38" s="30">
        <v>0</v>
      </c>
      <c r="BN38" s="4">
        <v>123.39135477000001</v>
      </c>
      <c r="BO38" s="28">
        <v>1.5109422869</v>
      </c>
      <c r="BP38" s="28">
        <v>2.7515857999999998E-3</v>
      </c>
      <c r="BQ38" s="28">
        <v>4.8889626E-6</v>
      </c>
      <c r="BR38" s="4">
        <v>111.5304762</v>
      </c>
      <c r="BS38" s="28">
        <v>3.7312639985999998</v>
      </c>
      <c r="BT38" s="4">
        <v>134.51471878999999</v>
      </c>
      <c r="BU38" s="28">
        <v>0.97644913519999998</v>
      </c>
      <c r="BV38" s="4">
        <v>31.561809844999999</v>
      </c>
      <c r="BW38" s="28">
        <v>0.1565493966</v>
      </c>
      <c r="BX38" s="4">
        <v>0.12091834160000001</v>
      </c>
      <c r="BY38" s="28">
        <v>7.8069339999999997E-4</v>
      </c>
      <c r="BZ38" s="4">
        <v>0</v>
      </c>
      <c r="CA38" s="33">
        <v>0</v>
      </c>
      <c r="CB38" s="29" t="s">
        <v>136</v>
      </c>
      <c r="CC38" s="30">
        <v>0</v>
      </c>
      <c r="CD38" s="4">
        <v>0.3740464154</v>
      </c>
      <c r="CE38" s="28">
        <v>5.4833987999999998E-3</v>
      </c>
      <c r="CF38" s="4">
        <v>18.300689236</v>
      </c>
      <c r="CG38" s="28">
        <v>0.14735679669999999</v>
      </c>
      <c r="CH38" s="29" t="s">
        <v>136</v>
      </c>
      <c r="CI38" s="30">
        <v>0</v>
      </c>
      <c r="CJ38" s="29" t="s">
        <v>136</v>
      </c>
      <c r="CK38" s="30">
        <v>0</v>
      </c>
      <c r="CL38" s="4">
        <v>7.5999462002999998</v>
      </c>
      <c r="CM38" s="28">
        <v>8.9757918000000006E-3</v>
      </c>
      <c r="CN38" s="4">
        <v>10.885958695999999</v>
      </c>
      <c r="CO38" s="28">
        <v>2.5195157700000002E-2</v>
      </c>
      <c r="CP38" s="29" t="s">
        <v>136</v>
      </c>
      <c r="CQ38" s="30">
        <v>0</v>
      </c>
      <c r="CR38" s="29" t="s">
        <v>136</v>
      </c>
      <c r="CS38" s="30">
        <v>0</v>
      </c>
      <c r="CT38" s="29" t="s">
        <v>136</v>
      </c>
      <c r="CU38" s="30">
        <v>0</v>
      </c>
      <c r="CV38" s="29" t="s">
        <v>136</v>
      </c>
      <c r="CW38" s="30">
        <v>0</v>
      </c>
      <c r="CX38" s="4">
        <v>8.6490430699999996E-2</v>
      </c>
      <c r="CY38" s="28">
        <v>1.0666797000000001E-3</v>
      </c>
      <c r="CZ38" s="4">
        <v>0.2244617834</v>
      </c>
      <c r="DA38" s="28">
        <v>2.2922029E-3</v>
      </c>
      <c r="DB38" s="4">
        <v>2.0570006038000002</v>
      </c>
      <c r="DC38" s="28">
        <v>2.4873850900000001E-2</v>
      </c>
      <c r="DD38" s="4">
        <v>26.36635558</v>
      </c>
      <c r="DE38" s="28">
        <v>0.63598112620000002</v>
      </c>
      <c r="DF38" s="29" t="s">
        <v>136</v>
      </c>
      <c r="DG38" s="30">
        <v>0</v>
      </c>
      <c r="DH38" s="29" t="s">
        <v>136</v>
      </c>
      <c r="DI38" s="30">
        <v>0</v>
      </c>
      <c r="DJ38" s="4">
        <v>17.895127894000002</v>
      </c>
      <c r="DK38" s="28">
        <v>0.3370614301</v>
      </c>
      <c r="DL38" s="4">
        <v>42.168302683</v>
      </c>
      <c r="DM38" s="28">
        <v>1.756503044</v>
      </c>
      <c r="DN38" s="4">
        <v>13.379704358</v>
      </c>
      <c r="DO38" s="28">
        <v>0.4881248332</v>
      </c>
      <c r="DP38" s="4">
        <v>110.01165041</v>
      </c>
      <c r="DQ38" s="28">
        <v>1.0228174537000001</v>
      </c>
      <c r="DR38" s="37">
        <v>1.4237983000000001E-3</v>
      </c>
      <c r="DS38" s="38">
        <v>2.4394335000000001E-3</v>
      </c>
      <c r="DT38" s="38">
        <v>2.6900044999999999E-3</v>
      </c>
      <c r="DU38" s="38">
        <v>2.7299122999999998E-3</v>
      </c>
      <c r="DV38" s="38">
        <v>2.7366947999999999E-3</v>
      </c>
      <c r="DW38" s="38">
        <v>2.7404664000000001E-3</v>
      </c>
      <c r="DX38" s="38">
        <v>2.7413734999999998E-3</v>
      </c>
      <c r="DY38" s="38">
        <v>2.7417447999999998E-3</v>
      </c>
      <c r="DZ38" s="38">
        <v>2.7421161999999998E-3</v>
      </c>
      <c r="EA38" s="39">
        <v>2.7424875999999998E-3</v>
      </c>
      <c r="EB38" s="40">
        <v>74.570245198999999</v>
      </c>
      <c r="EC38" s="30">
        <v>0.52397290549999997</v>
      </c>
      <c r="ED38" s="31">
        <v>35.945331119000002</v>
      </c>
      <c r="EE38" s="30">
        <v>0.26294377419999998</v>
      </c>
      <c r="EF38" s="31">
        <v>17.130005398000002</v>
      </c>
      <c r="EG38" s="30">
        <v>0.13039502140000001</v>
      </c>
      <c r="EH38" s="31">
        <v>8.1469702938000008</v>
      </c>
      <c r="EI38" s="30">
        <v>6.5134810000000001E-2</v>
      </c>
      <c r="EJ38" s="31">
        <v>3.9655166572999998</v>
      </c>
      <c r="EK38" s="30">
        <v>3.3871151500000002E-2</v>
      </c>
      <c r="EL38" s="31">
        <v>2.0037244530999998</v>
      </c>
      <c r="EM38" s="30">
        <v>1.87310363E-2</v>
      </c>
      <c r="EN38" s="31">
        <v>1.0596900461000001</v>
      </c>
      <c r="EO38" s="30">
        <v>1.11681096E-2</v>
      </c>
      <c r="EP38" s="31">
        <v>0.59769550709999997</v>
      </c>
      <c r="EQ38" s="30">
        <v>7.2780435000000003E-3</v>
      </c>
      <c r="ER38" s="31">
        <v>0.36072245650000001</v>
      </c>
      <c r="ES38" s="30">
        <v>5.1354679000000002E-3</v>
      </c>
      <c r="ET38" s="31">
        <v>0.2318013753</v>
      </c>
      <c r="EU38" s="36">
        <v>3.8658983000000001E-3</v>
      </c>
      <c r="EV38" s="31"/>
      <c r="EW38" s="30"/>
      <c r="EX38" s="31"/>
      <c r="EY38" s="30"/>
      <c r="EZ38" s="31"/>
      <c r="FA38" s="30"/>
      <c r="FB38" s="31"/>
      <c r="FC38" s="30"/>
      <c r="FD38" s="31"/>
      <c r="FE38" s="36"/>
    </row>
    <row r="39" spans="1:161" x14ac:dyDescent="0.2">
      <c r="A39" s="12">
        <v>3400</v>
      </c>
      <c r="B39" s="2">
        <v>25728</v>
      </c>
      <c r="C39" s="15">
        <f t="shared" si="0"/>
        <v>6.6194989630017657E-3</v>
      </c>
      <c r="D39" s="15">
        <f t="shared" si="5"/>
        <v>0.67661221000134031</v>
      </c>
      <c r="E39" s="15">
        <f t="shared" si="8"/>
        <v>504.10431544635242</v>
      </c>
      <c r="F39" s="26">
        <v>1813.5996528999999</v>
      </c>
      <c r="G39" s="4">
        <v>3349.7696627999999</v>
      </c>
      <c r="H39" s="41">
        <f t="shared" si="6"/>
        <v>0.33907502207934265</v>
      </c>
      <c r="I39" s="4">
        <f t="shared" si="1"/>
        <v>286.12292530519994</v>
      </c>
      <c r="J39" s="4">
        <f>(I39*SUM($B$5:$B39)-I38*SUM($B$5:$B38))/$B39</f>
        <v>1135.8232223746222</v>
      </c>
      <c r="K39" s="4">
        <f t="shared" si="2"/>
        <v>994.06521837050013</v>
      </c>
      <c r="L39" s="4">
        <f>(K39*SUM(B$5:B39)-K38*SUM(B$5:B38))/B39</f>
        <v>3470.3180801905319</v>
      </c>
      <c r="M39" s="41">
        <f t="shared" si="7"/>
        <v>3.5987076582981586E-2</v>
      </c>
      <c r="N39" s="4">
        <v>63.995399304999999</v>
      </c>
      <c r="O39" s="28">
        <v>7.3791368199999999E-2</v>
      </c>
      <c r="P39" s="26">
        <v>2.7119431292999998</v>
      </c>
      <c r="Q39" s="28">
        <v>1.527123E-3</v>
      </c>
      <c r="R39" s="4">
        <v>152.08032940999999</v>
      </c>
      <c r="S39" s="28">
        <v>1.0135279603</v>
      </c>
      <c r="T39" s="4">
        <v>78.909940706</v>
      </c>
      <c r="U39" s="28">
        <v>0.49123838549999999</v>
      </c>
      <c r="V39" s="4">
        <v>19.264977975000001</v>
      </c>
      <c r="W39" s="28">
        <v>0.15730200280000001</v>
      </c>
      <c r="X39" s="29" t="s">
        <v>136</v>
      </c>
      <c r="Y39" s="30">
        <v>0</v>
      </c>
      <c r="Z39" s="4">
        <v>19.531805253999998</v>
      </c>
      <c r="AA39" s="28">
        <v>3.5811609500000001E-2</v>
      </c>
      <c r="AB39" s="29" t="s">
        <v>136</v>
      </c>
      <c r="AC39" s="30">
        <v>0</v>
      </c>
      <c r="AD39" s="29" t="s">
        <v>136</v>
      </c>
      <c r="AE39" s="30">
        <v>0</v>
      </c>
      <c r="AF39" s="4">
        <v>0.33134081139999999</v>
      </c>
      <c r="AG39" s="28">
        <v>3.5635167999999999E-3</v>
      </c>
      <c r="AH39" s="4">
        <v>29.471852224999999</v>
      </c>
      <c r="AI39" s="28">
        <v>0.68325821229999995</v>
      </c>
      <c r="AJ39" s="29" t="s">
        <v>136</v>
      </c>
      <c r="AK39" s="30">
        <v>0</v>
      </c>
      <c r="AL39" s="4">
        <v>3.059103E-4</v>
      </c>
      <c r="AM39" s="28">
        <v>1.6097874000000001E-6</v>
      </c>
      <c r="AN39" s="29" t="s">
        <v>136</v>
      </c>
      <c r="AO39" s="30">
        <v>0</v>
      </c>
      <c r="AP39" s="29" t="s">
        <v>136</v>
      </c>
      <c r="AQ39" s="30">
        <v>0</v>
      </c>
      <c r="AR39" s="4">
        <f t="shared" si="3"/>
        <v>3.059103E-4</v>
      </c>
      <c r="AS39" s="28">
        <f t="shared" si="3"/>
        <v>1.6097874000000001E-6</v>
      </c>
      <c r="AT39" s="4">
        <v>103.50269779</v>
      </c>
      <c r="AU39" s="28">
        <v>1.4792266183</v>
      </c>
      <c r="AV39" s="29" t="s">
        <v>136</v>
      </c>
      <c r="AW39" s="30">
        <v>0</v>
      </c>
      <c r="AX39" s="29" t="s">
        <v>136</v>
      </c>
      <c r="AY39" s="30">
        <v>0</v>
      </c>
      <c r="AZ39" s="29" t="s">
        <v>136</v>
      </c>
      <c r="BA39" s="30">
        <v>0</v>
      </c>
      <c r="BB39" s="4">
        <v>61.327896160000002</v>
      </c>
      <c r="BC39" s="28">
        <v>2.1256881327000001</v>
      </c>
      <c r="BD39" s="4">
        <v>50.057898358999999</v>
      </c>
      <c r="BE39" s="28">
        <v>0.40915402680000001</v>
      </c>
      <c r="BF39" s="4">
        <v>22.950312957000001</v>
      </c>
      <c r="BG39" s="28">
        <v>0.24984121240000001</v>
      </c>
      <c r="BH39" s="4">
        <v>8.2711770520000005</v>
      </c>
      <c r="BI39" s="28">
        <v>7.4528068399999994E-2</v>
      </c>
      <c r="BJ39" s="31">
        <f t="shared" si="4"/>
        <v>18.836408349999999</v>
      </c>
      <c r="BK39" s="30">
        <f t="shared" si="4"/>
        <v>8.4784746000000022E-2</v>
      </c>
      <c r="BL39" s="4">
        <v>0</v>
      </c>
      <c r="BM39" s="30">
        <v>0</v>
      </c>
      <c r="BN39" s="4">
        <v>126.75560012</v>
      </c>
      <c r="BO39" s="28">
        <v>1.5393254778000001</v>
      </c>
      <c r="BP39" s="28">
        <v>2.9441040999999999E-3</v>
      </c>
      <c r="BQ39" s="28">
        <v>4.8045187E-6</v>
      </c>
      <c r="BR39" s="4">
        <v>113.43577218</v>
      </c>
      <c r="BS39" s="28">
        <v>3.7753605933999999</v>
      </c>
      <c r="BT39" s="4">
        <v>139.95782937999999</v>
      </c>
      <c r="BU39" s="28">
        <v>1.0128325512</v>
      </c>
      <c r="BV39" s="4">
        <v>32.601586560999998</v>
      </c>
      <c r="BW39" s="28">
        <v>0.16060964150000001</v>
      </c>
      <c r="BX39" s="4">
        <v>0.12773718419999999</v>
      </c>
      <c r="BY39" s="28">
        <v>8.0920760000000003E-4</v>
      </c>
      <c r="BZ39" s="4">
        <v>0</v>
      </c>
      <c r="CA39" s="33">
        <v>0</v>
      </c>
      <c r="CB39" s="29" t="s">
        <v>136</v>
      </c>
      <c r="CC39" s="30">
        <v>0</v>
      </c>
      <c r="CD39" s="4">
        <v>0.38935176690000001</v>
      </c>
      <c r="CE39" s="28">
        <v>5.6768766000000002E-3</v>
      </c>
      <c r="CF39" s="4">
        <v>18.875626208</v>
      </c>
      <c r="CG39" s="28">
        <v>0.15162512619999999</v>
      </c>
      <c r="CH39" s="29" t="s">
        <v>136</v>
      </c>
      <c r="CI39" s="30">
        <v>0</v>
      </c>
      <c r="CJ39" s="29" t="s">
        <v>136</v>
      </c>
      <c r="CK39" s="30">
        <v>0</v>
      </c>
      <c r="CL39" s="4">
        <v>8.1322501951999993</v>
      </c>
      <c r="CM39" s="28">
        <v>9.4840247999999992E-3</v>
      </c>
      <c r="CN39" s="4">
        <v>11.399555059000001</v>
      </c>
      <c r="CO39" s="28">
        <v>2.6327584800000001E-2</v>
      </c>
      <c r="CP39" s="29" t="s">
        <v>136</v>
      </c>
      <c r="CQ39" s="30">
        <v>0</v>
      </c>
      <c r="CR39" s="29" t="s">
        <v>136</v>
      </c>
      <c r="CS39" s="30">
        <v>0</v>
      </c>
      <c r="CT39" s="29" t="s">
        <v>136</v>
      </c>
      <c r="CU39" s="30">
        <v>0</v>
      </c>
      <c r="CV39" s="29" t="s">
        <v>136</v>
      </c>
      <c r="CW39" s="30">
        <v>0</v>
      </c>
      <c r="CX39" s="4">
        <v>9.0765921400000005E-2</v>
      </c>
      <c r="CY39" s="28">
        <v>1.1254959999999999E-3</v>
      </c>
      <c r="CZ39" s="4">
        <v>0.24057489000000001</v>
      </c>
      <c r="DA39" s="28">
        <v>2.4380208999999998E-3</v>
      </c>
      <c r="DB39" s="4">
        <v>2.1827395002999999</v>
      </c>
      <c r="DC39" s="28">
        <v>2.62752627E-2</v>
      </c>
      <c r="DD39" s="4">
        <v>27.289112724999999</v>
      </c>
      <c r="DE39" s="28">
        <v>0.65698294970000004</v>
      </c>
      <c r="DF39" s="29" t="s">
        <v>136</v>
      </c>
      <c r="DG39" s="30">
        <v>0</v>
      </c>
      <c r="DH39" s="29" t="s">
        <v>136</v>
      </c>
      <c r="DI39" s="30">
        <v>0</v>
      </c>
      <c r="DJ39" s="4">
        <v>18.355201635</v>
      </c>
      <c r="DK39" s="28">
        <v>0.34399306349999997</v>
      </c>
      <c r="DL39" s="4">
        <v>42.972694525000001</v>
      </c>
      <c r="DM39" s="28">
        <v>1.7816950692</v>
      </c>
      <c r="DN39" s="4">
        <v>14.135460331000001</v>
      </c>
      <c r="DO39" s="28">
        <v>0.49958713659999998</v>
      </c>
      <c r="DP39" s="4">
        <v>112.62013979</v>
      </c>
      <c r="DQ39" s="28">
        <v>1.0397383412000001</v>
      </c>
      <c r="DR39" s="37">
        <v>1.5189133000000001E-3</v>
      </c>
      <c r="DS39" s="38">
        <v>2.6073215999999999E-3</v>
      </c>
      <c r="DT39" s="38">
        <v>2.878313E-3</v>
      </c>
      <c r="DU39" s="38">
        <v>2.9218359000000001E-3</v>
      </c>
      <c r="DV39" s="38">
        <v>2.9289366999999998E-3</v>
      </c>
      <c r="DW39" s="38">
        <v>2.9330543000000001E-3</v>
      </c>
      <c r="DX39" s="38">
        <v>2.9339543E-3</v>
      </c>
      <c r="DY39" s="38">
        <v>2.9343233000000001E-3</v>
      </c>
      <c r="DZ39" s="38">
        <v>2.9346924000000002E-3</v>
      </c>
      <c r="EA39" s="39">
        <v>2.9350614999999998E-3</v>
      </c>
      <c r="EB39" s="40">
        <v>75.801653516000002</v>
      </c>
      <c r="EC39" s="30">
        <v>0.53246655809999999</v>
      </c>
      <c r="ED39" s="31">
        <v>36.776771771999996</v>
      </c>
      <c r="EE39" s="30">
        <v>0.26886330380000001</v>
      </c>
      <c r="EF39" s="31">
        <v>17.650009711999999</v>
      </c>
      <c r="EG39" s="30">
        <v>0.13425349189999999</v>
      </c>
      <c r="EH39" s="31">
        <v>8.4608005037999998</v>
      </c>
      <c r="EI39" s="30">
        <v>6.7580464500000006E-2</v>
      </c>
      <c r="EJ39" s="31">
        <v>4.1498988967999999</v>
      </c>
      <c r="EK39" s="30">
        <v>3.5406994800000001E-2</v>
      </c>
      <c r="EL39" s="31">
        <v>2.1117055943</v>
      </c>
      <c r="EM39" s="30">
        <v>1.9712847299999999E-2</v>
      </c>
      <c r="EN39" s="31">
        <v>1.1238057314000001</v>
      </c>
      <c r="EO39" s="30">
        <v>1.18211836E-2</v>
      </c>
      <c r="EP39" s="31">
        <v>0.63771235410000005</v>
      </c>
      <c r="EQ39" s="30">
        <v>7.7423407999999997E-3</v>
      </c>
      <c r="ER39" s="31">
        <v>0.38715533120000001</v>
      </c>
      <c r="ES39" s="30">
        <v>5.4865388000000003E-3</v>
      </c>
      <c r="ET39" s="31">
        <v>0.2500451541</v>
      </c>
      <c r="EU39" s="36">
        <v>4.1440111999999996E-3</v>
      </c>
      <c r="EV39" s="31"/>
      <c r="EW39" s="30"/>
      <c r="EX39" s="31"/>
      <c r="EY39" s="30"/>
      <c r="EZ39" s="31"/>
      <c r="FA39" s="30"/>
      <c r="FB39" s="31"/>
      <c r="FC39" s="30"/>
      <c r="FD39" s="31"/>
      <c r="FE39" s="36"/>
    </row>
    <row r="40" spans="1:161" x14ac:dyDescent="0.2">
      <c r="A40" s="12">
        <v>3500</v>
      </c>
      <c r="B40" s="2">
        <v>24567</v>
      </c>
      <c r="C40" s="15">
        <f t="shared" si="0"/>
        <v>6.3207878973905616E-3</v>
      </c>
      <c r="D40" s="15">
        <f t="shared" si="5"/>
        <v>0.68293299789873085</v>
      </c>
      <c r="E40" s="15">
        <f t="shared" si="8"/>
        <v>517.43071514547751</v>
      </c>
      <c r="F40" s="26">
        <v>1848.0603255000001</v>
      </c>
      <c r="G40" s="4">
        <v>3449.8662257999999</v>
      </c>
      <c r="H40" s="41">
        <f t="shared" si="6"/>
        <v>0.34194144696493711</v>
      </c>
      <c r="I40" s="4">
        <f t="shared" si="1"/>
        <v>294.39285713319998</v>
      </c>
      <c r="J40" s="4">
        <f>(I40*SUM($B$5:$B40)-I39*SUM($B$5:$B39))/$B40</f>
        <v>1179.6522490855184</v>
      </c>
      <c r="K40" s="4">
        <f t="shared" si="2"/>
        <v>1017.9451898126999</v>
      </c>
      <c r="L40" s="4">
        <f>(K40*SUM(B$5:B40)-K39*SUM(B$5:B39))/B40</f>
        <v>3574.189840728141</v>
      </c>
      <c r="M40" s="41">
        <f t="shared" si="7"/>
        <v>3.6037227762160923E-2</v>
      </c>
      <c r="N40" s="4">
        <v>66.067267556000004</v>
      </c>
      <c r="O40" s="28">
        <v>7.5154420700000002E-2</v>
      </c>
      <c r="P40" s="26">
        <v>2.9445314021</v>
      </c>
      <c r="Q40" s="28">
        <v>1.6319218E-3</v>
      </c>
      <c r="R40" s="4">
        <v>153.63247752999999</v>
      </c>
      <c r="S40" s="28">
        <v>1.0238034077</v>
      </c>
      <c r="T40" s="4">
        <v>80.273372355999996</v>
      </c>
      <c r="U40" s="28">
        <v>0.49973984849999997</v>
      </c>
      <c r="V40" s="4">
        <v>19.819092214000001</v>
      </c>
      <c r="W40" s="28">
        <v>0.161557216</v>
      </c>
      <c r="X40" s="29" t="s">
        <v>136</v>
      </c>
      <c r="Y40" s="30">
        <v>0</v>
      </c>
      <c r="Z40" s="4">
        <v>20.61409067</v>
      </c>
      <c r="AA40" s="28">
        <v>3.7453976799999997E-2</v>
      </c>
      <c r="AB40" s="29" t="s">
        <v>136</v>
      </c>
      <c r="AC40" s="30">
        <v>0</v>
      </c>
      <c r="AD40" s="29" t="s">
        <v>136</v>
      </c>
      <c r="AE40" s="30">
        <v>0</v>
      </c>
      <c r="AF40" s="4">
        <v>0.3542479872</v>
      </c>
      <c r="AG40" s="28">
        <v>3.8232438999999999E-3</v>
      </c>
      <c r="AH40" s="4">
        <v>30.436216626</v>
      </c>
      <c r="AI40" s="28">
        <v>0.70413437690000003</v>
      </c>
      <c r="AJ40" s="29" t="s">
        <v>136</v>
      </c>
      <c r="AK40" s="30">
        <v>0</v>
      </c>
      <c r="AL40" s="4">
        <v>3.0333410000000003E-4</v>
      </c>
      <c r="AM40" s="28">
        <v>1.5960283E-6</v>
      </c>
      <c r="AN40" s="29" t="s">
        <v>136</v>
      </c>
      <c r="AO40" s="30">
        <v>0</v>
      </c>
      <c r="AP40" s="29" t="s">
        <v>136</v>
      </c>
      <c r="AQ40" s="30">
        <v>0</v>
      </c>
      <c r="AR40" s="4">
        <f t="shared" si="3"/>
        <v>3.0333410000000003E-4</v>
      </c>
      <c r="AS40" s="28">
        <f t="shared" si="3"/>
        <v>1.5960283E-6</v>
      </c>
      <c r="AT40" s="4">
        <v>105.43384422</v>
      </c>
      <c r="AU40" s="28">
        <v>1.4964282166</v>
      </c>
      <c r="AV40" s="29" t="s">
        <v>136</v>
      </c>
      <c r="AW40" s="30">
        <v>0</v>
      </c>
      <c r="AX40" s="29" t="s">
        <v>136</v>
      </c>
      <c r="AY40" s="30">
        <v>0</v>
      </c>
      <c r="AZ40" s="29" t="s">
        <v>136</v>
      </c>
      <c r="BA40" s="30">
        <v>0</v>
      </c>
      <c r="BB40" s="4">
        <v>62.566965869000001</v>
      </c>
      <c r="BC40" s="28">
        <v>2.1570353973</v>
      </c>
      <c r="BD40" s="4">
        <v>51.377939251000001</v>
      </c>
      <c r="BE40" s="28">
        <v>0.4168558664</v>
      </c>
      <c r="BF40" s="4">
        <v>23.536231104999999</v>
      </c>
      <c r="BG40" s="28">
        <v>0.25462990520000001</v>
      </c>
      <c r="BH40" s="4">
        <v>8.4305306928999997</v>
      </c>
      <c r="BI40" s="28">
        <v>7.5580145200000004E-2</v>
      </c>
      <c r="BJ40" s="31">
        <f t="shared" si="4"/>
        <v>19.411177453100002</v>
      </c>
      <c r="BK40" s="30">
        <f t="shared" si="4"/>
        <v>8.6645815999999987E-2</v>
      </c>
      <c r="BL40" s="4">
        <v>0</v>
      </c>
      <c r="BM40" s="30">
        <v>0</v>
      </c>
      <c r="BN40" s="4">
        <v>130.03168033</v>
      </c>
      <c r="BO40" s="28">
        <v>1.5658184396999999</v>
      </c>
      <c r="BP40" s="28">
        <v>3.1547978999999999E-3</v>
      </c>
      <c r="BQ40" s="28">
        <v>4.7245123000000004E-6</v>
      </c>
      <c r="BR40" s="4">
        <v>115.34656231</v>
      </c>
      <c r="BS40" s="28">
        <v>3.8183564706999999</v>
      </c>
      <c r="BT40" s="4">
        <v>145.22419113000001</v>
      </c>
      <c r="BU40" s="28">
        <v>1.0480058881000001</v>
      </c>
      <c r="BV40" s="4">
        <v>33.687592320999997</v>
      </c>
      <c r="BW40" s="28">
        <v>0.1647077136</v>
      </c>
      <c r="BX40" s="4">
        <v>0.13451137220000001</v>
      </c>
      <c r="BY40" s="28">
        <v>8.2743539999999998E-4</v>
      </c>
      <c r="BZ40" s="4">
        <v>0</v>
      </c>
      <c r="CA40" s="33">
        <v>0</v>
      </c>
      <c r="CB40" s="29" t="s">
        <v>136</v>
      </c>
      <c r="CC40" s="30">
        <v>0</v>
      </c>
      <c r="CD40" s="4">
        <v>0.40671765510000002</v>
      </c>
      <c r="CE40" s="28">
        <v>5.8529428000000001E-3</v>
      </c>
      <c r="CF40" s="4">
        <v>19.412374559</v>
      </c>
      <c r="CG40" s="28">
        <v>0.15570427319999999</v>
      </c>
      <c r="CH40" s="29" t="s">
        <v>136</v>
      </c>
      <c r="CI40" s="30">
        <v>0</v>
      </c>
      <c r="CJ40" s="29" t="s">
        <v>136</v>
      </c>
      <c r="CK40" s="30">
        <v>0</v>
      </c>
      <c r="CL40" s="4">
        <v>8.6898909479000004</v>
      </c>
      <c r="CM40" s="28">
        <v>1.0000063999999999E-2</v>
      </c>
      <c r="CN40" s="4">
        <v>11.924199721999999</v>
      </c>
      <c r="CO40" s="28">
        <v>2.7453912800000001E-2</v>
      </c>
      <c r="CP40" s="29" t="s">
        <v>136</v>
      </c>
      <c r="CQ40" s="30">
        <v>0</v>
      </c>
      <c r="CR40" s="29" t="s">
        <v>136</v>
      </c>
      <c r="CS40" s="30">
        <v>0</v>
      </c>
      <c r="CT40" s="29" t="s">
        <v>136</v>
      </c>
      <c r="CU40" s="30">
        <v>0</v>
      </c>
      <c r="CV40" s="29" t="s">
        <v>136</v>
      </c>
      <c r="CW40" s="30">
        <v>0</v>
      </c>
      <c r="CX40" s="4">
        <v>9.8284690600000002E-2</v>
      </c>
      <c r="CY40" s="28">
        <v>1.2331842000000001E-3</v>
      </c>
      <c r="CZ40" s="4">
        <v>0.25596329670000001</v>
      </c>
      <c r="DA40" s="28">
        <v>2.5900596999999998E-3</v>
      </c>
      <c r="DB40" s="4">
        <v>2.2742786251</v>
      </c>
      <c r="DC40" s="28">
        <v>2.73449053E-2</v>
      </c>
      <c r="DD40" s="4">
        <v>28.161938000999999</v>
      </c>
      <c r="DE40" s="28">
        <v>0.67678947160000003</v>
      </c>
      <c r="DF40" s="29" t="s">
        <v>136</v>
      </c>
      <c r="DG40" s="30">
        <v>0</v>
      </c>
      <c r="DH40" s="29" t="s">
        <v>136</v>
      </c>
      <c r="DI40" s="30">
        <v>0</v>
      </c>
      <c r="DJ40" s="4">
        <v>18.802953417000001</v>
      </c>
      <c r="DK40" s="28">
        <v>0.35070979029999999</v>
      </c>
      <c r="DL40" s="4">
        <v>43.764012452999999</v>
      </c>
      <c r="DM40" s="28">
        <v>1.806325607</v>
      </c>
      <c r="DN40" s="4">
        <v>14.903597626</v>
      </c>
      <c r="DO40" s="28">
        <v>0.51040621419999999</v>
      </c>
      <c r="DP40" s="4">
        <v>115.12808269999999</v>
      </c>
      <c r="DQ40" s="28">
        <v>1.0554122255</v>
      </c>
      <c r="DR40" s="37">
        <v>1.6225428999999999E-3</v>
      </c>
      <c r="DS40" s="38">
        <v>2.7906166999999999E-3</v>
      </c>
      <c r="DT40" s="38">
        <v>3.0810421E-3</v>
      </c>
      <c r="DU40" s="38">
        <v>3.1286826E-3</v>
      </c>
      <c r="DV40" s="38">
        <v>3.1364550999999998E-3</v>
      </c>
      <c r="DW40" s="38">
        <v>3.1412698999999998E-3</v>
      </c>
      <c r="DX40" s="38">
        <v>3.1428926999999998E-3</v>
      </c>
      <c r="DY40" s="38">
        <v>3.1439889999999998E-3</v>
      </c>
      <c r="DZ40" s="38">
        <v>3.1448986999999999E-3</v>
      </c>
      <c r="EA40" s="39">
        <v>3.1458084000000001E-3</v>
      </c>
      <c r="EB40" s="40">
        <v>76.986972816000005</v>
      </c>
      <c r="EC40" s="30">
        <v>0.54047920009999995</v>
      </c>
      <c r="ED40" s="31">
        <v>37.574896179</v>
      </c>
      <c r="EE40" s="30">
        <v>0.27441921289999999</v>
      </c>
      <c r="EF40" s="31">
        <v>18.149899175000002</v>
      </c>
      <c r="EG40" s="30">
        <v>0.13785164529999999</v>
      </c>
      <c r="EH40" s="31">
        <v>8.7608443040000008</v>
      </c>
      <c r="EI40" s="30">
        <v>6.9835912299999997E-2</v>
      </c>
      <c r="EJ40" s="31">
        <v>4.3273815371</v>
      </c>
      <c r="EK40" s="30">
        <v>3.6819272299999997E-2</v>
      </c>
      <c r="EL40" s="31">
        <v>2.2198074471</v>
      </c>
      <c r="EM40" s="30">
        <v>2.0628466599999999E-2</v>
      </c>
      <c r="EN40" s="31">
        <v>1.1899276598999999</v>
      </c>
      <c r="EO40" s="30">
        <v>1.24275989E-2</v>
      </c>
      <c r="EP40" s="31">
        <v>0.67866038080000002</v>
      </c>
      <c r="EQ40" s="30">
        <v>8.1588583000000003E-3</v>
      </c>
      <c r="ER40" s="31">
        <v>0.41303552269999999</v>
      </c>
      <c r="ES40" s="30">
        <v>5.7850187000000001E-3</v>
      </c>
      <c r="ET40" s="31">
        <v>0.2668118391</v>
      </c>
      <c r="EU40" s="36">
        <v>4.3679671999999996E-3</v>
      </c>
      <c r="EV40" s="31"/>
      <c r="EW40" s="30"/>
      <c r="EX40" s="31"/>
      <c r="EY40" s="30"/>
      <c r="EZ40" s="31"/>
      <c r="FA40" s="30"/>
      <c r="FB40" s="31"/>
      <c r="FC40" s="30"/>
      <c r="FD40" s="31"/>
      <c r="FE40" s="36"/>
    </row>
    <row r="41" spans="1:161" x14ac:dyDescent="0.2">
      <c r="A41" s="12">
        <v>3600</v>
      </c>
      <c r="B41" s="2">
        <v>24027</v>
      </c>
      <c r="C41" s="15">
        <f t="shared" si="0"/>
        <v>6.1818525180365137E-3</v>
      </c>
      <c r="D41" s="15">
        <f t="shared" si="5"/>
        <v>0.68911485041676734</v>
      </c>
      <c r="E41" s="15">
        <f t="shared" si="8"/>
        <v>530.70271118774929</v>
      </c>
      <c r="F41" s="26">
        <v>1881.8808792</v>
      </c>
      <c r="G41" s="4">
        <v>3549.7953802000002</v>
      </c>
      <c r="H41" s="41">
        <f t="shared" si="6"/>
        <v>0.34336371735396887</v>
      </c>
      <c r="I41" s="4">
        <f t="shared" si="1"/>
        <v>302.68608597029998</v>
      </c>
      <c r="J41" s="4">
        <f>(I41*SUM($B$5:$B41)-I40*SUM($B$5:$B40))/$B41</f>
        <v>1218.8709375914173</v>
      </c>
      <c r="K41" s="4">
        <f t="shared" si="2"/>
        <v>1041.9350195367001</v>
      </c>
      <c r="L41" s="4">
        <f>(K41*SUM(B$5:B41)-K40*SUM(B$5:B40))/B41</f>
        <v>3692.1836763414822</v>
      </c>
      <c r="M41" s="41">
        <f t="shared" si="7"/>
        <v>4.0111691207806922E-2</v>
      </c>
      <c r="N41" s="4">
        <v>68.114513458999994</v>
      </c>
      <c r="O41" s="28">
        <v>7.6479163099999997E-2</v>
      </c>
      <c r="P41" s="26">
        <v>3.1821156535999999</v>
      </c>
      <c r="Q41" s="28">
        <v>1.7350835000000001E-3</v>
      </c>
      <c r="R41" s="4">
        <v>155.13924914</v>
      </c>
      <c r="S41" s="28">
        <v>1.0337507786</v>
      </c>
      <c r="T41" s="4">
        <v>81.545785339999995</v>
      </c>
      <c r="U41" s="28">
        <v>0.50779931410000001</v>
      </c>
      <c r="V41" s="4">
        <v>20.395996061000002</v>
      </c>
      <c r="W41" s="28">
        <v>0.1659705031</v>
      </c>
      <c r="X41" s="29" t="s">
        <v>136</v>
      </c>
      <c r="Y41" s="30">
        <v>0</v>
      </c>
      <c r="Z41" s="4">
        <v>21.684358877000001</v>
      </c>
      <c r="AA41" s="28">
        <v>3.90673323E-2</v>
      </c>
      <c r="AB41" s="29" t="s">
        <v>136</v>
      </c>
      <c r="AC41" s="30">
        <v>0</v>
      </c>
      <c r="AD41" s="29" t="s">
        <v>136</v>
      </c>
      <c r="AE41" s="30">
        <v>0</v>
      </c>
      <c r="AF41" s="4">
        <v>0.3742094494</v>
      </c>
      <c r="AG41" s="28">
        <v>4.0462763000000002E-3</v>
      </c>
      <c r="AH41" s="4">
        <v>31.445295274999999</v>
      </c>
      <c r="AI41" s="28">
        <v>0.7259759227</v>
      </c>
      <c r="AJ41" s="29" t="s">
        <v>136</v>
      </c>
      <c r="AK41" s="30">
        <v>0</v>
      </c>
      <c r="AL41" s="4">
        <v>3.566272E-4</v>
      </c>
      <c r="AM41" s="28">
        <v>1.7681819000000001E-6</v>
      </c>
      <c r="AN41" s="29" t="s">
        <v>136</v>
      </c>
      <c r="AO41" s="30">
        <v>0</v>
      </c>
      <c r="AP41" s="29" t="s">
        <v>136</v>
      </c>
      <c r="AQ41" s="30">
        <v>0</v>
      </c>
      <c r="AR41" s="4">
        <f t="shared" si="3"/>
        <v>3.566272E-4</v>
      </c>
      <c r="AS41" s="28">
        <f t="shared" si="3"/>
        <v>1.7681819000000001E-6</v>
      </c>
      <c r="AT41" s="4">
        <v>107.36783008</v>
      </c>
      <c r="AU41" s="28">
        <v>1.5130684135000001</v>
      </c>
      <c r="AV41" s="29" t="s">
        <v>136</v>
      </c>
      <c r="AW41" s="30">
        <v>0</v>
      </c>
      <c r="AX41" s="29" t="s">
        <v>136</v>
      </c>
      <c r="AY41" s="30">
        <v>0</v>
      </c>
      <c r="AZ41" s="29" t="s">
        <v>136</v>
      </c>
      <c r="BA41" s="30">
        <v>0</v>
      </c>
      <c r="BB41" s="4">
        <v>63.782665407000003</v>
      </c>
      <c r="BC41" s="28">
        <v>2.1876195933</v>
      </c>
      <c r="BD41" s="4">
        <v>52.717461110000002</v>
      </c>
      <c r="BE41" s="28">
        <v>0.42476475180000001</v>
      </c>
      <c r="BF41" s="4">
        <v>24.119438709000001</v>
      </c>
      <c r="BG41" s="28">
        <v>0.25946744259999999</v>
      </c>
      <c r="BH41" s="4">
        <v>8.6199794373999996</v>
      </c>
      <c r="BI41" s="28">
        <v>7.6746873500000007E-2</v>
      </c>
      <c r="BJ41" s="31">
        <f t="shared" si="4"/>
        <v>19.978042963600004</v>
      </c>
      <c r="BK41" s="30">
        <f t="shared" si="4"/>
        <v>8.8550435700000041E-2</v>
      </c>
      <c r="BL41" s="4">
        <v>0</v>
      </c>
      <c r="BM41" s="30">
        <v>0</v>
      </c>
      <c r="BN41" s="4">
        <v>133.49874045999999</v>
      </c>
      <c r="BO41" s="28">
        <v>1.5928965224</v>
      </c>
      <c r="BP41" s="28">
        <v>3.3720668999999998E-3</v>
      </c>
      <c r="BQ41" s="28">
        <v>4.6456877000000001E-6</v>
      </c>
      <c r="BR41" s="4">
        <v>117.19155480000001</v>
      </c>
      <c r="BS41" s="28">
        <v>3.8603418226000001</v>
      </c>
      <c r="BT41" s="4">
        <v>150.65281783</v>
      </c>
      <c r="BU41" s="28">
        <v>1.0839510523</v>
      </c>
      <c r="BV41" s="4">
        <v>34.698363467</v>
      </c>
      <c r="BW41" s="28">
        <v>0.16863954240000001</v>
      </c>
      <c r="BX41" s="4">
        <v>0.14334987330000001</v>
      </c>
      <c r="BY41" s="28">
        <v>8.4873779999999996E-4</v>
      </c>
      <c r="BZ41" s="4">
        <v>0</v>
      </c>
      <c r="CA41" s="33">
        <v>0</v>
      </c>
      <c r="CB41" s="29" t="s">
        <v>136</v>
      </c>
      <c r="CC41" s="30">
        <v>0</v>
      </c>
      <c r="CD41" s="4">
        <v>0.41861500829999998</v>
      </c>
      <c r="CE41" s="28">
        <v>6.0196852000000004E-3</v>
      </c>
      <c r="CF41" s="4">
        <v>19.977381052999998</v>
      </c>
      <c r="CG41" s="28">
        <v>0.15995081789999999</v>
      </c>
      <c r="CH41" s="29" t="s">
        <v>136</v>
      </c>
      <c r="CI41" s="30">
        <v>0</v>
      </c>
      <c r="CJ41" s="29" t="s">
        <v>136</v>
      </c>
      <c r="CK41" s="30">
        <v>0</v>
      </c>
      <c r="CL41" s="4">
        <v>9.2336595020000001</v>
      </c>
      <c r="CM41" s="28">
        <v>1.05006758E-2</v>
      </c>
      <c r="CN41" s="4">
        <v>12.450699374999999</v>
      </c>
      <c r="CO41" s="28">
        <v>2.8566656499999999E-2</v>
      </c>
      <c r="CP41" s="29" t="s">
        <v>136</v>
      </c>
      <c r="CQ41" s="30">
        <v>0</v>
      </c>
      <c r="CR41" s="29" t="s">
        <v>136</v>
      </c>
      <c r="CS41" s="30">
        <v>0</v>
      </c>
      <c r="CT41" s="29" t="s">
        <v>136</v>
      </c>
      <c r="CU41" s="30">
        <v>0</v>
      </c>
      <c r="CV41" s="29" t="s">
        <v>136</v>
      </c>
      <c r="CW41" s="30">
        <v>0</v>
      </c>
      <c r="CX41" s="4">
        <v>0.10631801489999999</v>
      </c>
      <c r="CY41" s="28">
        <v>1.3144207E-3</v>
      </c>
      <c r="CZ41" s="4">
        <v>0.26789143450000003</v>
      </c>
      <c r="DA41" s="28">
        <v>2.7318556999999999E-3</v>
      </c>
      <c r="DB41" s="4">
        <v>2.3789955443999999</v>
      </c>
      <c r="DC41" s="28">
        <v>2.8432321100000001E-2</v>
      </c>
      <c r="DD41" s="4">
        <v>29.066299731000001</v>
      </c>
      <c r="DE41" s="28">
        <v>0.69754360159999995</v>
      </c>
      <c r="DF41" s="29" t="s">
        <v>136</v>
      </c>
      <c r="DG41" s="30">
        <v>0</v>
      </c>
      <c r="DH41" s="29" t="s">
        <v>136</v>
      </c>
      <c r="DI41" s="30">
        <v>0</v>
      </c>
      <c r="DJ41" s="4">
        <v>19.245250484</v>
      </c>
      <c r="DK41" s="28">
        <v>0.3574284774</v>
      </c>
      <c r="DL41" s="4">
        <v>44.537414922000004</v>
      </c>
      <c r="DM41" s="28">
        <v>1.8301911157999999</v>
      </c>
      <c r="DN41" s="4">
        <v>15.770107625</v>
      </c>
      <c r="DO41" s="28">
        <v>0.52173500829999997</v>
      </c>
      <c r="DP41" s="4">
        <v>117.72863283</v>
      </c>
      <c r="DQ41" s="28">
        <v>1.0711615141999999</v>
      </c>
      <c r="DR41" s="37">
        <v>1.7233645E-3</v>
      </c>
      <c r="DS41" s="38">
        <v>2.9721484000000001E-3</v>
      </c>
      <c r="DT41" s="38">
        <v>3.2863147000000001E-3</v>
      </c>
      <c r="DU41" s="38">
        <v>3.3387054000000001E-3</v>
      </c>
      <c r="DV41" s="38">
        <v>3.3477564E-3</v>
      </c>
      <c r="DW41" s="38">
        <v>3.3536866E-3</v>
      </c>
      <c r="DX41" s="38">
        <v>3.3564490000000001E-3</v>
      </c>
      <c r="DY41" s="38">
        <v>3.3580785000000002E-3</v>
      </c>
      <c r="DZ41" s="38">
        <v>3.3595229000000001E-3</v>
      </c>
      <c r="EA41" s="39">
        <v>3.3609673E-3</v>
      </c>
      <c r="EB41" s="40">
        <v>78.133921103000006</v>
      </c>
      <c r="EC41" s="30">
        <v>0.54822630750000001</v>
      </c>
      <c r="ED41" s="31">
        <v>38.339842275999999</v>
      </c>
      <c r="EE41" s="30">
        <v>0.27975153930000002</v>
      </c>
      <c r="EF41" s="31">
        <v>18.625707854000002</v>
      </c>
      <c r="EG41" s="30">
        <v>0.1412985786</v>
      </c>
      <c r="EH41" s="31">
        <v>9.0467013193000003</v>
      </c>
      <c r="EI41" s="30">
        <v>7.2006234500000002E-2</v>
      </c>
      <c r="EJ41" s="31">
        <v>4.4979377263</v>
      </c>
      <c r="EK41" s="30">
        <v>3.8199202799999998E-2</v>
      </c>
      <c r="EL41" s="31">
        <v>2.3214949794000002</v>
      </c>
      <c r="EM41" s="30">
        <v>2.1521737400000001E-2</v>
      </c>
      <c r="EN41" s="31">
        <v>1.2536017501000001</v>
      </c>
      <c r="EO41" s="30">
        <v>1.3038134599999999E-2</v>
      </c>
      <c r="EP41" s="31">
        <v>0.71972816419999996</v>
      </c>
      <c r="EQ41" s="30">
        <v>8.5941833000000006E-3</v>
      </c>
      <c r="ER41" s="31">
        <v>0.4400977016</v>
      </c>
      <c r="ES41" s="30">
        <v>6.1074375999999996E-3</v>
      </c>
      <c r="ET41" s="31">
        <v>0.28507926729999999</v>
      </c>
      <c r="EU41" s="36">
        <v>4.6153747E-3</v>
      </c>
      <c r="EV41" s="31"/>
      <c r="EW41" s="30"/>
      <c r="EX41" s="31"/>
      <c r="EY41" s="30"/>
      <c r="EZ41" s="31"/>
      <c r="FA41" s="30"/>
      <c r="FB41" s="31"/>
      <c r="FC41" s="30"/>
      <c r="FD41" s="31"/>
      <c r="FE41" s="36"/>
    </row>
    <row r="42" spans="1:161" x14ac:dyDescent="0.2">
      <c r="A42" s="12">
        <v>3700</v>
      </c>
      <c r="B42" s="2">
        <v>22892</v>
      </c>
      <c r="C42" s="15">
        <f t="shared" si="0"/>
        <v>5.8898309336534683E-3</v>
      </c>
      <c r="D42" s="15">
        <f t="shared" si="5"/>
        <v>0.69500468135042082</v>
      </c>
      <c r="E42" s="15">
        <f t="shared" si="8"/>
        <v>543.5706217729745</v>
      </c>
      <c r="F42" s="26">
        <v>1915.0482993000001</v>
      </c>
      <c r="G42" s="4">
        <v>3649.6508484000001</v>
      </c>
      <c r="H42" s="41">
        <f t="shared" si="6"/>
        <v>0.339316485957741</v>
      </c>
      <c r="I42" s="4">
        <f t="shared" si="1"/>
        <v>310.61569935860001</v>
      </c>
      <c r="J42" s="4">
        <f>(I42*SUM($B$5:$B42)-I41*SUM($B$5:$B41))/$B42</f>
        <v>1238.3867008517761</v>
      </c>
      <c r="K42" s="4">
        <f t="shared" si="2"/>
        <v>1065.1198659984</v>
      </c>
      <c r="L42" s="4">
        <f>(K42*SUM(B$5:B42)-K41*SUM(B$5:B41))/B42</f>
        <v>3777.7651322827187</v>
      </c>
      <c r="M42" s="41">
        <f t="shared" si="7"/>
        <v>3.5103161700764794E-2</v>
      </c>
      <c r="N42" s="4">
        <v>70.097962081999995</v>
      </c>
      <c r="O42" s="28">
        <v>7.7821021099999999E-2</v>
      </c>
      <c r="P42" s="26">
        <v>3.4302643089</v>
      </c>
      <c r="Q42" s="28">
        <v>1.8418563000000001E-3</v>
      </c>
      <c r="R42" s="4">
        <v>156.60713605999999</v>
      </c>
      <c r="S42" s="28">
        <v>1.0435814132000001</v>
      </c>
      <c r="T42" s="4">
        <v>82.812962229999997</v>
      </c>
      <c r="U42" s="28">
        <v>0.5157617431</v>
      </c>
      <c r="V42" s="4">
        <v>20.996546937000002</v>
      </c>
      <c r="W42" s="28">
        <v>0.17062087519999999</v>
      </c>
      <c r="X42" s="29" t="s">
        <v>136</v>
      </c>
      <c r="Y42" s="30">
        <v>0</v>
      </c>
      <c r="Z42" s="4">
        <v>22.747662486999999</v>
      </c>
      <c r="AA42" s="28">
        <v>4.0688320600000001E-2</v>
      </c>
      <c r="AB42" s="29" t="s">
        <v>136</v>
      </c>
      <c r="AC42" s="30">
        <v>0</v>
      </c>
      <c r="AD42" s="29" t="s">
        <v>136</v>
      </c>
      <c r="AE42" s="30">
        <v>0</v>
      </c>
      <c r="AF42" s="4">
        <v>0.39242441410000001</v>
      </c>
      <c r="AG42" s="28">
        <v>4.2646782000000001E-3</v>
      </c>
      <c r="AH42" s="4">
        <v>32.483227775000003</v>
      </c>
      <c r="AI42" s="28">
        <v>0.74855869220000004</v>
      </c>
      <c r="AJ42" s="29" t="s">
        <v>136</v>
      </c>
      <c r="AK42" s="30">
        <v>0</v>
      </c>
      <c r="AL42" s="4">
        <v>3.5387739999999997E-4</v>
      </c>
      <c r="AM42" s="28">
        <v>1.7544687000000001E-6</v>
      </c>
      <c r="AN42" s="29" t="s">
        <v>136</v>
      </c>
      <c r="AO42" s="30">
        <v>0</v>
      </c>
      <c r="AP42" s="29" t="s">
        <v>136</v>
      </c>
      <c r="AQ42" s="30">
        <v>0</v>
      </c>
      <c r="AR42" s="4">
        <f t="shared" si="3"/>
        <v>3.5387739999999997E-4</v>
      </c>
      <c r="AS42" s="28">
        <f t="shared" si="3"/>
        <v>1.7544687000000001E-6</v>
      </c>
      <c r="AT42" s="4">
        <v>109.16732826000001</v>
      </c>
      <c r="AU42" s="28">
        <v>1.5287740836999999</v>
      </c>
      <c r="AV42" s="29" t="s">
        <v>136</v>
      </c>
      <c r="AW42" s="30">
        <v>0</v>
      </c>
      <c r="AX42" s="29" t="s">
        <v>136</v>
      </c>
      <c r="AY42" s="30">
        <v>0</v>
      </c>
      <c r="AZ42" s="29" t="s">
        <v>136</v>
      </c>
      <c r="BA42" s="30">
        <v>0</v>
      </c>
      <c r="BB42" s="4">
        <v>64.922376670000006</v>
      </c>
      <c r="BC42" s="28">
        <v>2.2166696653</v>
      </c>
      <c r="BD42" s="4">
        <v>53.994883751000003</v>
      </c>
      <c r="BE42" s="28">
        <v>0.43238969150000001</v>
      </c>
      <c r="BF42" s="4">
        <v>24.690888405999999</v>
      </c>
      <c r="BG42" s="28">
        <v>0.26426131009999998</v>
      </c>
      <c r="BH42" s="4">
        <v>8.7813930806999991</v>
      </c>
      <c r="BI42" s="28">
        <v>7.7770410900000003E-2</v>
      </c>
      <c r="BJ42" s="31">
        <f t="shared" si="4"/>
        <v>20.522602264300005</v>
      </c>
      <c r="BK42" s="30">
        <f t="shared" si="4"/>
        <v>9.0357970499999996E-2</v>
      </c>
      <c r="BL42" s="4">
        <v>0</v>
      </c>
      <c r="BM42" s="30">
        <v>0</v>
      </c>
      <c r="BN42" s="4">
        <v>136.85068390999999</v>
      </c>
      <c r="BO42" s="28">
        <v>1.6187587861999999</v>
      </c>
      <c r="BP42" s="28">
        <v>3.5882314E-3</v>
      </c>
      <c r="BQ42" s="28">
        <v>4.5736519000000004E-6</v>
      </c>
      <c r="BR42" s="4">
        <v>118.90194743000001</v>
      </c>
      <c r="BS42" s="28">
        <v>3.8994110318000001</v>
      </c>
      <c r="BT42" s="4">
        <v>155.83349870999999</v>
      </c>
      <c r="BU42" s="28">
        <v>1.1186059584000001</v>
      </c>
      <c r="BV42" s="4">
        <v>35.730659760999998</v>
      </c>
      <c r="BW42" s="28">
        <v>0.17253947989999999</v>
      </c>
      <c r="BX42" s="4">
        <v>0.14959345760000001</v>
      </c>
      <c r="BY42" s="28">
        <v>8.6063929999999995E-4</v>
      </c>
      <c r="BZ42" s="4">
        <v>0</v>
      </c>
      <c r="CA42" s="33">
        <v>0</v>
      </c>
      <c r="CB42" s="29" t="s">
        <v>136</v>
      </c>
      <c r="CC42" s="30">
        <v>0</v>
      </c>
      <c r="CD42" s="4">
        <v>0.43023500520000002</v>
      </c>
      <c r="CE42" s="28">
        <v>6.1675951999999997E-3</v>
      </c>
      <c r="CF42" s="4">
        <v>20.566311932000001</v>
      </c>
      <c r="CG42" s="28">
        <v>0.16445328000000001</v>
      </c>
      <c r="CH42" s="29" t="s">
        <v>136</v>
      </c>
      <c r="CI42" s="30">
        <v>0</v>
      </c>
      <c r="CJ42" s="29" t="s">
        <v>136</v>
      </c>
      <c r="CK42" s="30">
        <v>0</v>
      </c>
      <c r="CL42" s="4">
        <v>9.7812949176000004</v>
      </c>
      <c r="CM42" s="28">
        <v>1.10019781E-2</v>
      </c>
      <c r="CN42" s="4">
        <v>12.966367569000001</v>
      </c>
      <c r="CO42" s="28">
        <v>2.9686342500000001E-2</v>
      </c>
      <c r="CP42" s="29" t="s">
        <v>136</v>
      </c>
      <c r="CQ42" s="30">
        <v>0</v>
      </c>
      <c r="CR42" s="29" t="s">
        <v>136</v>
      </c>
      <c r="CS42" s="30">
        <v>0</v>
      </c>
      <c r="CT42" s="29" t="s">
        <v>136</v>
      </c>
      <c r="CU42" s="30">
        <v>0</v>
      </c>
      <c r="CV42" s="29" t="s">
        <v>136</v>
      </c>
      <c r="CW42" s="30">
        <v>0</v>
      </c>
      <c r="CX42" s="4">
        <v>0.1138624097</v>
      </c>
      <c r="CY42" s="28">
        <v>1.4292597E-3</v>
      </c>
      <c r="CZ42" s="4">
        <v>0.2785620043</v>
      </c>
      <c r="DA42" s="28">
        <v>2.8354184999999999E-3</v>
      </c>
      <c r="DB42" s="4">
        <v>2.4852107854000001</v>
      </c>
      <c r="DC42" s="28">
        <v>2.9594069399999999E-2</v>
      </c>
      <c r="DD42" s="4">
        <v>29.99801699</v>
      </c>
      <c r="DE42" s="28">
        <v>0.71896462279999995</v>
      </c>
      <c r="DF42" s="29" t="s">
        <v>136</v>
      </c>
      <c r="DG42" s="30">
        <v>0</v>
      </c>
      <c r="DH42" s="29" t="s">
        <v>136</v>
      </c>
      <c r="DI42" s="30">
        <v>0</v>
      </c>
      <c r="DJ42" s="4">
        <v>19.652594477000001</v>
      </c>
      <c r="DK42" s="28">
        <v>0.3637783879</v>
      </c>
      <c r="DL42" s="4">
        <v>45.269782192000001</v>
      </c>
      <c r="DM42" s="28">
        <v>1.8528912773999999</v>
      </c>
      <c r="DN42" s="4">
        <v>16.620854545</v>
      </c>
      <c r="DO42" s="28">
        <v>0.53249727209999997</v>
      </c>
      <c r="DP42" s="4">
        <v>120.22982936</v>
      </c>
      <c r="DQ42" s="28">
        <v>1.0862615141</v>
      </c>
      <c r="DR42" s="37">
        <v>1.8290009E-3</v>
      </c>
      <c r="DS42" s="38">
        <v>3.1605647000000001E-3</v>
      </c>
      <c r="DT42" s="38">
        <v>3.4962234999999999E-3</v>
      </c>
      <c r="DU42" s="38">
        <v>3.5532999000000001E-3</v>
      </c>
      <c r="DV42" s="38">
        <v>3.5637065E-3</v>
      </c>
      <c r="DW42" s="38">
        <v>3.5699492999999999E-3</v>
      </c>
      <c r="DX42" s="38">
        <v>3.5726960999999998E-3</v>
      </c>
      <c r="DY42" s="38">
        <v>3.5743165999999999E-3</v>
      </c>
      <c r="DZ42" s="38">
        <v>3.5757534999999998E-3</v>
      </c>
      <c r="EA42" s="39">
        <v>3.5771904000000002E-3</v>
      </c>
      <c r="EB42" s="40">
        <v>79.267283316000004</v>
      </c>
      <c r="EC42" s="30">
        <v>0.55598472799999998</v>
      </c>
      <c r="ED42" s="31">
        <v>39.116038664999998</v>
      </c>
      <c r="EE42" s="30">
        <v>0.28523529240000001</v>
      </c>
      <c r="EF42" s="31">
        <v>19.125710022</v>
      </c>
      <c r="EG42" s="30">
        <v>0.14494976270000001</v>
      </c>
      <c r="EH42" s="31">
        <v>9.3616986576999999</v>
      </c>
      <c r="EI42" s="30">
        <v>7.4401913799999997E-2</v>
      </c>
      <c r="EJ42" s="31">
        <v>4.6961056619999999</v>
      </c>
      <c r="EK42" s="30">
        <v>3.9784435899999998E-2</v>
      </c>
      <c r="EL42" s="31">
        <v>2.4468492109</v>
      </c>
      <c r="EM42" s="30">
        <v>2.2594621700000001E-2</v>
      </c>
      <c r="EN42" s="31">
        <v>1.3348536129999999</v>
      </c>
      <c r="EO42" s="30">
        <v>1.37907099E-2</v>
      </c>
      <c r="EP42" s="31">
        <v>0.77443702969999995</v>
      </c>
      <c r="EQ42" s="30">
        <v>9.1485400999999997E-3</v>
      </c>
      <c r="ER42" s="31">
        <v>0.47811768269999999</v>
      </c>
      <c r="ES42" s="30">
        <v>6.5311465000000004E-3</v>
      </c>
      <c r="ET42" s="31">
        <v>0.31221669899999999</v>
      </c>
      <c r="EU42" s="36">
        <v>4.9501181999999999E-3</v>
      </c>
      <c r="EV42" s="31"/>
      <c r="EW42" s="30"/>
      <c r="EX42" s="31"/>
      <c r="EY42" s="30"/>
      <c r="EZ42" s="31"/>
      <c r="FA42" s="30"/>
      <c r="FB42" s="31"/>
      <c r="FC42" s="30"/>
      <c r="FD42" s="31"/>
      <c r="FE42" s="36"/>
    </row>
    <row r="43" spans="1:161" x14ac:dyDescent="0.2">
      <c r="A43" s="12">
        <v>3800</v>
      </c>
      <c r="B43" s="2">
        <v>22217</v>
      </c>
      <c r="C43" s="15">
        <f t="shared" si="0"/>
        <v>5.7161617094609075E-3</v>
      </c>
      <c r="D43" s="15">
        <f t="shared" si="5"/>
        <v>0.70072084305988169</v>
      </c>
      <c r="E43" s="15">
        <f t="shared" si="8"/>
        <v>556.2720059174269</v>
      </c>
      <c r="F43" s="26">
        <v>1947.6955439000001</v>
      </c>
      <c r="G43" s="4">
        <v>3749.8355793000001</v>
      </c>
      <c r="H43" s="41">
        <f t="shared" si="6"/>
        <v>0.33667385681620682</v>
      </c>
      <c r="I43" s="4">
        <f t="shared" si="1"/>
        <v>318.38050662180001</v>
      </c>
      <c r="J43" s="4">
        <f>(I43*SUM($B$5:$B43)-I42*SUM($B$5:$B42))/$B43</f>
        <v>1262.4716069095662</v>
      </c>
      <c r="K43" s="4">
        <f t="shared" si="2"/>
        <v>1088.1435340517</v>
      </c>
      <c r="L43" s="4">
        <f>(K43*SUM(B$5:B43)-K42*SUM(B$5:B42))/B43</f>
        <v>3887.4969974810488</v>
      </c>
      <c r="M43" s="41">
        <f t="shared" si="7"/>
        <v>3.6711321141911675E-2</v>
      </c>
      <c r="N43" s="4">
        <v>72.145916903</v>
      </c>
      <c r="O43" s="28">
        <v>7.9131630999999994E-2</v>
      </c>
      <c r="P43" s="26">
        <v>3.6870969895000001</v>
      </c>
      <c r="Q43" s="28">
        <v>1.9512462000000001E-3</v>
      </c>
      <c r="R43" s="4">
        <v>158.01636830999999</v>
      </c>
      <c r="S43" s="28">
        <v>1.0529126443000001</v>
      </c>
      <c r="T43" s="4">
        <v>84.062925688999997</v>
      </c>
      <c r="U43" s="28">
        <v>0.52383223430000003</v>
      </c>
      <c r="V43" s="4">
        <v>21.525041001000002</v>
      </c>
      <c r="W43" s="28">
        <v>0.1746408538</v>
      </c>
      <c r="X43" s="29" t="s">
        <v>136</v>
      </c>
      <c r="Y43" s="30">
        <v>0</v>
      </c>
      <c r="Z43" s="4">
        <v>23.850054443000001</v>
      </c>
      <c r="AA43" s="28">
        <v>4.2349071100000003E-2</v>
      </c>
      <c r="AB43" s="29" t="s">
        <v>136</v>
      </c>
      <c r="AC43" s="30">
        <v>0</v>
      </c>
      <c r="AD43" s="29" t="s">
        <v>136</v>
      </c>
      <c r="AE43" s="30">
        <v>0</v>
      </c>
      <c r="AF43" s="4">
        <v>0.4070030496</v>
      </c>
      <c r="AG43" s="28">
        <v>4.4056147000000002E-3</v>
      </c>
      <c r="AH43" s="4">
        <v>33.474587861000003</v>
      </c>
      <c r="AI43" s="28">
        <v>0.76901403059999995</v>
      </c>
      <c r="AJ43" s="29" t="s">
        <v>136</v>
      </c>
      <c r="AK43" s="30">
        <v>0</v>
      </c>
      <c r="AL43" s="4">
        <v>5.3956190000000002E-4</v>
      </c>
      <c r="AM43" s="28">
        <v>2.8346173999999999E-6</v>
      </c>
      <c r="AN43" s="29" t="s">
        <v>136</v>
      </c>
      <c r="AO43" s="30">
        <v>0</v>
      </c>
      <c r="AP43" s="29" t="s">
        <v>136</v>
      </c>
      <c r="AQ43" s="30">
        <v>0</v>
      </c>
      <c r="AR43" s="4">
        <f t="shared" si="3"/>
        <v>5.3956190000000002E-4</v>
      </c>
      <c r="AS43" s="28">
        <f t="shared" si="3"/>
        <v>2.8346173999999999E-6</v>
      </c>
      <c r="AT43" s="4">
        <v>111.02075769</v>
      </c>
      <c r="AU43" s="28">
        <v>1.5440464860000001</v>
      </c>
      <c r="AV43" s="29" t="s">
        <v>136</v>
      </c>
      <c r="AW43" s="30">
        <v>0</v>
      </c>
      <c r="AX43" s="29" t="s">
        <v>136</v>
      </c>
      <c r="AY43" s="30">
        <v>0</v>
      </c>
      <c r="AZ43" s="29" t="s">
        <v>136</v>
      </c>
      <c r="BA43" s="30">
        <v>0</v>
      </c>
      <c r="BB43" s="4">
        <v>66.069586783000005</v>
      </c>
      <c r="BC43" s="28">
        <v>2.2451531418999999</v>
      </c>
      <c r="BD43" s="4">
        <v>55.272750406999997</v>
      </c>
      <c r="BE43" s="28">
        <v>0.43988951809999999</v>
      </c>
      <c r="BF43" s="4">
        <v>25.262477184000002</v>
      </c>
      <c r="BG43" s="28">
        <v>0.26895191060000001</v>
      </c>
      <c r="BH43" s="4">
        <v>8.9392042225000008</v>
      </c>
      <c r="BI43" s="28">
        <v>7.8769737199999995E-2</v>
      </c>
      <c r="BJ43" s="31">
        <f t="shared" si="4"/>
        <v>21.071069000499996</v>
      </c>
      <c r="BK43" s="30">
        <f t="shared" si="4"/>
        <v>9.2167870299999954E-2</v>
      </c>
      <c r="BL43" s="4">
        <v>0</v>
      </c>
      <c r="BM43" s="30">
        <v>0</v>
      </c>
      <c r="BN43" s="4">
        <v>140.22985918000001</v>
      </c>
      <c r="BO43" s="28">
        <v>1.6444709211999999</v>
      </c>
      <c r="BP43" s="28">
        <v>3.8232141000000002E-3</v>
      </c>
      <c r="BQ43" s="28">
        <v>4.5055055000000004E-6</v>
      </c>
      <c r="BR43" s="4">
        <v>120.62219344</v>
      </c>
      <c r="BS43" s="28">
        <v>3.9375274217</v>
      </c>
      <c r="BT43" s="4">
        <v>160.83041302000001</v>
      </c>
      <c r="BU43" s="28">
        <v>1.1517551492</v>
      </c>
      <c r="BV43" s="4">
        <v>36.768420198999998</v>
      </c>
      <c r="BW43" s="28">
        <v>0.176461654</v>
      </c>
      <c r="BX43" s="4">
        <v>0.15947996280000001</v>
      </c>
      <c r="BY43" s="28">
        <v>8.9136110000000005E-4</v>
      </c>
      <c r="BZ43" s="4">
        <v>0</v>
      </c>
      <c r="CA43" s="33">
        <v>0</v>
      </c>
      <c r="CB43" s="29" t="s">
        <v>136</v>
      </c>
      <c r="CC43" s="30">
        <v>0</v>
      </c>
      <c r="CD43" s="4">
        <v>0.44386029310000003</v>
      </c>
      <c r="CE43" s="28">
        <v>6.3095653999999998E-3</v>
      </c>
      <c r="CF43" s="4">
        <v>21.081180708000002</v>
      </c>
      <c r="CG43" s="28">
        <v>0.1683312884</v>
      </c>
      <c r="CH43" s="29" t="s">
        <v>136</v>
      </c>
      <c r="CI43" s="30">
        <v>0</v>
      </c>
      <c r="CJ43" s="29" t="s">
        <v>136</v>
      </c>
      <c r="CK43" s="30">
        <v>0</v>
      </c>
      <c r="CL43" s="4">
        <v>10.364523547999999</v>
      </c>
      <c r="CM43" s="28">
        <v>1.15277782E-2</v>
      </c>
      <c r="CN43" s="4">
        <v>13.485530894</v>
      </c>
      <c r="CO43" s="28">
        <v>3.0821293E-2</v>
      </c>
      <c r="CP43" s="29" t="s">
        <v>136</v>
      </c>
      <c r="CQ43" s="30">
        <v>0</v>
      </c>
      <c r="CR43" s="29" t="s">
        <v>136</v>
      </c>
      <c r="CS43" s="30">
        <v>0</v>
      </c>
      <c r="CT43" s="29" t="s">
        <v>136</v>
      </c>
      <c r="CU43" s="30">
        <v>0</v>
      </c>
      <c r="CV43" s="29" t="s">
        <v>136</v>
      </c>
      <c r="CW43" s="30">
        <v>0</v>
      </c>
      <c r="CX43" s="4">
        <v>0.1192969918</v>
      </c>
      <c r="CY43" s="28">
        <v>1.4812267E-3</v>
      </c>
      <c r="CZ43" s="4">
        <v>0.28770605780000003</v>
      </c>
      <c r="DA43" s="28">
        <v>2.924388E-3</v>
      </c>
      <c r="DB43" s="4">
        <v>2.6002587815</v>
      </c>
      <c r="DC43" s="28">
        <v>3.0833458000000001E-2</v>
      </c>
      <c r="DD43" s="4">
        <v>30.874329078999999</v>
      </c>
      <c r="DE43" s="28">
        <v>0.73818057270000004</v>
      </c>
      <c r="DF43" s="29" t="s">
        <v>136</v>
      </c>
      <c r="DG43" s="30">
        <v>0</v>
      </c>
      <c r="DH43" s="29" t="s">
        <v>136</v>
      </c>
      <c r="DI43" s="30">
        <v>0</v>
      </c>
      <c r="DJ43" s="4">
        <v>20.079108779999999</v>
      </c>
      <c r="DK43" s="28">
        <v>0.37011487830000001</v>
      </c>
      <c r="DL43" s="4">
        <v>45.990478003</v>
      </c>
      <c r="DM43" s="28">
        <v>1.8750382636</v>
      </c>
      <c r="DN43" s="4">
        <v>17.492317237999998</v>
      </c>
      <c r="DO43" s="28">
        <v>0.54339497989999996</v>
      </c>
      <c r="DP43" s="4">
        <v>122.73754194</v>
      </c>
      <c r="DQ43" s="28">
        <v>1.1010759413</v>
      </c>
      <c r="DR43" s="37">
        <v>1.9373989E-3</v>
      </c>
      <c r="DS43" s="38">
        <v>3.3513723000000001E-3</v>
      </c>
      <c r="DT43" s="38">
        <v>3.7066259000000002E-3</v>
      </c>
      <c r="DU43" s="38">
        <v>3.7687327000000001E-3</v>
      </c>
      <c r="DV43" s="38">
        <v>3.7799560000000001E-3</v>
      </c>
      <c r="DW43" s="38">
        <v>3.7870541999999998E-3</v>
      </c>
      <c r="DX43" s="38">
        <v>3.7903479999999998E-3</v>
      </c>
      <c r="DY43" s="38">
        <v>3.7925213999999998E-3</v>
      </c>
      <c r="DZ43" s="38">
        <v>3.7945126000000001E-3</v>
      </c>
      <c r="EA43" s="39">
        <v>3.7965039E-3</v>
      </c>
      <c r="EB43" s="40">
        <v>80.356689849000006</v>
      </c>
      <c r="EC43" s="30">
        <v>0.56334320579999997</v>
      </c>
      <c r="ED43" s="31">
        <v>39.855485502999997</v>
      </c>
      <c r="EE43" s="30">
        <v>0.29038957859999998</v>
      </c>
      <c r="EF43" s="31">
        <v>19.595133581999999</v>
      </c>
      <c r="EG43" s="30">
        <v>0.1483284688</v>
      </c>
      <c r="EH43" s="31">
        <v>9.6477414578000005</v>
      </c>
      <c r="EI43" s="30">
        <v>7.6548606000000005E-2</v>
      </c>
      <c r="EJ43" s="31">
        <v>4.8666275675000001</v>
      </c>
      <c r="EK43" s="30">
        <v>4.1133813399999997E-2</v>
      </c>
      <c r="EL43" s="31">
        <v>2.5507737234999999</v>
      </c>
      <c r="EM43" s="30">
        <v>2.3471068500000001E-2</v>
      </c>
      <c r="EN43" s="31">
        <v>1.3987359908999999</v>
      </c>
      <c r="EO43" s="30">
        <v>1.43753982E-2</v>
      </c>
      <c r="EP43" s="31">
        <v>0.81603610719999997</v>
      </c>
      <c r="EQ43" s="30">
        <v>9.5624817999999997E-3</v>
      </c>
      <c r="ER43" s="31">
        <v>0.50605087130000004</v>
      </c>
      <c r="ES43" s="30">
        <v>6.8373037000000001E-3</v>
      </c>
      <c r="ET43" s="31">
        <v>0.33183193979999998</v>
      </c>
      <c r="EU43" s="36">
        <v>5.1871395000000001E-3</v>
      </c>
      <c r="EV43" s="31"/>
      <c r="EW43" s="30"/>
      <c r="EX43" s="31"/>
      <c r="EY43" s="30"/>
      <c r="EZ43" s="31"/>
      <c r="FA43" s="30"/>
      <c r="FB43" s="31"/>
      <c r="FC43" s="30"/>
      <c r="FD43" s="31"/>
      <c r="FE43" s="36"/>
    </row>
    <row r="44" spans="1:161" x14ac:dyDescent="0.2">
      <c r="A44" s="12">
        <v>3900</v>
      </c>
      <c r="B44" s="2">
        <v>21429</v>
      </c>
      <c r="C44" s="15">
        <f t="shared" si="0"/>
        <v>5.5134189706998148E-3</v>
      </c>
      <c r="D44" s="15">
        <f t="shared" si="5"/>
        <v>0.70623426203058148</v>
      </c>
      <c r="E44" s="15">
        <f t="shared" si="8"/>
        <v>568.72433374369984</v>
      </c>
      <c r="F44" s="26">
        <v>1979.7213892</v>
      </c>
      <c r="G44" s="4">
        <v>3849.6253585999998</v>
      </c>
      <c r="H44" s="41">
        <f t="shared" si="6"/>
        <v>0.341714889244016</v>
      </c>
      <c r="I44" s="4">
        <f t="shared" si="1"/>
        <v>326.16460341280003</v>
      </c>
      <c r="J44" s="4">
        <f>(I44*SUM($B$5:$B44)-I43*SUM($B$5:$B43))/$B44</f>
        <v>1315.4743030449542</v>
      </c>
      <c r="K44" s="4">
        <f t="shared" si="2"/>
        <v>1110.7790756304003</v>
      </c>
      <c r="L44" s="4">
        <f>(K44*SUM(B$5:B44)-K43*SUM(B$5:B43))/B44</f>
        <v>3987.613914853699</v>
      </c>
      <c r="M44" s="41">
        <f t="shared" si="7"/>
        <v>3.5844671467948196E-2</v>
      </c>
      <c r="N44" s="4">
        <v>74.117317686999996</v>
      </c>
      <c r="O44" s="28">
        <v>8.0416666400000003E-2</v>
      </c>
      <c r="P44" s="26">
        <v>3.9271012511999999</v>
      </c>
      <c r="Q44" s="28">
        <v>2.0535265000000001E-3</v>
      </c>
      <c r="R44" s="4">
        <v>159.37343898</v>
      </c>
      <c r="S44" s="28">
        <v>1.0620666209</v>
      </c>
      <c r="T44" s="4">
        <v>85.251393124000003</v>
      </c>
      <c r="U44" s="28">
        <v>0.53131788739999997</v>
      </c>
      <c r="V44" s="4">
        <v>22.032442091</v>
      </c>
      <c r="W44" s="28">
        <v>0.17862284580000001</v>
      </c>
      <c r="X44" s="29" t="s">
        <v>136</v>
      </c>
      <c r="Y44" s="30">
        <v>0</v>
      </c>
      <c r="Z44" s="4">
        <v>24.965346254</v>
      </c>
      <c r="AA44" s="28">
        <v>4.4030680799999999E-2</v>
      </c>
      <c r="AB44" s="29" t="s">
        <v>136</v>
      </c>
      <c r="AC44" s="30">
        <v>0</v>
      </c>
      <c r="AD44" s="29" t="s">
        <v>136</v>
      </c>
      <c r="AE44" s="30">
        <v>0</v>
      </c>
      <c r="AF44" s="4">
        <v>0.42129346420000002</v>
      </c>
      <c r="AG44" s="28">
        <v>4.5371633999999996E-3</v>
      </c>
      <c r="AH44" s="4">
        <v>34.415744773</v>
      </c>
      <c r="AI44" s="28">
        <v>0.78867520120000001</v>
      </c>
      <c r="AJ44" s="29" t="s">
        <v>136</v>
      </c>
      <c r="AK44" s="30">
        <v>0</v>
      </c>
      <c r="AL44" s="4">
        <v>5.9523110000000003E-4</v>
      </c>
      <c r="AM44" s="28">
        <v>2.9798630000000001E-6</v>
      </c>
      <c r="AN44" s="29" t="s">
        <v>136</v>
      </c>
      <c r="AO44" s="30">
        <v>0</v>
      </c>
      <c r="AP44" s="29" t="s">
        <v>136</v>
      </c>
      <c r="AQ44" s="30">
        <v>0</v>
      </c>
      <c r="AR44" s="4">
        <f t="shared" si="3"/>
        <v>5.9523110000000003E-4</v>
      </c>
      <c r="AS44" s="28">
        <f t="shared" si="3"/>
        <v>2.9798630000000001E-6</v>
      </c>
      <c r="AT44" s="4">
        <v>112.75694869</v>
      </c>
      <c r="AU44" s="28">
        <v>1.5589546406000001</v>
      </c>
      <c r="AV44" s="29" t="s">
        <v>136</v>
      </c>
      <c r="AW44" s="30">
        <v>0</v>
      </c>
      <c r="AX44" s="29" t="s">
        <v>136</v>
      </c>
      <c r="AY44" s="30">
        <v>0</v>
      </c>
      <c r="AZ44" s="29" t="s">
        <v>136</v>
      </c>
      <c r="BA44" s="30">
        <v>0</v>
      </c>
      <c r="BB44" s="4">
        <v>67.182198984999999</v>
      </c>
      <c r="BC44" s="28">
        <v>2.2734881707999999</v>
      </c>
      <c r="BD44" s="4">
        <v>56.538891516</v>
      </c>
      <c r="BE44" s="28">
        <v>0.44720695989999998</v>
      </c>
      <c r="BF44" s="4">
        <v>25.808501489000001</v>
      </c>
      <c r="BG44" s="28">
        <v>0.27341147510000002</v>
      </c>
      <c r="BH44" s="4">
        <v>9.1019906585000001</v>
      </c>
      <c r="BI44" s="28">
        <v>7.9805453999999998E-2</v>
      </c>
      <c r="BJ44" s="31">
        <f t="shared" si="4"/>
        <v>21.628399368499998</v>
      </c>
      <c r="BK44" s="30">
        <f t="shared" si="4"/>
        <v>9.3990030799999957E-2</v>
      </c>
      <c r="BL44" s="4">
        <v>0</v>
      </c>
      <c r="BM44" s="30">
        <v>0</v>
      </c>
      <c r="BN44" s="4">
        <v>143.63116493999999</v>
      </c>
      <c r="BO44" s="28">
        <v>1.6701947594</v>
      </c>
      <c r="BP44" s="28">
        <v>4.0362968999999999E-3</v>
      </c>
      <c r="BQ44" s="28">
        <v>4.4421708000000004E-6</v>
      </c>
      <c r="BR44" s="4">
        <v>122.29278861</v>
      </c>
      <c r="BS44" s="28">
        <v>3.9751292725999998</v>
      </c>
      <c r="BT44" s="4">
        <v>165.99125298999999</v>
      </c>
      <c r="BU44" s="28">
        <v>1.1853517107</v>
      </c>
      <c r="BV44" s="4">
        <v>37.706073107999998</v>
      </c>
      <c r="BW44" s="28">
        <v>0.1799890143</v>
      </c>
      <c r="BX44" s="4">
        <v>0.17448870480000001</v>
      </c>
      <c r="BY44" s="28">
        <v>9.3009470000000004E-4</v>
      </c>
      <c r="BZ44" s="4">
        <v>0</v>
      </c>
      <c r="CA44" s="33">
        <v>0</v>
      </c>
      <c r="CB44" s="29" t="s">
        <v>136</v>
      </c>
      <c r="CC44" s="30">
        <v>0</v>
      </c>
      <c r="CD44" s="4">
        <v>0.4528769668</v>
      </c>
      <c r="CE44" s="28">
        <v>6.4390823999999998E-3</v>
      </c>
      <c r="CF44" s="4">
        <v>21.579565123999998</v>
      </c>
      <c r="CG44" s="28">
        <v>0.1721837634</v>
      </c>
      <c r="CH44" s="29" t="s">
        <v>136</v>
      </c>
      <c r="CI44" s="30">
        <v>0</v>
      </c>
      <c r="CJ44" s="29" t="s">
        <v>136</v>
      </c>
      <c r="CK44" s="30">
        <v>0</v>
      </c>
      <c r="CL44" s="4">
        <v>10.953259015</v>
      </c>
      <c r="CM44" s="28">
        <v>1.2050962199999999E-2</v>
      </c>
      <c r="CN44" s="4">
        <v>14.01208724</v>
      </c>
      <c r="CO44" s="28">
        <v>3.1979718599999998E-2</v>
      </c>
      <c r="CP44" s="29" t="s">
        <v>136</v>
      </c>
      <c r="CQ44" s="30">
        <v>0</v>
      </c>
      <c r="CR44" s="29" t="s">
        <v>136</v>
      </c>
      <c r="CS44" s="30">
        <v>0</v>
      </c>
      <c r="CT44" s="29" t="s">
        <v>136</v>
      </c>
      <c r="CU44" s="30">
        <v>0</v>
      </c>
      <c r="CV44" s="29" t="s">
        <v>136</v>
      </c>
      <c r="CW44" s="30">
        <v>0</v>
      </c>
      <c r="CX44" s="4">
        <v>0.124544816</v>
      </c>
      <c r="CY44" s="28">
        <v>1.5316399999999999E-3</v>
      </c>
      <c r="CZ44" s="4">
        <v>0.29674864820000002</v>
      </c>
      <c r="DA44" s="28">
        <v>3.0055235000000001E-3</v>
      </c>
      <c r="DB44" s="4">
        <v>2.707464162</v>
      </c>
      <c r="DC44" s="28">
        <v>3.1946175200000003E-2</v>
      </c>
      <c r="DD44" s="4">
        <v>31.708280610999999</v>
      </c>
      <c r="DE44" s="28">
        <v>0.75672902590000002</v>
      </c>
      <c r="DF44" s="29" t="s">
        <v>136</v>
      </c>
      <c r="DG44" s="30">
        <v>0</v>
      </c>
      <c r="DH44" s="29" t="s">
        <v>136</v>
      </c>
      <c r="DI44" s="30">
        <v>0</v>
      </c>
      <c r="DJ44" s="4">
        <v>20.497698685</v>
      </c>
      <c r="DK44" s="28">
        <v>0.37660248210000002</v>
      </c>
      <c r="DL44" s="4">
        <v>46.684500300000003</v>
      </c>
      <c r="DM44" s="28">
        <v>1.8968856886000001</v>
      </c>
      <c r="DN44" s="4">
        <v>18.399770938</v>
      </c>
      <c r="DO44" s="28">
        <v>0.55435014220000001</v>
      </c>
      <c r="DP44" s="4">
        <v>125.23139399999999</v>
      </c>
      <c r="DQ44" s="28">
        <v>1.1158446172000001</v>
      </c>
      <c r="DR44" s="37">
        <v>2.0383215999999998E-3</v>
      </c>
      <c r="DS44" s="38">
        <v>3.5323030000000001E-3</v>
      </c>
      <c r="DT44" s="38">
        <v>3.9078126000000003E-3</v>
      </c>
      <c r="DU44" s="38">
        <v>3.9755461000000004E-3</v>
      </c>
      <c r="DV44" s="38">
        <v>3.9883534999999998E-3</v>
      </c>
      <c r="DW44" s="38">
        <v>3.9961783999999997E-3</v>
      </c>
      <c r="DX44" s="38">
        <v>4.0002229000000002E-3</v>
      </c>
      <c r="DY44" s="38">
        <v>4.0031524000000004E-3</v>
      </c>
      <c r="DZ44" s="38">
        <v>4.0057360000000002E-3</v>
      </c>
      <c r="EA44" s="39">
        <v>4.0081387000000003E-3</v>
      </c>
      <c r="EB44" s="40">
        <v>81.409327211999994</v>
      </c>
      <c r="EC44" s="30">
        <v>0.5705870032</v>
      </c>
      <c r="ED44" s="31">
        <v>40.579407903000003</v>
      </c>
      <c r="EE44" s="30">
        <v>0.29553451939999997</v>
      </c>
      <c r="EF44" s="31">
        <v>20.057135262999999</v>
      </c>
      <c r="EG44" s="30">
        <v>0.15174348479999999</v>
      </c>
      <c r="EH44" s="31">
        <v>9.9299927077000003</v>
      </c>
      <c r="EI44" s="30">
        <v>7.87463682E-2</v>
      </c>
      <c r="EJ44" s="31">
        <v>5.0395597847999998</v>
      </c>
      <c r="EK44" s="30">
        <v>4.2560510099999997E-2</v>
      </c>
      <c r="EL44" s="31">
        <v>2.6598172029999998</v>
      </c>
      <c r="EM44" s="30">
        <v>2.44332058E-2</v>
      </c>
      <c r="EN44" s="31">
        <v>1.4698555114</v>
      </c>
      <c r="EO44" s="30">
        <v>1.50560125E-2</v>
      </c>
      <c r="EP44" s="31">
        <v>0.86319354599999998</v>
      </c>
      <c r="EQ44" s="30">
        <v>1.0059169499999999E-2</v>
      </c>
      <c r="ER44" s="31">
        <v>0.537657312</v>
      </c>
      <c r="ES44" s="30">
        <v>7.2110537000000001E-3</v>
      </c>
      <c r="ET44" s="31">
        <v>0.35357810560000003</v>
      </c>
      <c r="EU44" s="36">
        <v>5.4774884000000001E-3</v>
      </c>
      <c r="EV44" s="31"/>
      <c r="EW44" s="30"/>
      <c r="EX44" s="31"/>
      <c r="EY44" s="30"/>
      <c r="EZ44" s="31"/>
      <c r="FA44" s="30"/>
      <c r="FB44" s="31"/>
      <c r="FC44" s="30"/>
      <c r="FD44" s="31"/>
      <c r="FE44" s="36"/>
    </row>
    <row r="45" spans="1:161" x14ac:dyDescent="0.2">
      <c r="A45" s="12">
        <v>4000</v>
      </c>
      <c r="B45" s="2">
        <v>20805</v>
      </c>
      <c r="C45" s="15">
        <f t="shared" si="0"/>
        <v>5.3528714212240256E-3</v>
      </c>
      <c r="D45" s="15">
        <f t="shared" si="5"/>
        <v>0.71158713345180546</v>
      </c>
      <c r="E45" s="15">
        <f t="shared" si="8"/>
        <v>581.00626923700088</v>
      </c>
      <c r="F45" s="26">
        <v>2011.1966014</v>
      </c>
      <c r="G45" s="4">
        <v>3949.8122156999998</v>
      </c>
      <c r="H45" s="41">
        <f t="shared" si="6"/>
        <v>0.34220102001812941</v>
      </c>
      <c r="I45" s="4">
        <f t="shared" si="1"/>
        <v>333.87860345690001</v>
      </c>
      <c r="J45" s="4">
        <f>(I45*SUM($B$5:$B45)-I44*SUM($B$5:$B44))/$B45</f>
        <v>1351.6297690926076</v>
      </c>
      <c r="K45" s="4">
        <f t="shared" si="2"/>
        <v>1133.234932334</v>
      </c>
      <c r="L45" s="4">
        <f>(K45*SUM(B$5:B45)-K44*SUM(B$5:B44))/B45</f>
        <v>4095.9616895002978</v>
      </c>
      <c r="M45" s="41">
        <f t="shared" si="7"/>
        <v>3.7001625854356436E-2</v>
      </c>
      <c r="N45" s="4">
        <v>76.073584552</v>
      </c>
      <c r="O45" s="28">
        <v>8.1640562099999994E-2</v>
      </c>
      <c r="P45" s="26">
        <v>4.1836316317</v>
      </c>
      <c r="Q45" s="28">
        <v>2.1587943E-3</v>
      </c>
      <c r="R45" s="4">
        <v>160.65796119000001</v>
      </c>
      <c r="S45" s="28">
        <v>1.0705906522999999</v>
      </c>
      <c r="T45" s="4">
        <v>86.425086195000006</v>
      </c>
      <c r="U45" s="28">
        <v>0.53861525249999997</v>
      </c>
      <c r="V45" s="4">
        <v>22.606530840000001</v>
      </c>
      <c r="W45" s="28">
        <v>0.18313309</v>
      </c>
      <c r="X45" s="29" t="s">
        <v>136</v>
      </c>
      <c r="Y45" s="30">
        <v>0</v>
      </c>
      <c r="Z45" s="4">
        <v>26.062409375000001</v>
      </c>
      <c r="AA45" s="28">
        <v>4.56654227E-2</v>
      </c>
      <c r="AB45" s="29" t="s">
        <v>136</v>
      </c>
      <c r="AC45" s="30">
        <v>0</v>
      </c>
      <c r="AD45" s="29" t="s">
        <v>136</v>
      </c>
      <c r="AE45" s="30">
        <v>0</v>
      </c>
      <c r="AF45" s="4">
        <v>0.44281087120000001</v>
      </c>
      <c r="AG45" s="28">
        <v>4.7607383000000001E-3</v>
      </c>
      <c r="AH45" s="4">
        <v>35.412282048999998</v>
      </c>
      <c r="AI45" s="28">
        <v>0.80968633779999999</v>
      </c>
      <c r="AJ45" s="29" t="s">
        <v>136</v>
      </c>
      <c r="AK45" s="30">
        <v>0</v>
      </c>
      <c r="AL45" s="4">
        <v>5.913836E-4</v>
      </c>
      <c r="AM45" s="28">
        <v>2.9604371999999999E-6</v>
      </c>
      <c r="AN45" s="29" t="s">
        <v>136</v>
      </c>
      <c r="AO45" s="30">
        <v>0</v>
      </c>
      <c r="AP45" s="29" t="s">
        <v>136</v>
      </c>
      <c r="AQ45" s="30">
        <v>0</v>
      </c>
      <c r="AR45" s="4">
        <f t="shared" si="3"/>
        <v>5.913836E-4</v>
      </c>
      <c r="AS45" s="28">
        <f t="shared" si="3"/>
        <v>2.9604371999999999E-6</v>
      </c>
      <c r="AT45" s="4">
        <v>114.41698787999999</v>
      </c>
      <c r="AU45" s="28">
        <v>1.5732459099</v>
      </c>
      <c r="AV45" s="29" t="s">
        <v>136</v>
      </c>
      <c r="AW45" s="30">
        <v>0</v>
      </c>
      <c r="AX45" s="29" t="s">
        <v>136</v>
      </c>
      <c r="AY45" s="30">
        <v>0</v>
      </c>
      <c r="AZ45" s="29" t="s">
        <v>136</v>
      </c>
      <c r="BA45" s="30">
        <v>0</v>
      </c>
      <c r="BB45" s="4">
        <v>68.283470933000004</v>
      </c>
      <c r="BC45" s="28">
        <v>2.3010150900999999</v>
      </c>
      <c r="BD45" s="4">
        <v>57.786799193</v>
      </c>
      <c r="BE45" s="28">
        <v>0.45445621860000002</v>
      </c>
      <c r="BF45" s="4">
        <v>26.357325099000001</v>
      </c>
      <c r="BG45" s="28">
        <v>0.27790603110000001</v>
      </c>
      <c r="BH45" s="4">
        <v>9.2599901098000004</v>
      </c>
      <c r="BI45" s="28">
        <v>8.0762916000000004E-2</v>
      </c>
      <c r="BJ45" s="31">
        <f t="shared" si="4"/>
        <v>22.169483984199999</v>
      </c>
      <c r="BK45" s="30">
        <f t="shared" si="4"/>
        <v>9.5787271499999993E-2</v>
      </c>
      <c r="BL45" s="4">
        <v>0</v>
      </c>
      <c r="BM45" s="30">
        <v>0</v>
      </c>
      <c r="BN45" s="4">
        <v>147.0035914</v>
      </c>
      <c r="BO45" s="28">
        <v>1.6950121136</v>
      </c>
      <c r="BP45" s="28">
        <v>4.2663164000000002E-3</v>
      </c>
      <c r="BQ45" s="28">
        <v>4.3808916999999998E-6</v>
      </c>
      <c r="BR45" s="4">
        <v>123.88034623999999</v>
      </c>
      <c r="BS45" s="28">
        <v>4.0111786028000003</v>
      </c>
      <c r="BT45" s="4">
        <v>171.14839038</v>
      </c>
      <c r="BU45" s="28">
        <v>1.2187962559000001</v>
      </c>
      <c r="BV45" s="4">
        <v>38.659385016999998</v>
      </c>
      <c r="BW45" s="28">
        <v>0.1835077188</v>
      </c>
      <c r="BX45" s="4">
        <v>0.19048181989999999</v>
      </c>
      <c r="BY45" s="28">
        <v>9.6392699999999995E-4</v>
      </c>
      <c r="BZ45" s="4">
        <v>0</v>
      </c>
      <c r="CA45" s="33">
        <v>0</v>
      </c>
      <c r="CB45" s="29" t="s">
        <v>136</v>
      </c>
      <c r="CC45" s="30">
        <v>0</v>
      </c>
      <c r="CD45" s="4">
        <v>0.47635057590000002</v>
      </c>
      <c r="CE45" s="28">
        <v>6.7394448999999997E-3</v>
      </c>
      <c r="CF45" s="4">
        <v>22.130180265</v>
      </c>
      <c r="CG45" s="28">
        <v>0.1763936451</v>
      </c>
      <c r="CH45" s="29" t="s">
        <v>136</v>
      </c>
      <c r="CI45" s="30">
        <v>0</v>
      </c>
      <c r="CJ45" s="29" t="s">
        <v>136</v>
      </c>
      <c r="CK45" s="30">
        <v>0</v>
      </c>
      <c r="CL45" s="4">
        <v>11.56089607</v>
      </c>
      <c r="CM45" s="28">
        <v>1.2591070899999999E-2</v>
      </c>
      <c r="CN45" s="4">
        <v>14.501513306</v>
      </c>
      <c r="CO45" s="28">
        <v>3.3074351699999997E-2</v>
      </c>
      <c r="CP45" s="29" t="s">
        <v>136</v>
      </c>
      <c r="CQ45" s="30">
        <v>0</v>
      </c>
      <c r="CR45" s="29" t="s">
        <v>136</v>
      </c>
      <c r="CS45" s="30">
        <v>0</v>
      </c>
      <c r="CT45" s="29" t="s">
        <v>136</v>
      </c>
      <c r="CU45" s="30">
        <v>0</v>
      </c>
      <c r="CV45" s="29" t="s">
        <v>136</v>
      </c>
      <c r="CW45" s="30">
        <v>0</v>
      </c>
      <c r="CX45" s="4">
        <v>0.13525110309999999</v>
      </c>
      <c r="CY45" s="28">
        <v>1.6377443999999999E-3</v>
      </c>
      <c r="CZ45" s="4">
        <v>0.30755976810000002</v>
      </c>
      <c r="DA45" s="28">
        <v>3.1229939E-3</v>
      </c>
      <c r="DB45" s="4">
        <v>2.8125475927000001</v>
      </c>
      <c r="DC45" s="28">
        <v>3.3028746900000003E-2</v>
      </c>
      <c r="DD45" s="4">
        <v>32.599734456</v>
      </c>
      <c r="DE45" s="28">
        <v>0.77665759089999997</v>
      </c>
      <c r="DF45" s="29" t="s">
        <v>136</v>
      </c>
      <c r="DG45" s="30">
        <v>0</v>
      </c>
      <c r="DH45" s="29" t="s">
        <v>136</v>
      </c>
      <c r="DI45" s="30">
        <v>0</v>
      </c>
      <c r="DJ45" s="4">
        <v>20.893688499</v>
      </c>
      <c r="DK45" s="28">
        <v>0.38263102380000003</v>
      </c>
      <c r="DL45" s="4">
        <v>47.389782433999997</v>
      </c>
      <c r="DM45" s="28">
        <v>1.9183840663</v>
      </c>
      <c r="DN45" s="4">
        <v>19.285988788000001</v>
      </c>
      <c r="DO45" s="28">
        <v>0.56478230230000004</v>
      </c>
      <c r="DP45" s="4">
        <v>127.71760261</v>
      </c>
      <c r="DQ45" s="28">
        <v>1.1302298113</v>
      </c>
      <c r="DR45" s="37">
        <v>2.1418803000000002E-3</v>
      </c>
      <c r="DS45" s="38">
        <v>3.7215948000000002E-3</v>
      </c>
      <c r="DT45" s="38">
        <v>4.1231419000000002E-3</v>
      </c>
      <c r="DU45" s="38">
        <v>4.1992636999999998E-3</v>
      </c>
      <c r="DV45" s="38">
        <v>4.2132089000000003E-3</v>
      </c>
      <c r="DW45" s="38">
        <v>4.2218669999999998E-3</v>
      </c>
      <c r="DX45" s="38">
        <v>4.2264392000000003E-3</v>
      </c>
      <c r="DY45" s="38">
        <v>4.2297224000000001E-3</v>
      </c>
      <c r="DZ45" s="38">
        <v>4.2326619000000003E-3</v>
      </c>
      <c r="EA45" s="39">
        <v>4.2354217999999999E-3</v>
      </c>
      <c r="EB45" s="40">
        <v>82.407301231000005</v>
      </c>
      <c r="EC45" s="30">
        <v>0.57734107450000005</v>
      </c>
      <c r="ED45" s="31">
        <v>41.260297444000003</v>
      </c>
      <c r="EE45" s="30">
        <v>0.30027975159999998</v>
      </c>
      <c r="EF45" s="31">
        <v>20.488659134999999</v>
      </c>
      <c r="EG45" s="30">
        <v>0.1548447959</v>
      </c>
      <c r="EH45" s="31">
        <v>10.193812146999999</v>
      </c>
      <c r="EI45" s="30">
        <v>8.0710748099999993E-2</v>
      </c>
      <c r="EJ45" s="31">
        <v>5.1982369199000003</v>
      </c>
      <c r="EK45" s="30">
        <v>4.37988723E-2</v>
      </c>
      <c r="EL45" s="31">
        <v>2.7551896461999998</v>
      </c>
      <c r="EM45" s="30">
        <v>2.5220497299999999E-2</v>
      </c>
      <c r="EN45" s="31">
        <v>1.5298867091999999</v>
      </c>
      <c r="EO45" s="30">
        <v>1.5586467099999999E-2</v>
      </c>
      <c r="EP45" s="31">
        <v>0.90184331600000001</v>
      </c>
      <c r="EQ45" s="30">
        <v>1.04299527E-2</v>
      </c>
      <c r="ER45" s="31">
        <v>0.56368448120000003</v>
      </c>
      <c r="ES45" s="30">
        <v>7.4855705999999998E-3</v>
      </c>
      <c r="ET45" s="31">
        <v>0.37156709850000003</v>
      </c>
      <c r="EU45" s="36">
        <v>5.6882640000000002E-3</v>
      </c>
      <c r="EV45" s="31"/>
      <c r="EW45" s="30"/>
      <c r="EX45" s="31"/>
      <c r="EY45" s="30"/>
      <c r="EZ45" s="31"/>
      <c r="FA45" s="30"/>
      <c r="FB45" s="31"/>
      <c r="FC45" s="30"/>
      <c r="FD45" s="31"/>
      <c r="FE45" s="36"/>
    </row>
    <row r="46" spans="1:161" x14ac:dyDescent="0.2">
      <c r="A46" s="12">
        <v>4100</v>
      </c>
      <c r="B46" s="2">
        <v>20234</v>
      </c>
      <c r="C46" s="15">
        <f t="shared" si="0"/>
        <v>5.2059601219440971E-3</v>
      </c>
      <c r="D46" s="15">
        <f t="shared" si="5"/>
        <v>0.71679309357374954</v>
      </c>
      <c r="E46" s="15">
        <f t="shared" si="8"/>
        <v>593.13501576641431</v>
      </c>
      <c r="F46" s="26">
        <v>2042.1592645999999</v>
      </c>
      <c r="G46" s="4">
        <v>4049.8220792000002</v>
      </c>
      <c r="H46" s="41">
        <f t="shared" si="6"/>
        <v>0.33470684407738605</v>
      </c>
      <c r="I46" s="4">
        <f t="shared" si="1"/>
        <v>341.29850856780001</v>
      </c>
      <c r="J46" s="4">
        <f>(I46*SUM($B$5:$B46)-I45*SUM($B$5:$B45))/$B46</f>
        <v>1355.5031672039497</v>
      </c>
      <c r="K46" s="4">
        <f t="shared" si="2"/>
        <v>1155.4541000839001</v>
      </c>
      <c r="L46" s="4">
        <f>(K46*SUM(B$5:B46)-K45*SUM(B$5:B45))/B46</f>
        <v>4192.5257480572463</v>
      </c>
      <c r="M46" s="41">
        <f t="shared" si="7"/>
        <v>3.5237021791692087E-2</v>
      </c>
      <c r="N46" s="4">
        <v>78.044748134000002</v>
      </c>
      <c r="O46" s="28">
        <v>8.2850757900000002E-2</v>
      </c>
      <c r="P46" s="26">
        <v>4.4538059124</v>
      </c>
      <c r="Q46" s="28">
        <v>2.2667122999999998E-3</v>
      </c>
      <c r="R46" s="4">
        <v>161.87596578</v>
      </c>
      <c r="S46" s="28">
        <v>1.0786449135</v>
      </c>
      <c r="T46" s="4">
        <v>87.645606228000005</v>
      </c>
      <c r="U46" s="28">
        <v>0.54631771740000001</v>
      </c>
      <c r="V46" s="4">
        <v>23.105235099000001</v>
      </c>
      <c r="W46" s="28">
        <v>0.1868476664</v>
      </c>
      <c r="X46" s="29" t="s">
        <v>136</v>
      </c>
      <c r="Y46" s="30">
        <v>0</v>
      </c>
      <c r="Z46" s="4">
        <v>27.158695776999998</v>
      </c>
      <c r="AA46" s="28">
        <v>4.7283698499999999E-2</v>
      </c>
      <c r="AB46" s="29" t="s">
        <v>136</v>
      </c>
      <c r="AC46" s="30">
        <v>0</v>
      </c>
      <c r="AD46" s="29" t="s">
        <v>136</v>
      </c>
      <c r="AE46" s="30">
        <v>0</v>
      </c>
      <c r="AF46" s="4">
        <v>0.46534109569999998</v>
      </c>
      <c r="AG46" s="28">
        <v>4.9881218999999997E-3</v>
      </c>
      <c r="AH46" s="4">
        <v>36.366587144999997</v>
      </c>
      <c r="AI46" s="28">
        <v>0.82937687739999999</v>
      </c>
      <c r="AJ46" s="29" t="s">
        <v>136</v>
      </c>
      <c r="AK46" s="30">
        <v>0</v>
      </c>
      <c r="AL46" s="4">
        <v>6.1522349999999998E-4</v>
      </c>
      <c r="AM46" s="28">
        <v>3.1199185000000002E-6</v>
      </c>
      <c r="AN46" s="29" t="s">
        <v>136</v>
      </c>
      <c r="AO46" s="30">
        <v>0</v>
      </c>
      <c r="AP46" s="29" t="s">
        <v>136</v>
      </c>
      <c r="AQ46" s="30">
        <v>0</v>
      </c>
      <c r="AR46" s="4">
        <f t="shared" si="3"/>
        <v>6.1522349999999998E-4</v>
      </c>
      <c r="AS46" s="28">
        <f t="shared" si="3"/>
        <v>3.1199185000000002E-6</v>
      </c>
      <c r="AT46" s="4">
        <v>116.12791525999999</v>
      </c>
      <c r="AU46" s="28">
        <v>1.5869666308000001</v>
      </c>
      <c r="AV46" s="29" t="s">
        <v>136</v>
      </c>
      <c r="AW46" s="30">
        <v>0</v>
      </c>
      <c r="AX46" s="29" t="s">
        <v>136</v>
      </c>
      <c r="AY46" s="30">
        <v>0</v>
      </c>
      <c r="AZ46" s="29" t="s">
        <v>136</v>
      </c>
      <c r="BA46" s="30">
        <v>0</v>
      </c>
      <c r="BB46" s="4">
        <v>69.408865728999999</v>
      </c>
      <c r="BC46" s="28">
        <v>2.3282036369000001</v>
      </c>
      <c r="BD46" s="4">
        <v>59.021119659</v>
      </c>
      <c r="BE46" s="28">
        <v>0.46136244409999999</v>
      </c>
      <c r="BF46" s="4">
        <v>26.910373139000001</v>
      </c>
      <c r="BG46" s="28">
        <v>0.28219035949999999</v>
      </c>
      <c r="BH46" s="4">
        <v>9.4078773618000007</v>
      </c>
      <c r="BI46" s="28">
        <v>8.1698474199999996E-2</v>
      </c>
      <c r="BJ46" s="31">
        <f t="shared" si="4"/>
        <v>22.702869158199995</v>
      </c>
      <c r="BK46" s="30">
        <f t="shared" si="4"/>
        <v>9.7473610400000021E-2</v>
      </c>
      <c r="BL46" s="4">
        <v>0</v>
      </c>
      <c r="BM46" s="30">
        <v>0</v>
      </c>
      <c r="BN46" s="4">
        <v>150.48047525000001</v>
      </c>
      <c r="BO46" s="28">
        <v>1.7198369884</v>
      </c>
      <c r="BP46" s="28">
        <v>4.4918548000000003E-3</v>
      </c>
      <c r="BQ46" s="28">
        <v>4.3231352E-6</v>
      </c>
      <c r="BR46" s="4">
        <v>125.40907396999999</v>
      </c>
      <c r="BS46" s="28">
        <v>4.0459127029999999</v>
      </c>
      <c r="BT46" s="4">
        <v>176.04746165</v>
      </c>
      <c r="BU46" s="28">
        <v>1.2505338318000001</v>
      </c>
      <c r="BV46" s="4">
        <v>39.633765304999997</v>
      </c>
      <c r="BW46" s="28">
        <v>0.187004748</v>
      </c>
      <c r="BX46" s="4">
        <v>0.20820764280000001</v>
      </c>
      <c r="BY46" s="28">
        <v>9.972608999999999E-4</v>
      </c>
      <c r="BZ46" s="4">
        <v>0</v>
      </c>
      <c r="CA46" s="33">
        <v>0</v>
      </c>
      <c r="CB46" s="29" t="s">
        <v>136</v>
      </c>
      <c r="CC46" s="30">
        <v>0</v>
      </c>
      <c r="CD46" s="4">
        <v>0.48846404440000002</v>
      </c>
      <c r="CE46" s="28">
        <v>6.8441027000000002E-3</v>
      </c>
      <c r="CF46" s="4">
        <v>22.616771055000001</v>
      </c>
      <c r="CG46" s="28">
        <v>0.18000356379999999</v>
      </c>
      <c r="CH46" s="29" t="s">
        <v>136</v>
      </c>
      <c r="CI46" s="30">
        <v>0</v>
      </c>
      <c r="CJ46" s="29" t="s">
        <v>136</v>
      </c>
      <c r="CK46" s="30">
        <v>0</v>
      </c>
      <c r="CL46" s="4">
        <v>12.142319621</v>
      </c>
      <c r="CM46" s="28">
        <v>1.30989903E-2</v>
      </c>
      <c r="CN46" s="4">
        <v>15.016376156</v>
      </c>
      <c r="CO46" s="28">
        <v>3.4184708299999998E-2</v>
      </c>
      <c r="CP46" s="29" t="s">
        <v>136</v>
      </c>
      <c r="CQ46" s="30">
        <v>0</v>
      </c>
      <c r="CR46" s="29" t="s">
        <v>136</v>
      </c>
      <c r="CS46" s="30">
        <v>0</v>
      </c>
      <c r="CT46" s="29" t="s">
        <v>136</v>
      </c>
      <c r="CU46" s="30">
        <v>0</v>
      </c>
      <c r="CV46" s="29" t="s">
        <v>136</v>
      </c>
      <c r="CW46" s="30">
        <v>0</v>
      </c>
      <c r="CX46" s="4">
        <v>0.14126108740000001</v>
      </c>
      <c r="CY46" s="28">
        <v>1.7115836E-3</v>
      </c>
      <c r="CZ46" s="4">
        <v>0.3240800083</v>
      </c>
      <c r="DA46" s="28">
        <v>3.2765382999999999E-3</v>
      </c>
      <c r="DB46" s="4">
        <v>2.9040489559</v>
      </c>
      <c r="DC46" s="28">
        <v>3.3949083900000003E-2</v>
      </c>
      <c r="DD46" s="4">
        <v>33.462538189</v>
      </c>
      <c r="DE46" s="28">
        <v>0.79542779350000004</v>
      </c>
      <c r="DF46" s="29" t="s">
        <v>136</v>
      </c>
      <c r="DG46" s="30">
        <v>0</v>
      </c>
      <c r="DH46" s="29" t="s">
        <v>136</v>
      </c>
      <c r="DI46" s="30">
        <v>0</v>
      </c>
      <c r="DJ46" s="4">
        <v>21.305533444000002</v>
      </c>
      <c r="DK46" s="28">
        <v>0.38886547690000001</v>
      </c>
      <c r="DL46" s="4">
        <v>48.103332285999997</v>
      </c>
      <c r="DM46" s="28">
        <v>1.9393381599999999</v>
      </c>
      <c r="DN46" s="4">
        <v>20.257415074000001</v>
      </c>
      <c r="DO46" s="28">
        <v>0.57546420089999994</v>
      </c>
      <c r="DP46" s="4">
        <v>130.22306018</v>
      </c>
      <c r="DQ46" s="28">
        <v>1.1443727875</v>
      </c>
      <c r="DR46" s="37">
        <v>2.2484324E-3</v>
      </c>
      <c r="DS46" s="38">
        <v>3.9121351000000002E-3</v>
      </c>
      <c r="DT46" s="38">
        <v>4.3389997000000003E-3</v>
      </c>
      <c r="DU46" s="38">
        <v>4.4214707000000001E-3</v>
      </c>
      <c r="DV46" s="38">
        <v>4.4371413E-3</v>
      </c>
      <c r="DW46" s="38">
        <v>4.4467860999999999E-3</v>
      </c>
      <c r="DX46" s="38">
        <v>4.4514927999999999E-3</v>
      </c>
      <c r="DY46" s="38">
        <v>4.4549165999999999E-3</v>
      </c>
      <c r="DZ46" s="38">
        <v>4.4579987000000001E-3</v>
      </c>
      <c r="EA46" s="39">
        <v>4.4609024999999998E-3</v>
      </c>
      <c r="EB46" s="40">
        <v>83.352554988999998</v>
      </c>
      <c r="EC46" s="30">
        <v>0.58370772500000001</v>
      </c>
      <c r="ED46" s="31">
        <v>41.909421287000001</v>
      </c>
      <c r="EE46" s="30">
        <v>0.3047760497</v>
      </c>
      <c r="EF46" s="31">
        <v>20.906073316000001</v>
      </c>
      <c r="EG46" s="30">
        <v>0.15782482370000001</v>
      </c>
      <c r="EH46" s="31">
        <v>10.452811556</v>
      </c>
      <c r="EI46" s="30">
        <v>8.2637565299999993E-2</v>
      </c>
      <c r="EJ46" s="31">
        <v>5.3560783477999996</v>
      </c>
      <c r="EK46" s="30">
        <v>4.5040019100000002E-2</v>
      </c>
      <c r="EL46" s="31">
        <v>2.8532830081</v>
      </c>
      <c r="EM46" s="30">
        <v>2.6045963500000002E-2</v>
      </c>
      <c r="EN46" s="31">
        <v>1.5929853651000001</v>
      </c>
      <c r="EO46" s="30">
        <v>1.61617072E-2</v>
      </c>
      <c r="EP46" s="31">
        <v>0.94346869529999999</v>
      </c>
      <c r="EQ46" s="30">
        <v>1.0845997600000001E-2</v>
      </c>
      <c r="ER46" s="31">
        <v>0.59214095509999998</v>
      </c>
      <c r="ES46" s="30">
        <v>7.8000146999999999E-3</v>
      </c>
      <c r="ET46" s="31">
        <v>0.39178008510000001</v>
      </c>
      <c r="EU46" s="36">
        <v>5.9365134000000002E-3</v>
      </c>
      <c r="EV46" s="31"/>
      <c r="EW46" s="30"/>
      <c r="EX46" s="31"/>
      <c r="EY46" s="30"/>
      <c r="EZ46" s="31"/>
      <c r="FA46" s="30"/>
      <c r="FB46" s="31"/>
      <c r="FC46" s="30"/>
      <c r="FD46" s="31"/>
      <c r="FE46" s="36"/>
    </row>
    <row r="47" spans="1:161" x14ac:dyDescent="0.2">
      <c r="A47" s="12">
        <v>4200</v>
      </c>
      <c r="B47" s="2">
        <v>19588</v>
      </c>
      <c r="C47" s="15">
        <f t="shared" si="0"/>
        <v>5.039752242198328E-3</v>
      </c>
      <c r="D47" s="15">
        <f t="shared" si="5"/>
        <v>0.72183284581594787</v>
      </c>
      <c r="E47" s="15">
        <f t="shared" si="8"/>
        <v>605.05121984617563</v>
      </c>
      <c r="F47" s="26">
        <v>2072.5416722999998</v>
      </c>
      <c r="G47" s="4">
        <v>4149.3660362999999</v>
      </c>
      <c r="H47" s="41">
        <f t="shared" si="6"/>
        <v>0.33818475215204596</v>
      </c>
      <c r="I47" s="4">
        <f t="shared" si="1"/>
        <v>348.71294552000006</v>
      </c>
      <c r="J47" s="4">
        <f>(I47*SUM($B$5:$B47)-I46*SUM($B$5:$B46))/$B47</f>
        <v>1403.2523245742327</v>
      </c>
      <c r="K47" s="4">
        <f t="shared" si="2"/>
        <v>1177.3723600563001</v>
      </c>
      <c r="L47" s="4">
        <f>(K47*SUM(B$5:B47)-K46*SUM(B$5:B46))/B47</f>
        <v>4294.7592109061761</v>
      </c>
      <c r="M47" s="41">
        <f t="shared" si="7"/>
        <v>3.5039852674897697E-2</v>
      </c>
      <c r="N47" s="4">
        <v>79.935082894999994</v>
      </c>
      <c r="O47" s="28">
        <v>8.3972707999999993E-2</v>
      </c>
      <c r="P47" s="26">
        <v>4.7128275768999996</v>
      </c>
      <c r="Q47" s="28">
        <v>2.3703576999999998E-3</v>
      </c>
      <c r="R47" s="4">
        <v>163.09777029</v>
      </c>
      <c r="S47" s="28">
        <v>1.0868903808999999</v>
      </c>
      <c r="T47" s="4">
        <v>88.788032463999997</v>
      </c>
      <c r="U47" s="28">
        <v>0.55402381450000004</v>
      </c>
      <c r="V47" s="4">
        <v>23.608467997000002</v>
      </c>
      <c r="W47" s="28">
        <v>0.19060999670000001</v>
      </c>
      <c r="X47" s="29" t="s">
        <v>136</v>
      </c>
      <c r="Y47" s="30">
        <v>0</v>
      </c>
      <c r="Z47" s="4">
        <v>28.239041361999998</v>
      </c>
      <c r="AA47" s="28">
        <v>4.8875262900000001E-2</v>
      </c>
      <c r="AB47" s="29" t="s">
        <v>136</v>
      </c>
      <c r="AC47" s="30">
        <v>0</v>
      </c>
      <c r="AD47" s="29" t="s">
        <v>136</v>
      </c>
      <c r="AE47" s="30">
        <v>0</v>
      </c>
      <c r="AF47" s="4">
        <v>0.48633905300000002</v>
      </c>
      <c r="AG47" s="28">
        <v>5.1935384999999999E-3</v>
      </c>
      <c r="AH47" s="4">
        <v>37.273454184000002</v>
      </c>
      <c r="AI47" s="28">
        <v>0.84866393559999997</v>
      </c>
      <c r="AJ47" s="29" t="s">
        <v>136</v>
      </c>
      <c r="AK47" s="30">
        <v>0</v>
      </c>
      <c r="AL47" s="4">
        <v>6.6231169999999998E-4</v>
      </c>
      <c r="AM47" s="28">
        <v>3.2776098000000002E-6</v>
      </c>
      <c r="AN47" s="29" t="s">
        <v>136</v>
      </c>
      <c r="AO47" s="30">
        <v>0</v>
      </c>
      <c r="AP47" s="29" t="s">
        <v>136</v>
      </c>
      <c r="AQ47" s="30">
        <v>0</v>
      </c>
      <c r="AR47" s="4">
        <f t="shared" si="3"/>
        <v>6.6231169999999998E-4</v>
      </c>
      <c r="AS47" s="28">
        <f t="shared" si="3"/>
        <v>3.2776098000000002E-6</v>
      </c>
      <c r="AT47" s="4">
        <v>117.82233803</v>
      </c>
      <c r="AU47" s="28">
        <v>1.6004860953</v>
      </c>
      <c r="AV47" s="29" t="s">
        <v>136</v>
      </c>
      <c r="AW47" s="30">
        <v>0</v>
      </c>
      <c r="AX47" s="29" t="s">
        <v>136</v>
      </c>
      <c r="AY47" s="30">
        <v>0</v>
      </c>
      <c r="AZ47" s="29" t="s">
        <v>136</v>
      </c>
      <c r="BA47" s="30">
        <v>0</v>
      </c>
      <c r="BB47" s="4">
        <v>70.481968546000004</v>
      </c>
      <c r="BC47" s="28">
        <v>2.3546494195999998</v>
      </c>
      <c r="BD47" s="4">
        <v>60.231989994999999</v>
      </c>
      <c r="BE47" s="28">
        <v>0.46830865859999998</v>
      </c>
      <c r="BF47" s="4">
        <v>27.466776101000001</v>
      </c>
      <c r="BG47" s="28">
        <v>0.28659962259999999</v>
      </c>
      <c r="BH47" s="4">
        <v>9.5379789563999999</v>
      </c>
      <c r="BI47" s="28">
        <v>8.2561892299999995E-2</v>
      </c>
      <c r="BJ47" s="31">
        <f t="shared" si="4"/>
        <v>23.227234937599995</v>
      </c>
      <c r="BK47" s="30">
        <f t="shared" si="4"/>
        <v>9.9147143699999996E-2</v>
      </c>
      <c r="BL47" s="4">
        <v>0</v>
      </c>
      <c r="BM47" s="30">
        <v>0</v>
      </c>
      <c r="BN47" s="4">
        <v>153.98077752</v>
      </c>
      <c r="BO47" s="28">
        <v>1.7443980718000001</v>
      </c>
      <c r="BP47" s="28">
        <v>4.7161434E-3</v>
      </c>
      <c r="BQ47" s="28">
        <v>4.2669892999999997E-6</v>
      </c>
      <c r="BR47" s="4">
        <v>126.93832743999999</v>
      </c>
      <c r="BS47" s="28">
        <v>4.0796394312000004</v>
      </c>
      <c r="BT47" s="4">
        <v>180.96505293000001</v>
      </c>
      <c r="BU47" s="28">
        <v>1.2823152461</v>
      </c>
      <c r="BV47" s="4">
        <v>40.593945171999998</v>
      </c>
      <c r="BW47" s="28">
        <v>0.19048172050000001</v>
      </c>
      <c r="BX47" s="4">
        <v>0.21561997799999999</v>
      </c>
      <c r="BY47" s="28">
        <v>1.0136807999999999E-3</v>
      </c>
      <c r="BZ47" s="4">
        <v>0</v>
      </c>
      <c r="CA47" s="33">
        <v>0</v>
      </c>
      <c r="CB47" s="29" t="s">
        <v>136</v>
      </c>
      <c r="CC47" s="30">
        <v>0</v>
      </c>
      <c r="CD47" s="4">
        <v>0.50469259369999997</v>
      </c>
      <c r="CE47" s="28">
        <v>7.0201839E-3</v>
      </c>
      <c r="CF47" s="4">
        <v>23.103775403</v>
      </c>
      <c r="CG47" s="28">
        <v>0.1835898128</v>
      </c>
      <c r="CH47" s="29" t="s">
        <v>136</v>
      </c>
      <c r="CI47" s="30">
        <v>0</v>
      </c>
      <c r="CJ47" s="29" t="s">
        <v>136</v>
      </c>
      <c r="CK47" s="30">
        <v>0</v>
      </c>
      <c r="CL47" s="4">
        <v>12.72239542</v>
      </c>
      <c r="CM47" s="28">
        <v>1.36014929E-2</v>
      </c>
      <c r="CN47" s="4">
        <v>15.516645942</v>
      </c>
      <c r="CO47" s="28">
        <v>3.5273770000000003E-2</v>
      </c>
      <c r="CP47" s="29" t="s">
        <v>136</v>
      </c>
      <c r="CQ47" s="30">
        <v>0</v>
      </c>
      <c r="CR47" s="29" t="s">
        <v>136</v>
      </c>
      <c r="CS47" s="30">
        <v>0</v>
      </c>
      <c r="CT47" s="29" t="s">
        <v>136</v>
      </c>
      <c r="CU47" s="30">
        <v>0</v>
      </c>
      <c r="CV47" s="29" t="s">
        <v>136</v>
      </c>
      <c r="CW47" s="30">
        <v>0</v>
      </c>
      <c r="CX47" s="4">
        <v>0.14594199020000001</v>
      </c>
      <c r="CY47" s="28">
        <v>1.7648062999999999E-3</v>
      </c>
      <c r="CZ47" s="4">
        <v>0.34039706279999998</v>
      </c>
      <c r="DA47" s="28">
        <v>3.4287321999999999E-3</v>
      </c>
      <c r="DB47" s="4">
        <v>3.0078291766</v>
      </c>
      <c r="DC47" s="28">
        <v>3.5000433599999999E-2</v>
      </c>
      <c r="DD47" s="4">
        <v>34.265625006999997</v>
      </c>
      <c r="DE47" s="28">
        <v>0.81366350210000005</v>
      </c>
      <c r="DF47" s="29" t="s">
        <v>136</v>
      </c>
      <c r="DG47" s="30">
        <v>0</v>
      </c>
      <c r="DH47" s="29" t="s">
        <v>136</v>
      </c>
      <c r="DI47" s="30">
        <v>0</v>
      </c>
      <c r="DJ47" s="4">
        <v>21.681352751999999</v>
      </c>
      <c r="DK47" s="28">
        <v>0.39457933740000001</v>
      </c>
      <c r="DL47" s="4">
        <v>48.800615794000002</v>
      </c>
      <c r="DM47" s="28">
        <v>1.9600700822999999</v>
      </c>
      <c r="DN47" s="4">
        <v>21.252444738000001</v>
      </c>
      <c r="DO47" s="28">
        <v>0.58613815130000002</v>
      </c>
      <c r="DP47" s="4">
        <v>132.72833277999999</v>
      </c>
      <c r="DQ47" s="28">
        <v>1.1582599204999999</v>
      </c>
      <c r="DR47" s="37">
        <v>2.3499107E-3</v>
      </c>
      <c r="DS47" s="38">
        <v>4.0993373000000003E-3</v>
      </c>
      <c r="DT47" s="38">
        <v>4.5530092999999999E-3</v>
      </c>
      <c r="DU47" s="38">
        <v>4.6417135000000002E-3</v>
      </c>
      <c r="DV47" s="38">
        <v>4.6583268999999998E-3</v>
      </c>
      <c r="DW47" s="38">
        <v>4.6689555000000004E-3</v>
      </c>
      <c r="DX47" s="38">
        <v>4.6741509999999997E-3</v>
      </c>
      <c r="DY47" s="38">
        <v>4.6779070000000002E-3</v>
      </c>
      <c r="DZ47" s="38">
        <v>4.6813234000000004E-3</v>
      </c>
      <c r="EA47" s="39">
        <v>4.6843852000000002E-3</v>
      </c>
      <c r="EB47" s="40">
        <v>84.312562012000001</v>
      </c>
      <c r="EC47" s="30">
        <v>0.59031995920000002</v>
      </c>
      <c r="ED47" s="31">
        <v>42.582607359000001</v>
      </c>
      <c r="EE47" s="30">
        <v>0.30954557760000001</v>
      </c>
      <c r="EF47" s="31">
        <v>21.348438012999999</v>
      </c>
      <c r="EG47" s="30">
        <v>0.1610636768</v>
      </c>
      <c r="EH47" s="31">
        <v>10.730995628000001</v>
      </c>
      <c r="EI47" s="30">
        <v>8.4759851600000005E-2</v>
      </c>
      <c r="EJ47" s="31">
        <v>5.5296660508000004</v>
      </c>
      <c r="EK47" s="30">
        <v>4.6433572899999997E-2</v>
      </c>
      <c r="EL47" s="31">
        <v>2.9631647602000002</v>
      </c>
      <c r="EM47" s="30">
        <v>2.6985604100000001E-2</v>
      </c>
      <c r="EN47" s="31">
        <v>1.6628963677999999</v>
      </c>
      <c r="EO47" s="30">
        <v>1.68106165E-2</v>
      </c>
      <c r="EP47" s="31">
        <v>0.98897347369999999</v>
      </c>
      <c r="EQ47" s="30">
        <v>1.1311836299999999E-2</v>
      </c>
      <c r="ER47" s="31">
        <v>0.62302569460000001</v>
      </c>
      <c r="ES47" s="30">
        <v>8.1497116999999994E-3</v>
      </c>
      <c r="ET47" s="31">
        <v>0.41307025040000001</v>
      </c>
      <c r="EU47" s="36">
        <v>6.2069912000000003E-3</v>
      </c>
      <c r="EV47" s="31"/>
      <c r="EW47" s="30"/>
      <c r="EX47" s="31"/>
      <c r="EY47" s="30"/>
      <c r="EZ47" s="31"/>
      <c r="FA47" s="30"/>
      <c r="FB47" s="31"/>
      <c r="FC47" s="30"/>
      <c r="FD47" s="31"/>
      <c r="FE47" s="36"/>
    </row>
    <row r="48" spans="1:161" x14ac:dyDescent="0.2">
      <c r="A48" s="12">
        <v>4300</v>
      </c>
      <c r="B48" s="2">
        <v>18824</v>
      </c>
      <c r="C48" s="15">
        <f t="shared" si="0"/>
        <v>4.8431844091863041E-3</v>
      </c>
      <c r="D48" s="15">
        <f t="shared" si="5"/>
        <v>0.72667603022513416</v>
      </c>
      <c r="E48" s="15">
        <f t="shared" si="8"/>
        <v>616.66800861899731</v>
      </c>
      <c r="F48" s="26">
        <v>2102.4690581</v>
      </c>
      <c r="G48" s="4">
        <v>4250.1688647000001</v>
      </c>
      <c r="H48" s="41">
        <f t="shared" si="6"/>
        <v>0.33615721145194305</v>
      </c>
      <c r="I48" s="4">
        <f t="shared" si="1"/>
        <v>355.91105982229999</v>
      </c>
      <c r="J48" s="4">
        <f>(I48*SUM($B$5:$B48)-I47*SUM($B$5:$B47))/$B48</f>
        <v>1428.7249137574227</v>
      </c>
      <c r="K48" s="4">
        <f t="shared" si="2"/>
        <v>1198.899822374</v>
      </c>
      <c r="L48" s="4">
        <f>(K48*SUM(B$5:B48)-K47*SUM(B$5:B47))/B48</f>
        <v>4407.3734370699294</v>
      </c>
      <c r="M48" s="41">
        <f t="shared" si="7"/>
        <v>3.6987841512745562E-2</v>
      </c>
      <c r="N48" s="4">
        <v>81.864538598999999</v>
      </c>
      <c r="O48" s="28">
        <v>8.5091841400000007E-2</v>
      </c>
      <c r="P48" s="26">
        <v>4.9582878587000003</v>
      </c>
      <c r="Q48" s="28">
        <v>2.4672015999999998E-3</v>
      </c>
      <c r="R48" s="4">
        <v>164.30354002999999</v>
      </c>
      <c r="S48" s="28">
        <v>1.0948552668</v>
      </c>
      <c r="T48" s="4">
        <v>89.878371383000001</v>
      </c>
      <c r="U48" s="28">
        <v>0.56106307609999995</v>
      </c>
      <c r="V48" s="4">
        <v>24.116479783999999</v>
      </c>
      <c r="W48" s="28">
        <v>0.19443267610000001</v>
      </c>
      <c r="X48" s="29" t="s">
        <v>136</v>
      </c>
      <c r="Y48" s="30">
        <v>0</v>
      </c>
      <c r="Z48" s="4">
        <v>29.370477751999999</v>
      </c>
      <c r="AA48" s="28">
        <v>5.0494772299999997E-2</v>
      </c>
      <c r="AB48" s="29" t="s">
        <v>136</v>
      </c>
      <c r="AC48" s="30">
        <v>0</v>
      </c>
      <c r="AD48" s="29" t="s">
        <v>136</v>
      </c>
      <c r="AE48" s="30">
        <v>0</v>
      </c>
      <c r="AF48" s="4">
        <v>0.50362488660000004</v>
      </c>
      <c r="AG48" s="28">
        <v>5.3515396E-3</v>
      </c>
      <c r="AH48" s="4">
        <v>38.228612144000003</v>
      </c>
      <c r="AI48" s="28">
        <v>0.86861066480000004</v>
      </c>
      <c r="AJ48" s="29" t="s">
        <v>136</v>
      </c>
      <c r="AK48" s="30">
        <v>0</v>
      </c>
      <c r="AL48" s="4">
        <v>6.5845270000000004E-4</v>
      </c>
      <c r="AM48" s="28">
        <v>3.2583172999999999E-6</v>
      </c>
      <c r="AN48" s="29" t="s">
        <v>136</v>
      </c>
      <c r="AO48" s="30">
        <v>0</v>
      </c>
      <c r="AP48" s="29" t="s">
        <v>136</v>
      </c>
      <c r="AQ48" s="30">
        <v>0</v>
      </c>
      <c r="AR48" s="4">
        <f t="shared" si="3"/>
        <v>6.5845270000000004E-4</v>
      </c>
      <c r="AS48" s="28">
        <f t="shared" si="3"/>
        <v>3.2583172999999999E-6</v>
      </c>
      <c r="AT48" s="4">
        <v>119.42435648999999</v>
      </c>
      <c r="AU48" s="28">
        <v>1.6133712742999999</v>
      </c>
      <c r="AV48" s="29" t="s">
        <v>136</v>
      </c>
      <c r="AW48" s="30">
        <v>0</v>
      </c>
      <c r="AX48" s="29" t="s">
        <v>136</v>
      </c>
      <c r="AY48" s="30">
        <v>0</v>
      </c>
      <c r="AZ48" s="29" t="s">
        <v>136</v>
      </c>
      <c r="BA48" s="30">
        <v>0</v>
      </c>
      <c r="BB48" s="4">
        <v>71.542255467000004</v>
      </c>
      <c r="BC48" s="28">
        <v>2.3803685349000001</v>
      </c>
      <c r="BD48" s="4">
        <v>61.384785012000002</v>
      </c>
      <c r="BE48" s="28">
        <v>0.47491274680000001</v>
      </c>
      <c r="BF48" s="4">
        <v>27.986558624000001</v>
      </c>
      <c r="BG48" s="28">
        <v>0.29073853500000002</v>
      </c>
      <c r="BH48" s="4">
        <v>9.6780512162000001</v>
      </c>
      <c r="BI48" s="28">
        <v>8.3430574600000001E-2</v>
      </c>
      <c r="BJ48" s="31">
        <f t="shared" si="4"/>
        <v>23.720175171800001</v>
      </c>
      <c r="BK48" s="30">
        <f t="shared" si="4"/>
        <v>0.10074363719999996</v>
      </c>
      <c r="BL48" s="4">
        <v>0</v>
      </c>
      <c r="BM48" s="30">
        <v>0</v>
      </c>
      <c r="BN48" s="4">
        <v>157.41211623999999</v>
      </c>
      <c r="BO48" s="28">
        <v>1.7683415696</v>
      </c>
      <c r="BP48" s="28">
        <v>4.9237344000000001E-3</v>
      </c>
      <c r="BQ48" s="28">
        <v>4.2142899999999998E-6</v>
      </c>
      <c r="BR48" s="4">
        <v>128.42135087</v>
      </c>
      <c r="BS48" s="28">
        <v>4.1122578207</v>
      </c>
      <c r="BT48" s="4">
        <v>185.74351831999999</v>
      </c>
      <c r="BU48" s="28">
        <v>1.313657444</v>
      </c>
      <c r="BV48" s="4">
        <v>41.518512350000002</v>
      </c>
      <c r="BW48" s="28">
        <v>0.19377671329999999</v>
      </c>
      <c r="BX48" s="4">
        <v>0.22767828230000001</v>
      </c>
      <c r="BY48" s="28">
        <v>1.0410867999999999E-3</v>
      </c>
      <c r="BZ48" s="4">
        <v>0</v>
      </c>
      <c r="CA48" s="33">
        <v>0</v>
      </c>
      <c r="CB48" s="29" t="s">
        <v>136</v>
      </c>
      <c r="CC48" s="30">
        <v>0</v>
      </c>
      <c r="CD48" s="4">
        <v>0.51837643200000005</v>
      </c>
      <c r="CE48" s="28">
        <v>7.1733522999999997E-3</v>
      </c>
      <c r="CF48" s="4">
        <v>23.598103351999999</v>
      </c>
      <c r="CG48" s="28">
        <v>0.18725932379999999</v>
      </c>
      <c r="CH48" s="29" t="s">
        <v>136</v>
      </c>
      <c r="CI48" s="30">
        <v>0</v>
      </c>
      <c r="CJ48" s="29" t="s">
        <v>136</v>
      </c>
      <c r="CK48" s="30">
        <v>0</v>
      </c>
      <c r="CL48" s="4">
        <v>13.375270069000001</v>
      </c>
      <c r="CM48" s="28">
        <v>1.41305284E-2</v>
      </c>
      <c r="CN48" s="4">
        <v>15.995207683</v>
      </c>
      <c r="CO48" s="28">
        <v>3.6364243900000003E-2</v>
      </c>
      <c r="CP48" s="29" t="s">
        <v>136</v>
      </c>
      <c r="CQ48" s="30">
        <v>0</v>
      </c>
      <c r="CR48" s="29" t="s">
        <v>136</v>
      </c>
      <c r="CS48" s="30">
        <v>0</v>
      </c>
      <c r="CT48" s="29" t="s">
        <v>136</v>
      </c>
      <c r="CU48" s="30">
        <v>0</v>
      </c>
      <c r="CV48" s="29" t="s">
        <v>136</v>
      </c>
      <c r="CW48" s="30">
        <v>0</v>
      </c>
      <c r="CX48" s="4">
        <v>0.15092058210000001</v>
      </c>
      <c r="CY48" s="28">
        <v>1.8071840000000001E-3</v>
      </c>
      <c r="CZ48" s="4">
        <v>0.35270430450000001</v>
      </c>
      <c r="DA48" s="28">
        <v>3.5443556000000001E-3</v>
      </c>
      <c r="DB48" s="4">
        <v>3.1366751127999999</v>
      </c>
      <c r="DC48" s="28">
        <v>3.6284026099999998E-2</v>
      </c>
      <c r="DD48" s="4">
        <v>35.091937031999997</v>
      </c>
      <c r="DE48" s="28">
        <v>0.83232663870000001</v>
      </c>
      <c r="DF48" s="29" t="s">
        <v>136</v>
      </c>
      <c r="DG48" s="30">
        <v>0</v>
      </c>
      <c r="DH48" s="29" t="s">
        <v>136</v>
      </c>
      <c r="DI48" s="30">
        <v>0</v>
      </c>
      <c r="DJ48" s="4">
        <v>22.076729853</v>
      </c>
      <c r="DK48" s="28">
        <v>0.40057909289999999</v>
      </c>
      <c r="DL48" s="4">
        <v>49.465525614000001</v>
      </c>
      <c r="DM48" s="28">
        <v>1.979789442</v>
      </c>
      <c r="DN48" s="4">
        <v>22.240613085</v>
      </c>
      <c r="DO48" s="28">
        <v>0.59672821490000005</v>
      </c>
      <c r="DP48" s="4">
        <v>135.17150315000001</v>
      </c>
      <c r="DQ48" s="28">
        <v>1.1716133546</v>
      </c>
      <c r="DR48" s="37">
        <v>2.4456164E-3</v>
      </c>
      <c r="DS48" s="38">
        <v>4.2702814999999996E-3</v>
      </c>
      <c r="DT48" s="38">
        <v>4.7475032000000002E-3</v>
      </c>
      <c r="DU48" s="38">
        <v>4.8406862000000004E-3</v>
      </c>
      <c r="DV48" s="38">
        <v>4.8582642999999998E-3</v>
      </c>
      <c r="DW48" s="38">
        <v>4.8693677999999997E-3</v>
      </c>
      <c r="DX48" s="38">
        <v>4.8748925999999998E-3</v>
      </c>
      <c r="DY48" s="38">
        <v>4.8789838000000002E-3</v>
      </c>
      <c r="DZ48" s="38">
        <v>4.8827376E-3</v>
      </c>
      <c r="EA48" s="39">
        <v>4.8861384000000001E-3</v>
      </c>
      <c r="EB48" s="40">
        <v>85.257193994999994</v>
      </c>
      <c r="EC48" s="30">
        <v>0.59668194630000004</v>
      </c>
      <c r="ED48" s="31">
        <v>43.239351308000003</v>
      </c>
      <c r="EE48" s="30">
        <v>0.31409082989999998</v>
      </c>
      <c r="EF48" s="31">
        <v>21.775191620000001</v>
      </c>
      <c r="EG48" s="30">
        <v>0.1641147037</v>
      </c>
      <c r="EH48" s="31">
        <v>10.998899406</v>
      </c>
      <c r="EI48" s="30">
        <v>8.6747612900000007E-2</v>
      </c>
      <c r="EJ48" s="31">
        <v>5.6964749548000002</v>
      </c>
      <c r="EK48" s="30">
        <v>4.7726035E-2</v>
      </c>
      <c r="EL48" s="31">
        <v>3.0646828259999999</v>
      </c>
      <c r="EM48" s="30">
        <v>2.78166738E-2</v>
      </c>
      <c r="EN48" s="31">
        <v>1.7257955917000001</v>
      </c>
      <c r="EO48" s="30">
        <v>1.7366875600000001E-2</v>
      </c>
      <c r="EP48" s="31">
        <v>1.0292840793</v>
      </c>
      <c r="EQ48" s="30">
        <v>1.16992005E-2</v>
      </c>
      <c r="ER48" s="31">
        <v>0.64958329449999996</v>
      </c>
      <c r="ES48" s="30">
        <v>8.4299027999999998E-3</v>
      </c>
      <c r="ET48" s="31">
        <v>0.43163843660000001</v>
      </c>
      <c r="EU48" s="36">
        <v>6.4222022999999998E-3</v>
      </c>
      <c r="EV48" s="31"/>
      <c r="EW48" s="30"/>
      <c r="EX48" s="31"/>
      <c r="EY48" s="30"/>
      <c r="EZ48" s="31"/>
      <c r="FA48" s="30"/>
      <c r="FB48" s="31"/>
      <c r="FC48" s="30"/>
      <c r="FD48" s="31"/>
      <c r="FE48" s="36"/>
    </row>
    <row r="49" spans="1:161" x14ac:dyDescent="0.2">
      <c r="A49" s="12">
        <v>4400</v>
      </c>
      <c r="B49" s="2">
        <v>18279</v>
      </c>
      <c r="C49" s="15">
        <f t="shared" si="0"/>
        <v>4.7029625911345335E-3</v>
      </c>
      <c r="D49" s="15">
        <f t="shared" si="5"/>
        <v>0.73137899281626872</v>
      </c>
      <c r="E49" s="15">
        <f t="shared" si="8"/>
        <v>628.10659506641014</v>
      </c>
      <c r="F49" s="26">
        <v>2131.9418771000001</v>
      </c>
      <c r="G49" s="4">
        <v>4349.8288124000001</v>
      </c>
      <c r="H49" s="41">
        <f t="shared" si="6"/>
        <v>0.33864079776092898</v>
      </c>
      <c r="I49" s="4">
        <f t="shared" si="1"/>
        <v>363.09443025220003</v>
      </c>
      <c r="J49" s="4">
        <f>(I49*SUM($B$5:$B49)-I48*SUM($B$5:$B48))/$B49</f>
        <v>1473.0294991546102</v>
      </c>
      <c r="K49" s="4">
        <f t="shared" si="2"/>
        <v>1220.1080782501999</v>
      </c>
      <c r="L49" s="4">
        <f>(K49*SUM(B$5:B49)-K48*SUM(B$5:B48))/B49</f>
        <v>4497.0916581680558</v>
      </c>
      <c r="M49" s="41">
        <f t="shared" si="7"/>
        <v>3.385486006903432E-2</v>
      </c>
      <c r="N49" s="4">
        <v>83.820306286000005</v>
      </c>
      <c r="O49" s="28">
        <v>8.6216877499999997E-2</v>
      </c>
      <c r="P49" s="26">
        <v>5.2148324725000004</v>
      </c>
      <c r="Q49" s="28">
        <v>2.5660225E-3</v>
      </c>
      <c r="R49" s="4">
        <v>165.42765424999999</v>
      </c>
      <c r="S49" s="28">
        <v>1.1024368367999999</v>
      </c>
      <c r="T49" s="4">
        <v>90.970385299</v>
      </c>
      <c r="U49" s="28">
        <v>0.56806458500000001</v>
      </c>
      <c r="V49" s="4">
        <v>24.609202612000001</v>
      </c>
      <c r="W49" s="28">
        <v>0.19817930850000001</v>
      </c>
      <c r="X49" s="29" t="s">
        <v>136</v>
      </c>
      <c r="Y49" s="30">
        <v>0</v>
      </c>
      <c r="Z49" s="4">
        <v>30.427358854000001</v>
      </c>
      <c r="AA49" s="28">
        <v>5.2057079499999999E-2</v>
      </c>
      <c r="AB49" s="29" t="s">
        <v>136</v>
      </c>
      <c r="AC49" s="30">
        <v>0</v>
      </c>
      <c r="AD49" s="29" t="s">
        <v>136</v>
      </c>
      <c r="AE49" s="30">
        <v>0</v>
      </c>
      <c r="AF49" s="4">
        <v>0.52212131949999996</v>
      </c>
      <c r="AG49" s="28">
        <v>5.5476941999999998E-3</v>
      </c>
      <c r="AH49" s="4">
        <v>39.141107191000003</v>
      </c>
      <c r="AI49" s="28">
        <v>0.8875190825</v>
      </c>
      <c r="AJ49" s="29" t="s">
        <v>136</v>
      </c>
      <c r="AK49" s="30">
        <v>0</v>
      </c>
      <c r="AL49" s="4">
        <v>7.3445800000000001E-4</v>
      </c>
      <c r="AM49" s="28">
        <v>3.7658183999999998E-6</v>
      </c>
      <c r="AN49" s="29" t="s">
        <v>136</v>
      </c>
      <c r="AO49" s="30">
        <v>0</v>
      </c>
      <c r="AP49" s="29" t="s">
        <v>136</v>
      </c>
      <c r="AQ49" s="30">
        <v>0</v>
      </c>
      <c r="AR49" s="4">
        <f t="shared" si="3"/>
        <v>7.3445800000000001E-4</v>
      </c>
      <c r="AS49" s="28">
        <f t="shared" si="3"/>
        <v>3.7658183999999998E-6</v>
      </c>
      <c r="AT49" s="4">
        <v>120.96342199</v>
      </c>
      <c r="AU49" s="28">
        <v>1.6257656125</v>
      </c>
      <c r="AV49" s="29" t="s">
        <v>136</v>
      </c>
      <c r="AW49" s="30">
        <v>0</v>
      </c>
      <c r="AX49" s="29" t="s">
        <v>136</v>
      </c>
      <c r="AY49" s="30">
        <v>0</v>
      </c>
      <c r="AZ49" s="29" t="s">
        <v>136</v>
      </c>
      <c r="BA49" s="30">
        <v>0</v>
      </c>
      <c r="BB49" s="4">
        <v>72.582456367999995</v>
      </c>
      <c r="BC49" s="28">
        <v>2.4053520218000002</v>
      </c>
      <c r="BD49" s="4">
        <v>62.523133209999997</v>
      </c>
      <c r="BE49" s="28">
        <v>0.48146462480000002</v>
      </c>
      <c r="BF49" s="4">
        <v>28.483832666000001</v>
      </c>
      <c r="BG49" s="28">
        <v>0.29481023839999998</v>
      </c>
      <c r="BH49" s="4">
        <v>9.8126347928000008</v>
      </c>
      <c r="BI49" s="28">
        <v>8.4268325800000002E-2</v>
      </c>
      <c r="BJ49" s="31">
        <f t="shared" si="4"/>
        <v>24.226665751199995</v>
      </c>
      <c r="BK49" s="30">
        <f t="shared" si="4"/>
        <v>0.10238606060000005</v>
      </c>
      <c r="BL49" s="4">
        <v>0</v>
      </c>
      <c r="BM49" s="30">
        <v>0</v>
      </c>
      <c r="BN49" s="4">
        <v>160.81019922999999</v>
      </c>
      <c r="BO49" s="28">
        <v>1.7917690314000001</v>
      </c>
      <c r="BP49" s="28">
        <v>5.1368207000000001E-3</v>
      </c>
      <c r="BQ49" s="28">
        <v>4.1644027000000004E-6</v>
      </c>
      <c r="BR49" s="4">
        <v>129.82493016999999</v>
      </c>
      <c r="BS49" s="28">
        <v>4.1426865070999996</v>
      </c>
      <c r="BT49" s="4">
        <v>190.62469777000001</v>
      </c>
      <c r="BU49" s="28">
        <v>1.3453008544</v>
      </c>
      <c r="BV49" s="4">
        <v>42.406831394000001</v>
      </c>
      <c r="BW49" s="28">
        <v>0.19700685079999999</v>
      </c>
      <c r="BX49" s="4">
        <v>0.23797091819999999</v>
      </c>
      <c r="BY49" s="28">
        <v>1.0707637E-3</v>
      </c>
      <c r="BZ49" s="4">
        <v>0</v>
      </c>
      <c r="CA49" s="33">
        <v>0</v>
      </c>
      <c r="CB49" s="29" t="s">
        <v>136</v>
      </c>
      <c r="CC49" s="30">
        <v>0</v>
      </c>
      <c r="CD49" s="4">
        <v>0.5299518043</v>
      </c>
      <c r="CE49" s="28">
        <v>7.3176513000000002E-3</v>
      </c>
      <c r="CF49" s="4">
        <v>24.079250808000001</v>
      </c>
      <c r="CG49" s="28">
        <v>0.19086165720000001</v>
      </c>
      <c r="CH49" s="29" t="s">
        <v>136</v>
      </c>
      <c r="CI49" s="30">
        <v>0</v>
      </c>
      <c r="CJ49" s="29" t="s">
        <v>136</v>
      </c>
      <c r="CK49" s="30">
        <v>0</v>
      </c>
      <c r="CL49" s="4">
        <v>13.966344082999999</v>
      </c>
      <c r="CM49" s="28">
        <v>1.4636736900000001E-2</v>
      </c>
      <c r="CN49" s="4">
        <v>16.461014770999999</v>
      </c>
      <c r="CO49" s="28">
        <v>3.7420342500000002E-2</v>
      </c>
      <c r="CP49" s="29" t="s">
        <v>136</v>
      </c>
      <c r="CQ49" s="30">
        <v>0</v>
      </c>
      <c r="CR49" s="29" t="s">
        <v>136</v>
      </c>
      <c r="CS49" s="30">
        <v>0</v>
      </c>
      <c r="CT49" s="29" t="s">
        <v>136</v>
      </c>
      <c r="CU49" s="30">
        <v>0</v>
      </c>
      <c r="CV49" s="29" t="s">
        <v>136</v>
      </c>
      <c r="CW49" s="30">
        <v>0</v>
      </c>
      <c r="CX49" s="4">
        <v>0.15784457020000001</v>
      </c>
      <c r="CY49" s="28">
        <v>1.8989574000000001E-3</v>
      </c>
      <c r="CZ49" s="4">
        <v>0.36427674929999998</v>
      </c>
      <c r="DA49" s="28">
        <v>3.6487367999999999E-3</v>
      </c>
      <c r="DB49" s="4">
        <v>3.2434819081000001</v>
      </c>
      <c r="DC49" s="28">
        <v>3.7322342299999998E-2</v>
      </c>
      <c r="DD49" s="4">
        <v>35.897625283000004</v>
      </c>
      <c r="DE49" s="28">
        <v>0.85019674010000001</v>
      </c>
      <c r="DF49" s="29" t="s">
        <v>136</v>
      </c>
      <c r="DG49" s="30">
        <v>0</v>
      </c>
      <c r="DH49" s="29" t="s">
        <v>136</v>
      </c>
      <c r="DI49" s="30">
        <v>0</v>
      </c>
      <c r="DJ49" s="4">
        <v>22.451554169000001</v>
      </c>
      <c r="DK49" s="28">
        <v>0.40603397819999998</v>
      </c>
      <c r="DL49" s="4">
        <v>50.130902198000001</v>
      </c>
      <c r="DM49" s="28">
        <v>1.9993180436</v>
      </c>
      <c r="DN49" s="4">
        <v>23.246265824000002</v>
      </c>
      <c r="DO49" s="28">
        <v>0.60685182910000002</v>
      </c>
      <c r="DP49" s="4">
        <v>137.5639334</v>
      </c>
      <c r="DQ49" s="28">
        <v>1.1849172023000001</v>
      </c>
      <c r="DR49" s="37">
        <v>2.5428402999999999E-3</v>
      </c>
      <c r="DS49" s="38">
        <v>4.4471577999999996E-3</v>
      </c>
      <c r="DT49" s="38">
        <v>4.9508388999999998E-3</v>
      </c>
      <c r="DU49" s="38">
        <v>5.0517302E-3</v>
      </c>
      <c r="DV49" s="38">
        <v>5.0700551999999996E-3</v>
      </c>
      <c r="DW49" s="38">
        <v>5.0814485000000003E-3</v>
      </c>
      <c r="DX49" s="38">
        <v>5.0871183000000004E-3</v>
      </c>
      <c r="DY49" s="38">
        <v>5.0913601999999997E-3</v>
      </c>
      <c r="DZ49" s="38">
        <v>5.0952664999999999E-3</v>
      </c>
      <c r="EA49" s="39">
        <v>5.0988214E-3</v>
      </c>
      <c r="EB49" s="40">
        <v>86.149513490999993</v>
      </c>
      <c r="EC49" s="30">
        <v>0.60278303290000002</v>
      </c>
      <c r="ED49" s="31">
        <v>43.862970763</v>
      </c>
      <c r="EE49" s="30">
        <v>0.31846819869999998</v>
      </c>
      <c r="EF49" s="31">
        <v>22.183070265000001</v>
      </c>
      <c r="EG49" s="30">
        <v>0.1670677693</v>
      </c>
      <c r="EH49" s="31">
        <v>11.260043222</v>
      </c>
      <c r="EI49" s="30">
        <v>8.8711410700000007E-2</v>
      </c>
      <c r="EJ49" s="31">
        <v>5.8632774175</v>
      </c>
      <c r="EK49" s="30">
        <v>4.9038393499999999E-2</v>
      </c>
      <c r="EL49" s="31">
        <v>3.1716027503999999</v>
      </c>
      <c r="EM49" s="30">
        <v>2.87076125E-2</v>
      </c>
      <c r="EN49" s="31">
        <v>1.7948507383000001</v>
      </c>
      <c r="EO49" s="30">
        <v>1.79863096E-2</v>
      </c>
      <c r="EP49" s="31">
        <v>1.0746133959999999</v>
      </c>
      <c r="EQ49" s="30">
        <v>1.21437974E-2</v>
      </c>
      <c r="ER49" s="31">
        <v>0.68020026919999999</v>
      </c>
      <c r="ES49" s="30">
        <v>8.7632404000000004E-3</v>
      </c>
      <c r="ET49" s="31">
        <v>0.4528255457</v>
      </c>
      <c r="EU49" s="36">
        <v>6.6811804999999998E-3</v>
      </c>
      <c r="EV49" s="31"/>
      <c r="EW49" s="30"/>
      <c r="EX49" s="31"/>
      <c r="EY49" s="30"/>
      <c r="EZ49" s="31"/>
      <c r="FA49" s="30"/>
      <c r="FB49" s="31"/>
      <c r="FC49" s="30"/>
      <c r="FD49" s="31"/>
      <c r="FE49" s="36"/>
    </row>
    <row r="50" spans="1:161" x14ac:dyDescent="0.2">
      <c r="A50" s="12">
        <v>4500</v>
      </c>
      <c r="B50" s="2">
        <v>17764</v>
      </c>
      <c r="C50" s="15">
        <f t="shared" si="0"/>
        <v>4.5704594052690985E-3</v>
      </c>
      <c r="D50" s="15">
        <f t="shared" si="5"/>
        <v>0.73594945222153785</v>
      </c>
      <c r="E50" s="15">
        <f t="shared" si="8"/>
        <v>639.37377802592027</v>
      </c>
      <c r="F50" s="26">
        <v>2160.8768488000001</v>
      </c>
      <c r="G50" s="4">
        <v>4449.9582344999999</v>
      </c>
      <c r="H50" s="41">
        <f t="shared" si="6"/>
        <v>0.33876967203788283</v>
      </c>
      <c r="I50" s="4">
        <f t="shared" si="1"/>
        <v>370.2015881744</v>
      </c>
      <c r="J50" s="4">
        <f>(I50*SUM($B$5:$B50)-I49*SUM($B$5:$B49))/$B50</f>
        <v>1507.510891683841</v>
      </c>
      <c r="K50" s="4">
        <f t="shared" si="2"/>
        <v>1241.1574776074999</v>
      </c>
      <c r="L50" s="4">
        <f>(K50*SUM(B$5:B50)-K49*SUM(B$5:B49))/B50</f>
        <v>4609.5472030650926</v>
      </c>
      <c r="M50" s="41">
        <f t="shared" si="7"/>
        <v>3.5863026157822858E-2</v>
      </c>
      <c r="N50" s="4">
        <v>85.685812826000003</v>
      </c>
      <c r="O50" s="28">
        <v>8.7274709199999995E-2</v>
      </c>
      <c r="P50" s="26">
        <v>5.4720184104999996</v>
      </c>
      <c r="Q50" s="28">
        <v>2.6616258000000002E-3</v>
      </c>
      <c r="R50" s="4">
        <v>166.51168134</v>
      </c>
      <c r="S50" s="28">
        <v>1.109739163</v>
      </c>
      <c r="T50" s="4">
        <v>92.025263791</v>
      </c>
      <c r="U50" s="28">
        <v>0.57495990480000003</v>
      </c>
      <c r="V50" s="4">
        <v>25.107168159</v>
      </c>
      <c r="W50" s="28">
        <v>0.20198485790000001</v>
      </c>
      <c r="X50" s="29" t="s">
        <v>136</v>
      </c>
      <c r="Y50" s="30">
        <v>0</v>
      </c>
      <c r="Z50" s="4">
        <v>31.479946743999999</v>
      </c>
      <c r="AA50" s="28">
        <v>5.3534377600000002E-2</v>
      </c>
      <c r="AB50" s="29" t="s">
        <v>136</v>
      </c>
      <c r="AC50" s="30">
        <v>0</v>
      </c>
      <c r="AD50" s="29" t="s">
        <v>136</v>
      </c>
      <c r="AE50" s="30">
        <v>0</v>
      </c>
      <c r="AF50" s="4">
        <v>0.53919021659999999</v>
      </c>
      <c r="AG50" s="28">
        <v>5.7176626999999999E-3</v>
      </c>
      <c r="AH50" s="4">
        <v>40.131103842999998</v>
      </c>
      <c r="AI50" s="28">
        <v>0.90838916039999995</v>
      </c>
      <c r="AJ50" s="29" t="s">
        <v>136</v>
      </c>
      <c r="AK50" s="30">
        <v>0</v>
      </c>
      <c r="AL50" s="4">
        <v>7.3044549999999998E-4</v>
      </c>
      <c r="AM50" s="28">
        <v>3.7450090000000002E-6</v>
      </c>
      <c r="AN50" s="29" t="s">
        <v>136</v>
      </c>
      <c r="AO50" s="30">
        <v>0</v>
      </c>
      <c r="AP50" s="29" t="s">
        <v>136</v>
      </c>
      <c r="AQ50" s="30">
        <v>0</v>
      </c>
      <c r="AR50" s="4">
        <f t="shared" si="3"/>
        <v>7.3044549999999998E-4</v>
      </c>
      <c r="AS50" s="28">
        <f t="shared" si="3"/>
        <v>3.7450090000000002E-6</v>
      </c>
      <c r="AT50" s="4">
        <v>122.47586293000001</v>
      </c>
      <c r="AU50" s="28">
        <v>1.6378946787999999</v>
      </c>
      <c r="AV50" s="29" t="s">
        <v>136</v>
      </c>
      <c r="AW50" s="30">
        <v>0</v>
      </c>
      <c r="AX50" s="29" t="s">
        <v>136</v>
      </c>
      <c r="AY50" s="30">
        <v>0</v>
      </c>
      <c r="AZ50" s="29" t="s">
        <v>136</v>
      </c>
      <c r="BA50" s="30">
        <v>0</v>
      </c>
      <c r="BB50" s="4">
        <v>73.596149765999996</v>
      </c>
      <c r="BC50" s="28">
        <v>2.4290627671</v>
      </c>
      <c r="BD50" s="4">
        <v>63.661411805999997</v>
      </c>
      <c r="BE50" s="28">
        <v>0.48785583589999998</v>
      </c>
      <c r="BF50" s="4">
        <v>28.971493227</v>
      </c>
      <c r="BG50" s="28">
        <v>0.2987617407</v>
      </c>
      <c r="BH50" s="4">
        <v>9.9500924979000001</v>
      </c>
      <c r="BI50" s="28">
        <v>8.5098793800000003E-2</v>
      </c>
      <c r="BJ50" s="31">
        <f t="shared" si="4"/>
        <v>24.739826081099999</v>
      </c>
      <c r="BK50" s="30">
        <f t="shared" si="4"/>
        <v>0.10399530139999996</v>
      </c>
      <c r="BL50" s="4">
        <v>0</v>
      </c>
      <c r="BM50" s="30">
        <v>0</v>
      </c>
      <c r="BN50" s="4">
        <v>164.26881871000001</v>
      </c>
      <c r="BO50" s="28">
        <v>1.8149936448999999</v>
      </c>
      <c r="BP50" s="28">
        <v>5.3454364000000004E-3</v>
      </c>
      <c r="BQ50" s="28">
        <v>4.1156404E-6</v>
      </c>
      <c r="BR50" s="4">
        <v>131.21385802</v>
      </c>
      <c r="BS50" s="28">
        <v>4.1731176865000004</v>
      </c>
      <c r="BT50" s="4">
        <v>195.41608853</v>
      </c>
      <c r="BU50" s="28">
        <v>1.3757571342999999</v>
      </c>
      <c r="BV50" s="4">
        <v>43.320766183000003</v>
      </c>
      <c r="BW50" s="28">
        <v>0.2003281589</v>
      </c>
      <c r="BX50" s="4">
        <v>0.25087544140000001</v>
      </c>
      <c r="BY50" s="28">
        <v>1.0899340000000001E-3</v>
      </c>
      <c r="BZ50" s="4">
        <v>0</v>
      </c>
      <c r="CA50" s="33">
        <v>0</v>
      </c>
      <c r="CB50" s="29" t="s">
        <v>136</v>
      </c>
      <c r="CC50" s="30">
        <v>0</v>
      </c>
      <c r="CD50" s="4">
        <v>0.54685304530000001</v>
      </c>
      <c r="CE50" s="28">
        <v>7.5016859E-3</v>
      </c>
      <c r="CF50" s="4">
        <v>24.560315114000002</v>
      </c>
      <c r="CG50" s="28">
        <v>0.19448317200000001</v>
      </c>
      <c r="CH50" s="29" t="s">
        <v>136</v>
      </c>
      <c r="CI50" s="30">
        <v>0</v>
      </c>
      <c r="CJ50" s="29" t="s">
        <v>136</v>
      </c>
      <c r="CK50" s="30">
        <v>0</v>
      </c>
      <c r="CL50" s="4">
        <v>14.559302223</v>
      </c>
      <c r="CM50" s="28">
        <v>1.5118929099999999E-2</v>
      </c>
      <c r="CN50" s="4">
        <v>16.920644521</v>
      </c>
      <c r="CO50" s="28">
        <v>3.8415448599999999E-2</v>
      </c>
      <c r="CP50" s="29" t="s">
        <v>136</v>
      </c>
      <c r="CQ50" s="30">
        <v>0</v>
      </c>
      <c r="CR50" s="29" t="s">
        <v>136</v>
      </c>
      <c r="CS50" s="30">
        <v>0</v>
      </c>
      <c r="CT50" s="29" t="s">
        <v>136</v>
      </c>
      <c r="CU50" s="30">
        <v>0</v>
      </c>
      <c r="CV50" s="29" t="s">
        <v>136</v>
      </c>
      <c r="CW50" s="30">
        <v>0</v>
      </c>
      <c r="CX50" s="4">
        <v>0.16193019010000001</v>
      </c>
      <c r="CY50" s="28">
        <v>1.9548362999999998E-3</v>
      </c>
      <c r="CZ50" s="4">
        <v>0.3772600264</v>
      </c>
      <c r="DA50" s="28">
        <v>3.7628264000000001E-3</v>
      </c>
      <c r="DB50" s="4">
        <v>3.3581492536000002</v>
      </c>
      <c r="DC50" s="28">
        <v>3.8469540400000002E-2</v>
      </c>
      <c r="DD50" s="4">
        <v>36.772954589999998</v>
      </c>
      <c r="DE50" s="28">
        <v>0.8699196199</v>
      </c>
      <c r="DF50" s="29" t="s">
        <v>136</v>
      </c>
      <c r="DG50" s="30">
        <v>0</v>
      </c>
      <c r="DH50" s="29" t="s">
        <v>136</v>
      </c>
      <c r="DI50" s="30">
        <v>0</v>
      </c>
      <c r="DJ50" s="4">
        <v>22.831240678</v>
      </c>
      <c r="DK50" s="28">
        <v>0.41160274479999998</v>
      </c>
      <c r="DL50" s="4">
        <v>50.764909088000003</v>
      </c>
      <c r="DM50" s="28">
        <v>2.0174600222999999</v>
      </c>
      <c r="DN50" s="4">
        <v>24.317399622</v>
      </c>
      <c r="DO50" s="28">
        <v>0.61718820630000004</v>
      </c>
      <c r="DP50" s="4">
        <v>139.95141909</v>
      </c>
      <c r="DQ50" s="28">
        <v>1.1978054386000001</v>
      </c>
      <c r="DR50" s="37">
        <v>2.6375529999999999E-3</v>
      </c>
      <c r="DS50" s="38">
        <v>4.6222855999999996E-3</v>
      </c>
      <c r="DT50" s="38">
        <v>5.1528216999999999E-3</v>
      </c>
      <c r="DU50" s="38">
        <v>5.2597180999999996E-3</v>
      </c>
      <c r="DV50" s="38">
        <v>5.2786227999999996E-3</v>
      </c>
      <c r="DW50" s="38">
        <v>5.2902890000000001E-3</v>
      </c>
      <c r="DX50" s="38">
        <v>5.2960879000000004E-3</v>
      </c>
      <c r="DY50" s="38">
        <v>5.3003049000000003E-3</v>
      </c>
      <c r="DZ50" s="38">
        <v>5.3041879999999996E-3</v>
      </c>
      <c r="EA50" s="39">
        <v>5.3077215000000002E-3</v>
      </c>
      <c r="EB50" s="40">
        <v>87.004459006999994</v>
      </c>
      <c r="EC50" s="30">
        <v>0.6086637587</v>
      </c>
      <c r="ED50" s="31">
        <v>44.457545621000001</v>
      </c>
      <c r="EE50" s="30">
        <v>0.32269664469999998</v>
      </c>
      <c r="EF50" s="31">
        <v>22.566037604000002</v>
      </c>
      <c r="EG50" s="30">
        <v>0.16991754740000001</v>
      </c>
      <c r="EH50" s="31">
        <v>11.500117406999999</v>
      </c>
      <c r="EI50" s="30">
        <v>9.0594243599999999E-2</v>
      </c>
      <c r="EJ50" s="31">
        <v>6.0124465085000001</v>
      </c>
      <c r="EK50" s="30">
        <v>5.0287851699999997E-2</v>
      </c>
      <c r="EL50" s="31">
        <v>3.2643557235</v>
      </c>
      <c r="EM50" s="30">
        <v>2.9555464E-2</v>
      </c>
      <c r="EN50" s="31">
        <v>1.8554507433</v>
      </c>
      <c r="EO50" s="30">
        <v>1.85973348E-2</v>
      </c>
      <c r="EP50" s="31">
        <v>1.1153694677999999</v>
      </c>
      <c r="EQ50" s="30">
        <v>1.2604417600000001E-2</v>
      </c>
      <c r="ER50" s="31">
        <v>0.70791023779999995</v>
      </c>
      <c r="ES50" s="30">
        <v>9.1203034999999995E-3</v>
      </c>
      <c r="ET50" s="31">
        <v>0.47200860090000002</v>
      </c>
      <c r="EU50" s="36">
        <v>6.965812E-3</v>
      </c>
      <c r="EV50" s="31"/>
      <c r="EW50" s="30"/>
      <c r="EX50" s="31"/>
      <c r="EY50" s="30"/>
      <c r="EZ50" s="31"/>
      <c r="FA50" s="30"/>
      <c r="FB50" s="31"/>
      <c r="FC50" s="30"/>
      <c r="FD50" s="31"/>
      <c r="FE50" s="36"/>
    </row>
    <row r="51" spans="1:161" x14ac:dyDescent="0.2">
      <c r="A51" s="12">
        <v>4600</v>
      </c>
      <c r="B51" s="2">
        <v>17231</v>
      </c>
      <c r="C51" s="15">
        <f t="shared" si="0"/>
        <v>4.4333250400918622E-3</v>
      </c>
      <c r="D51" s="15">
        <f t="shared" si="5"/>
        <v>0.74038277726162971</v>
      </c>
      <c r="E51" s="15">
        <f t="shared" si="8"/>
        <v>650.44692053008248</v>
      </c>
      <c r="F51" s="26">
        <v>2189.3532546000001</v>
      </c>
      <c r="G51" s="4">
        <v>4549.7896828000003</v>
      </c>
      <c r="H51" s="41">
        <f t="shared" si="6"/>
        <v>0.33866628531247889</v>
      </c>
      <c r="I51" s="4">
        <f t="shared" si="1"/>
        <v>377.21135535690007</v>
      </c>
      <c r="J51" s="4">
        <f>(I51*SUM($B$5:$B51)-I50*SUM($B$5:$B50))/$B51</f>
        <v>1540.8603708269177</v>
      </c>
      <c r="K51" s="4">
        <f t="shared" si="2"/>
        <v>1261.9612711777002</v>
      </c>
      <c r="L51" s="4">
        <f>(K51*SUM(B$5:B51)-K50*SUM(B$5:B50))/B51</f>
        <v>4715.4731034167398</v>
      </c>
      <c r="M51" s="41">
        <f t="shared" si="7"/>
        <v>3.6415621856783459E-2</v>
      </c>
      <c r="N51" s="4">
        <v>87.541798847999999</v>
      </c>
      <c r="O51" s="28">
        <v>8.8295076799999997E-2</v>
      </c>
      <c r="P51" s="26">
        <v>5.7562874482000002</v>
      </c>
      <c r="Q51" s="28">
        <v>2.7654969E-3</v>
      </c>
      <c r="R51" s="4">
        <v>167.58784918000001</v>
      </c>
      <c r="S51" s="28">
        <v>1.1169463262999999</v>
      </c>
      <c r="T51" s="4">
        <v>93.045044157000007</v>
      </c>
      <c r="U51" s="28">
        <v>0.58182114360000003</v>
      </c>
      <c r="V51" s="4">
        <v>25.595296834999999</v>
      </c>
      <c r="W51" s="28">
        <v>0.2055495403</v>
      </c>
      <c r="X51" s="29" t="s">
        <v>136</v>
      </c>
      <c r="Y51" s="30">
        <v>0</v>
      </c>
      <c r="Z51" s="4">
        <v>32.604333138000001</v>
      </c>
      <c r="AA51" s="28">
        <v>5.51256096E-2</v>
      </c>
      <c r="AB51" s="29" t="s">
        <v>136</v>
      </c>
      <c r="AC51" s="30">
        <v>0</v>
      </c>
      <c r="AD51" s="29" t="s">
        <v>136</v>
      </c>
      <c r="AE51" s="30">
        <v>0</v>
      </c>
      <c r="AF51" s="4">
        <v>0.55663895100000005</v>
      </c>
      <c r="AG51" s="28">
        <v>5.8916387999999997E-3</v>
      </c>
      <c r="AH51" s="4">
        <v>41.035395754</v>
      </c>
      <c r="AI51" s="28">
        <v>0.92711492090000003</v>
      </c>
      <c r="AJ51" s="29" t="s">
        <v>136</v>
      </c>
      <c r="AK51" s="30">
        <v>0</v>
      </c>
      <c r="AL51" s="4">
        <v>7.491768E-4</v>
      </c>
      <c r="AM51" s="28">
        <v>3.8847488000000003E-6</v>
      </c>
      <c r="AN51" s="29" t="s">
        <v>136</v>
      </c>
      <c r="AO51" s="30">
        <v>0</v>
      </c>
      <c r="AP51" s="29" t="s">
        <v>136</v>
      </c>
      <c r="AQ51" s="30">
        <v>0</v>
      </c>
      <c r="AR51" s="4">
        <f t="shared" si="3"/>
        <v>7.491768E-4</v>
      </c>
      <c r="AS51" s="28">
        <f t="shared" si="3"/>
        <v>3.8847488000000003E-6</v>
      </c>
      <c r="AT51" s="4">
        <v>123.92849775000001</v>
      </c>
      <c r="AU51" s="28">
        <v>1.6495839830000001</v>
      </c>
      <c r="AV51" s="29" t="s">
        <v>136</v>
      </c>
      <c r="AW51" s="30">
        <v>0</v>
      </c>
      <c r="AX51" s="29" t="s">
        <v>136</v>
      </c>
      <c r="AY51" s="30">
        <v>0</v>
      </c>
      <c r="AZ51" s="29" t="s">
        <v>136</v>
      </c>
      <c r="BA51" s="30">
        <v>0</v>
      </c>
      <c r="BB51" s="4">
        <v>74.586525426999998</v>
      </c>
      <c r="BC51" s="28">
        <v>2.4527835096000001</v>
      </c>
      <c r="BD51" s="4">
        <v>64.766323968999998</v>
      </c>
      <c r="BE51" s="28">
        <v>0.49410402799999997</v>
      </c>
      <c r="BF51" s="4">
        <v>29.453683873999999</v>
      </c>
      <c r="BG51" s="28">
        <v>0.30260377840000002</v>
      </c>
      <c r="BH51" s="4">
        <v>10.090202151</v>
      </c>
      <c r="BI51" s="28">
        <v>8.5970431299999997E-2</v>
      </c>
      <c r="BJ51" s="31">
        <f t="shared" si="4"/>
        <v>25.222437943999999</v>
      </c>
      <c r="BK51" s="30">
        <f t="shared" si="4"/>
        <v>0.10552981829999997</v>
      </c>
      <c r="BL51" s="4">
        <v>0</v>
      </c>
      <c r="BM51" s="30">
        <v>0</v>
      </c>
      <c r="BN51" s="4">
        <v>167.74442601000001</v>
      </c>
      <c r="BO51" s="28">
        <v>1.838315664</v>
      </c>
      <c r="BP51" s="28">
        <v>5.5599350000000002E-3</v>
      </c>
      <c r="BQ51" s="28">
        <v>4.0700557E-6</v>
      </c>
      <c r="BR51" s="4">
        <v>132.57443021</v>
      </c>
      <c r="BS51" s="28">
        <v>4.2026924475999996</v>
      </c>
      <c r="BT51" s="4">
        <v>200.12542991000001</v>
      </c>
      <c r="BU51" s="28">
        <v>1.4063979467000001</v>
      </c>
      <c r="BV51" s="4">
        <v>44.239436247999997</v>
      </c>
      <c r="BW51" s="28">
        <v>0.20356691930000001</v>
      </c>
      <c r="BX51" s="4">
        <v>0.27205898890000002</v>
      </c>
      <c r="BY51" s="28">
        <v>1.1214097999999999E-3</v>
      </c>
      <c r="BZ51" s="4">
        <v>0</v>
      </c>
      <c r="CA51" s="33">
        <v>0</v>
      </c>
      <c r="CB51" s="29" t="s">
        <v>136</v>
      </c>
      <c r="CC51" s="30">
        <v>0</v>
      </c>
      <c r="CD51" s="4">
        <v>0.56172376369999999</v>
      </c>
      <c r="CE51" s="28">
        <v>7.6849784000000004E-3</v>
      </c>
      <c r="CF51" s="4">
        <v>25.033573070999999</v>
      </c>
      <c r="CG51" s="28">
        <v>0.19786456180000001</v>
      </c>
      <c r="CH51" s="29" t="s">
        <v>136</v>
      </c>
      <c r="CI51" s="30">
        <v>0</v>
      </c>
      <c r="CJ51" s="29" t="s">
        <v>136</v>
      </c>
      <c r="CK51" s="30">
        <v>0</v>
      </c>
      <c r="CL51" s="4">
        <v>15.194388681</v>
      </c>
      <c r="CM51" s="28">
        <v>1.56524917E-2</v>
      </c>
      <c r="CN51" s="4">
        <v>17.409944457000002</v>
      </c>
      <c r="CO51" s="28">
        <v>3.94731179E-2</v>
      </c>
      <c r="CP51" s="29" t="s">
        <v>136</v>
      </c>
      <c r="CQ51" s="30">
        <v>0</v>
      </c>
      <c r="CR51" s="29" t="s">
        <v>136</v>
      </c>
      <c r="CS51" s="30">
        <v>0</v>
      </c>
      <c r="CT51" s="29" t="s">
        <v>136</v>
      </c>
      <c r="CU51" s="30">
        <v>0</v>
      </c>
      <c r="CV51" s="29" t="s">
        <v>136</v>
      </c>
      <c r="CW51" s="30">
        <v>0</v>
      </c>
      <c r="CX51" s="4">
        <v>0.1682325697</v>
      </c>
      <c r="CY51" s="28">
        <v>2.0229753999999999E-3</v>
      </c>
      <c r="CZ51" s="4">
        <v>0.38840638119999998</v>
      </c>
      <c r="DA51" s="28">
        <v>3.8686634000000002E-3</v>
      </c>
      <c r="DB51" s="4">
        <v>3.4793780793</v>
      </c>
      <c r="DC51" s="28">
        <v>3.96102251E-2</v>
      </c>
      <c r="DD51" s="4">
        <v>37.556017674000003</v>
      </c>
      <c r="DE51" s="28">
        <v>0.88750469580000002</v>
      </c>
      <c r="DF51" s="29" t="s">
        <v>136</v>
      </c>
      <c r="DG51" s="30">
        <v>0</v>
      </c>
      <c r="DH51" s="29" t="s">
        <v>136</v>
      </c>
      <c r="DI51" s="30">
        <v>0</v>
      </c>
      <c r="DJ51" s="4">
        <v>23.192255679999999</v>
      </c>
      <c r="DK51" s="28">
        <v>0.41712194139999997</v>
      </c>
      <c r="DL51" s="4">
        <v>51.394269747999999</v>
      </c>
      <c r="DM51" s="28">
        <v>2.0356615682000001</v>
      </c>
      <c r="DN51" s="4">
        <v>25.407653994</v>
      </c>
      <c r="DO51" s="28">
        <v>0.62758480250000004</v>
      </c>
      <c r="DP51" s="4">
        <v>142.33677202000001</v>
      </c>
      <c r="DQ51" s="28">
        <v>1.2107308615000001</v>
      </c>
      <c r="DR51" s="37">
        <v>2.7410405999999999E-3</v>
      </c>
      <c r="DS51" s="38">
        <v>4.8060441000000002E-3</v>
      </c>
      <c r="DT51" s="38">
        <v>5.3610604999999997E-3</v>
      </c>
      <c r="DU51" s="38">
        <v>5.4730975999999999E-3</v>
      </c>
      <c r="DV51" s="38">
        <v>5.4934004E-3</v>
      </c>
      <c r="DW51" s="38">
        <v>5.5051652999999999E-3</v>
      </c>
      <c r="DX51" s="38">
        <v>5.5109338999999999E-3</v>
      </c>
      <c r="DY51" s="38">
        <v>5.5151269000000003E-3</v>
      </c>
      <c r="DZ51" s="38">
        <v>5.5189875999999997E-3</v>
      </c>
      <c r="EA51" s="39">
        <v>5.5225001000000001E-3</v>
      </c>
      <c r="EB51" s="40">
        <v>87.856653046000005</v>
      </c>
      <c r="EC51" s="30">
        <v>0.61447025450000003</v>
      </c>
      <c r="ED51" s="31">
        <v>45.056450693999999</v>
      </c>
      <c r="EE51" s="30">
        <v>0.32688993119999998</v>
      </c>
      <c r="EF51" s="31">
        <v>22.952909229999999</v>
      </c>
      <c r="EG51" s="30">
        <v>0.1727255321</v>
      </c>
      <c r="EH51" s="31">
        <v>11.740465237</v>
      </c>
      <c r="EI51" s="30">
        <v>9.2421864100000001E-2</v>
      </c>
      <c r="EJ51" s="31">
        <v>6.1601603674999996</v>
      </c>
      <c r="EK51" s="30">
        <v>5.1484626300000003E-2</v>
      </c>
      <c r="EL51" s="31">
        <v>3.3577654189000001</v>
      </c>
      <c r="EM51" s="30">
        <v>3.03685593E-2</v>
      </c>
      <c r="EN51" s="31">
        <v>1.9154293129</v>
      </c>
      <c r="EO51" s="30">
        <v>1.91672518E-2</v>
      </c>
      <c r="EP51" s="31">
        <v>1.1555945888000001</v>
      </c>
      <c r="EQ51" s="30">
        <v>1.30232154E-2</v>
      </c>
      <c r="ER51" s="31">
        <v>0.73550525680000001</v>
      </c>
      <c r="ES51" s="30">
        <v>9.4377434999999999E-3</v>
      </c>
      <c r="ET51" s="31">
        <v>0.49178712569999999</v>
      </c>
      <c r="EU51" s="36">
        <v>7.2172692000000002E-3</v>
      </c>
      <c r="EV51" s="31"/>
      <c r="EW51" s="30"/>
      <c r="EX51" s="31"/>
      <c r="EY51" s="30"/>
      <c r="EZ51" s="31"/>
      <c r="FA51" s="30"/>
      <c r="FB51" s="31"/>
      <c r="FC51" s="30"/>
      <c r="FD51" s="31"/>
      <c r="FE51" s="36"/>
    </row>
    <row r="52" spans="1:161" x14ac:dyDescent="0.2">
      <c r="A52" s="12">
        <v>4700</v>
      </c>
      <c r="B52" s="2">
        <v>16772</v>
      </c>
      <c r="C52" s="15">
        <f t="shared" si="0"/>
        <v>4.3152299676409208E-3</v>
      </c>
      <c r="D52" s="15">
        <f t="shared" si="5"/>
        <v>0.7446980072292706</v>
      </c>
      <c r="E52" s="15">
        <f t="shared" si="8"/>
        <v>661.3629605390895</v>
      </c>
      <c r="F52" s="26">
        <v>2217.3573998000002</v>
      </c>
      <c r="G52" s="4">
        <v>4649.8572821999996</v>
      </c>
      <c r="H52" s="41">
        <f t="shared" si="6"/>
        <v>0.33612820649581865</v>
      </c>
      <c r="I52" s="4">
        <f t="shared" si="1"/>
        <v>384.08223062100001</v>
      </c>
      <c r="J52" s="4">
        <f>(I52*SUM($B$5:$B52)-I51*SUM($B$5:$B51))/$B52</f>
        <v>1562.9481887274076</v>
      </c>
      <c r="K52" s="4">
        <f t="shared" si="2"/>
        <v>1282.5015512128998</v>
      </c>
      <c r="L52" s="4">
        <f>(K52*SUM(B$5:B52)-K51*SUM(B$5:B51))/B52</f>
        <v>4806.6867492746796</v>
      </c>
      <c r="M52" s="41">
        <f t="shared" si="7"/>
        <v>3.3727802286542187E-2</v>
      </c>
      <c r="N52" s="4">
        <v>89.356656908999994</v>
      </c>
      <c r="O52" s="28">
        <v>8.93085619E-2</v>
      </c>
      <c r="P52" s="26">
        <v>6.0365823213000001</v>
      </c>
      <c r="Q52" s="28">
        <v>2.8666096999999998E-3</v>
      </c>
      <c r="R52" s="4">
        <v>168.60923790000001</v>
      </c>
      <c r="S52" s="28">
        <v>1.1237916241999999</v>
      </c>
      <c r="T52" s="4">
        <v>94.096107875000001</v>
      </c>
      <c r="U52" s="28">
        <v>0.58860811840000005</v>
      </c>
      <c r="V52" s="4">
        <v>26.068668013</v>
      </c>
      <c r="W52" s="28">
        <v>0.20901361700000001</v>
      </c>
      <c r="X52" s="29" t="s">
        <v>136</v>
      </c>
      <c r="Y52" s="30">
        <v>0</v>
      </c>
      <c r="Z52" s="4">
        <v>33.779511534999997</v>
      </c>
      <c r="AA52" s="28">
        <v>5.6749885999999999E-2</v>
      </c>
      <c r="AB52" s="29" t="s">
        <v>136</v>
      </c>
      <c r="AC52" s="30">
        <v>0</v>
      </c>
      <c r="AD52" s="29" t="s">
        <v>136</v>
      </c>
      <c r="AE52" s="30">
        <v>0</v>
      </c>
      <c r="AF52" s="4">
        <v>0.56681767220000001</v>
      </c>
      <c r="AG52" s="28">
        <v>5.9754094999999998E-3</v>
      </c>
      <c r="AH52" s="4">
        <v>41.922549588000003</v>
      </c>
      <c r="AI52" s="28">
        <v>0.94519439390000004</v>
      </c>
      <c r="AJ52" s="29" t="s">
        <v>136</v>
      </c>
      <c r="AK52" s="30">
        <v>0</v>
      </c>
      <c r="AL52" s="4">
        <v>7.4547169999999996E-4</v>
      </c>
      <c r="AM52" s="28">
        <v>3.8653578999999996E-6</v>
      </c>
      <c r="AN52" s="29" t="s">
        <v>136</v>
      </c>
      <c r="AO52" s="30">
        <v>0</v>
      </c>
      <c r="AP52" s="29" t="s">
        <v>136</v>
      </c>
      <c r="AQ52" s="30">
        <v>0</v>
      </c>
      <c r="AR52" s="4">
        <f t="shared" si="3"/>
        <v>7.4547169999999996E-4</v>
      </c>
      <c r="AS52" s="28">
        <f t="shared" si="3"/>
        <v>3.8653578999999996E-6</v>
      </c>
      <c r="AT52" s="4">
        <v>125.34685472</v>
      </c>
      <c r="AU52" s="28">
        <v>1.6609157564000001</v>
      </c>
      <c r="AV52" s="29" t="s">
        <v>136</v>
      </c>
      <c r="AW52" s="30">
        <v>0</v>
      </c>
      <c r="AX52" s="29" t="s">
        <v>136</v>
      </c>
      <c r="AY52" s="30">
        <v>0</v>
      </c>
      <c r="AZ52" s="29" t="s">
        <v>136</v>
      </c>
      <c r="BA52" s="30">
        <v>0</v>
      </c>
      <c r="BB52" s="4">
        <v>75.557034408000007</v>
      </c>
      <c r="BC52" s="28">
        <v>2.4755806427999998</v>
      </c>
      <c r="BD52" s="4">
        <v>65.856357016999993</v>
      </c>
      <c r="BE52" s="28">
        <v>0.50023317489999997</v>
      </c>
      <c r="BF52" s="4">
        <v>29.921662585</v>
      </c>
      <c r="BG52" s="28">
        <v>0.30642488340000001</v>
      </c>
      <c r="BH52" s="4">
        <v>10.204421618</v>
      </c>
      <c r="BI52" s="28">
        <v>8.6706943199999997E-2</v>
      </c>
      <c r="BJ52" s="31">
        <f t="shared" si="4"/>
        <v>25.730272813999996</v>
      </c>
      <c r="BK52" s="30">
        <f t="shared" si="4"/>
        <v>0.10710134829999995</v>
      </c>
      <c r="BL52" s="4">
        <v>0</v>
      </c>
      <c r="BM52" s="30">
        <v>0</v>
      </c>
      <c r="BN52" s="4">
        <v>171.22145169000001</v>
      </c>
      <c r="BO52" s="28">
        <v>1.8612564908</v>
      </c>
      <c r="BP52" s="28">
        <v>5.7709349E-3</v>
      </c>
      <c r="BQ52" s="28">
        <v>4.0250220999999997E-6</v>
      </c>
      <c r="BR52" s="4">
        <v>133.89269071000001</v>
      </c>
      <c r="BS52" s="28">
        <v>4.2314558072999997</v>
      </c>
      <c r="BT52" s="4">
        <v>204.78682229</v>
      </c>
      <c r="BU52" s="28">
        <v>1.4363145148000001</v>
      </c>
      <c r="BV52" s="4">
        <v>45.118467965000001</v>
      </c>
      <c r="BW52" s="28">
        <v>0.20663832739999999</v>
      </c>
      <c r="BX52" s="4">
        <v>0.28424965600000002</v>
      </c>
      <c r="BY52" s="28">
        <v>1.1515394E-3</v>
      </c>
      <c r="BZ52" s="4">
        <v>0</v>
      </c>
      <c r="CA52" s="33">
        <v>0</v>
      </c>
      <c r="CB52" s="29" t="s">
        <v>136</v>
      </c>
      <c r="CC52" s="30">
        <v>0</v>
      </c>
      <c r="CD52" s="4">
        <v>0.57363302589999998</v>
      </c>
      <c r="CE52" s="28">
        <v>7.8018923999999996E-3</v>
      </c>
      <c r="CF52" s="4">
        <v>25.495034988</v>
      </c>
      <c r="CG52" s="28">
        <v>0.2012117246</v>
      </c>
      <c r="CH52" s="29" t="s">
        <v>136</v>
      </c>
      <c r="CI52" s="30">
        <v>0</v>
      </c>
      <c r="CJ52" s="29" t="s">
        <v>136</v>
      </c>
      <c r="CK52" s="30">
        <v>0</v>
      </c>
      <c r="CL52" s="4">
        <v>15.877129500000001</v>
      </c>
      <c r="CM52" s="28">
        <v>1.6196511800000001E-2</v>
      </c>
      <c r="CN52" s="4">
        <v>17.902382034999999</v>
      </c>
      <c r="CO52" s="28">
        <v>4.0553374199999999E-2</v>
      </c>
      <c r="CP52" s="29" t="s">
        <v>136</v>
      </c>
      <c r="CQ52" s="30">
        <v>0</v>
      </c>
      <c r="CR52" s="29" t="s">
        <v>136</v>
      </c>
      <c r="CS52" s="30">
        <v>0</v>
      </c>
      <c r="CT52" s="29" t="s">
        <v>136</v>
      </c>
      <c r="CU52" s="30">
        <v>0</v>
      </c>
      <c r="CV52" s="29" t="s">
        <v>136</v>
      </c>
      <c r="CW52" s="30">
        <v>0</v>
      </c>
      <c r="CX52" s="4">
        <v>0.17186288559999999</v>
      </c>
      <c r="CY52" s="28">
        <v>2.0573007E-3</v>
      </c>
      <c r="CZ52" s="4">
        <v>0.3949547866</v>
      </c>
      <c r="DA52" s="28">
        <v>3.9181088000000003E-3</v>
      </c>
      <c r="DB52" s="4">
        <v>3.6038200085000001</v>
      </c>
      <c r="DC52" s="28">
        <v>4.08243119E-2</v>
      </c>
      <c r="DD52" s="4">
        <v>38.318729580000003</v>
      </c>
      <c r="DE52" s="28">
        <v>0.90437008200000002</v>
      </c>
      <c r="DF52" s="29" t="s">
        <v>136</v>
      </c>
      <c r="DG52" s="30">
        <v>0</v>
      </c>
      <c r="DH52" s="29" t="s">
        <v>136</v>
      </c>
      <c r="DI52" s="30">
        <v>0</v>
      </c>
      <c r="DJ52" s="4">
        <v>23.554983727</v>
      </c>
      <c r="DK52" s="28">
        <v>0.42255001879999998</v>
      </c>
      <c r="DL52" s="4">
        <v>52.002050681</v>
      </c>
      <c r="DM52" s="28">
        <v>2.0530306239999998</v>
      </c>
      <c r="DN52" s="4">
        <v>26.483846317000001</v>
      </c>
      <c r="DO52" s="28">
        <v>0.63784759489999998</v>
      </c>
      <c r="DP52" s="4">
        <v>144.73760537000001</v>
      </c>
      <c r="DQ52" s="28">
        <v>1.2234088959</v>
      </c>
      <c r="DR52" s="37">
        <v>2.8414250999999999E-3</v>
      </c>
      <c r="DS52" s="38">
        <v>4.9854696000000004E-3</v>
      </c>
      <c r="DT52" s="38">
        <v>5.5643693999999997E-3</v>
      </c>
      <c r="DU52" s="38">
        <v>5.6822223000000003E-3</v>
      </c>
      <c r="DV52" s="38">
        <v>5.7037040000000004E-3</v>
      </c>
      <c r="DW52" s="38">
        <v>5.7163479E-3</v>
      </c>
      <c r="DX52" s="38">
        <v>5.7222604E-3</v>
      </c>
      <c r="DY52" s="38">
        <v>5.7264305999999996E-3</v>
      </c>
      <c r="DZ52" s="38">
        <v>5.7302702999999997E-3</v>
      </c>
      <c r="EA52" s="39">
        <v>5.7337632000000003E-3</v>
      </c>
      <c r="EB52" s="40">
        <v>88.667356424000005</v>
      </c>
      <c r="EC52" s="30">
        <v>0.61999527269999999</v>
      </c>
      <c r="ED52" s="31">
        <v>45.623785851000001</v>
      </c>
      <c r="EE52" s="30">
        <v>0.33087254199999999</v>
      </c>
      <c r="EF52" s="31">
        <v>23.321507034</v>
      </c>
      <c r="EG52" s="30">
        <v>0.17540350699999999</v>
      </c>
      <c r="EH52" s="31">
        <v>11.971050228999999</v>
      </c>
      <c r="EI52" s="30">
        <v>9.4168174199999996E-2</v>
      </c>
      <c r="EJ52" s="31">
        <v>6.3024315893000002</v>
      </c>
      <c r="EK52" s="30">
        <v>5.2623367400000003E-2</v>
      </c>
      <c r="EL52" s="31">
        <v>3.4470308658</v>
      </c>
      <c r="EM52" s="30">
        <v>3.1136486500000001E-2</v>
      </c>
      <c r="EN52" s="31">
        <v>1.9723859344000001</v>
      </c>
      <c r="EO52" s="30">
        <v>1.9702940799999999E-2</v>
      </c>
      <c r="EP52" s="31">
        <v>1.1932523325</v>
      </c>
      <c r="EQ52" s="30">
        <v>1.34159537E-2</v>
      </c>
      <c r="ER52" s="31">
        <v>0.76130328179999995</v>
      </c>
      <c r="ES52" s="30">
        <v>9.7385990000000006E-3</v>
      </c>
      <c r="ET52" s="31">
        <v>0.51012220659999996</v>
      </c>
      <c r="EU52" s="36">
        <v>7.4583617E-3</v>
      </c>
      <c r="EV52" s="31"/>
      <c r="EW52" s="30"/>
      <c r="EX52" s="31"/>
      <c r="EY52" s="30"/>
      <c r="EZ52" s="31"/>
      <c r="FA52" s="30"/>
      <c r="FB52" s="31"/>
      <c r="FC52" s="30"/>
      <c r="FD52" s="31"/>
      <c r="FE52" s="36"/>
    </row>
    <row r="53" spans="1:161" x14ac:dyDescent="0.2">
      <c r="A53" s="12">
        <v>4800</v>
      </c>
      <c r="B53" s="2">
        <v>16231</v>
      </c>
      <c r="C53" s="15">
        <f t="shared" si="0"/>
        <v>4.176037300547328E-3</v>
      </c>
      <c r="D53" s="15">
        <f t="shared" si="5"/>
        <v>0.74887404452981787</v>
      </c>
      <c r="E53" s="15">
        <f t="shared" si="8"/>
        <v>672.05783987692439</v>
      </c>
      <c r="F53" s="26">
        <v>2244.8433783999999</v>
      </c>
      <c r="G53" s="4">
        <v>4749.7428129999998</v>
      </c>
      <c r="H53" s="41">
        <f t="shared" si="6"/>
        <v>0.33808409936329181</v>
      </c>
      <c r="I53" s="4">
        <f t="shared" si="1"/>
        <v>390.89511364409998</v>
      </c>
      <c r="J53" s="4">
        <f>(I53*SUM($B$5:$B53)-I52*SUM($B$5:$B52))/$B53</f>
        <v>1605.8125211403731</v>
      </c>
      <c r="K53" s="4">
        <f t="shared" si="2"/>
        <v>1302.7806361188998</v>
      </c>
      <c r="L53" s="4">
        <f>(K53*SUM(B$5:B53)-K52*SUM(B$5:B52))/B53</f>
        <v>4919.0783439846809</v>
      </c>
      <c r="M53" s="41">
        <f t="shared" si="7"/>
        <v>3.5651515808647873E-2</v>
      </c>
      <c r="N53" s="4">
        <v>91.061268455999993</v>
      </c>
      <c r="O53" s="28">
        <v>9.0249126099999993E-2</v>
      </c>
      <c r="P53" s="26">
        <v>6.3124347572000001</v>
      </c>
      <c r="Q53" s="28">
        <v>2.9668356999999999E-3</v>
      </c>
      <c r="R53" s="4">
        <v>169.6347135</v>
      </c>
      <c r="S53" s="28">
        <v>1.1306530596</v>
      </c>
      <c r="T53" s="4">
        <v>95.115119109999995</v>
      </c>
      <c r="U53" s="28">
        <v>0.59495800809999999</v>
      </c>
      <c r="V53" s="4">
        <v>26.550547084000002</v>
      </c>
      <c r="W53" s="28">
        <v>0.21262462809999999</v>
      </c>
      <c r="X53" s="29" t="s">
        <v>136</v>
      </c>
      <c r="Y53" s="30">
        <v>0</v>
      </c>
      <c r="Z53" s="4">
        <v>34.8339827</v>
      </c>
      <c r="AA53" s="28">
        <v>5.8252133400000003E-2</v>
      </c>
      <c r="AB53" s="29" t="s">
        <v>136</v>
      </c>
      <c r="AC53" s="30">
        <v>0</v>
      </c>
      <c r="AD53" s="29" t="s">
        <v>136</v>
      </c>
      <c r="AE53" s="30">
        <v>0</v>
      </c>
      <c r="AF53" s="4">
        <v>0.59247824380000003</v>
      </c>
      <c r="AG53" s="28">
        <v>6.1866578000000002E-3</v>
      </c>
      <c r="AH53" s="4">
        <v>42.813853676000001</v>
      </c>
      <c r="AI53" s="28">
        <v>0.96322760289999998</v>
      </c>
      <c r="AJ53" s="29" t="s">
        <v>136</v>
      </c>
      <c r="AK53" s="30">
        <v>0</v>
      </c>
      <c r="AL53" s="4">
        <v>7.421064E-4</v>
      </c>
      <c r="AM53" s="28">
        <v>3.8477434000000003E-6</v>
      </c>
      <c r="AN53" s="29" t="s">
        <v>136</v>
      </c>
      <c r="AO53" s="30">
        <v>0</v>
      </c>
      <c r="AP53" s="29" t="s">
        <v>136</v>
      </c>
      <c r="AQ53" s="30">
        <v>0</v>
      </c>
      <c r="AR53" s="4">
        <f t="shared" si="3"/>
        <v>7.421064E-4</v>
      </c>
      <c r="AS53" s="28">
        <f t="shared" si="3"/>
        <v>3.8477434000000003E-6</v>
      </c>
      <c r="AT53" s="4">
        <v>126.78520797</v>
      </c>
      <c r="AU53" s="28">
        <v>1.6720670382</v>
      </c>
      <c r="AV53" s="29" t="s">
        <v>136</v>
      </c>
      <c r="AW53" s="30">
        <v>0</v>
      </c>
      <c r="AX53" s="29" t="s">
        <v>136</v>
      </c>
      <c r="AY53" s="30">
        <v>0</v>
      </c>
      <c r="AZ53" s="29" t="s">
        <v>136</v>
      </c>
      <c r="BA53" s="30">
        <v>0</v>
      </c>
      <c r="BB53" s="4">
        <v>76.565240188999994</v>
      </c>
      <c r="BC53" s="28">
        <v>2.4989332482000002</v>
      </c>
      <c r="BD53" s="4">
        <v>66.982338626000001</v>
      </c>
      <c r="BE53" s="28">
        <v>0.50635680439999997</v>
      </c>
      <c r="BF53" s="4">
        <v>30.411954095999999</v>
      </c>
      <c r="BG53" s="28">
        <v>0.31025179149999998</v>
      </c>
      <c r="BH53" s="4">
        <v>10.331676045</v>
      </c>
      <c r="BI53" s="28">
        <v>8.7437429400000002E-2</v>
      </c>
      <c r="BJ53" s="31">
        <f t="shared" si="4"/>
        <v>26.238708485000004</v>
      </c>
      <c r="BK53" s="30">
        <f t="shared" si="4"/>
        <v>0.1086675835</v>
      </c>
      <c r="BL53" s="4">
        <v>0</v>
      </c>
      <c r="BM53" s="30">
        <v>0</v>
      </c>
      <c r="BN53" s="4">
        <v>174.63685394999999</v>
      </c>
      <c r="BO53" s="28">
        <v>1.8828790454</v>
      </c>
      <c r="BP53" s="28">
        <v>5.9845480000000001E-3</v>
      </c>
      <c r="BQ53" s="28">
        <v>3.9832668000000003E-6</v>
      </c>
      <c r="BR53" s="4">
        <v>135.19886185999999</v>
      </c>
      <c r="BS53" s="28">
        <v>4.2585637579000002</v>
      </c>
      <c r="BT53" s="4">
        <v>209.42321229999999</v>
      </c>
      <c r="BU53" s="28">
        <v>1.4652675508999999</v>
      </c>
      <c r="BV53" s="4">
        <v>45.976899975000002</v>
      </c>
      <c r="BW53" s="28">
        <v>0.20972540740000001</v>
      </c>
      <c r="BX53" s="4">
        <v>0.29613950909999998</v>
      </c>
      <c r="BY53" s="28">
        <v>1.1811208E-3</v>
      </c>
      <c r="BZ53" s="4">
        <v>0</v>
      </c>
      <c r="CA53" s="33">
        <v>0</v>
      </c>
      <c r="CB53" s="29" t="s">
        <v>136</v>
      </c>
      <c r="CC53" s="30">
        <v>0</v>
      </c>
      <c r="CD53" s="4">
        <v>0.58616772569999998</v>
      </c>
      <c r="CE53" s="28">
        <v>7.9144582000000002E-3</v>
      </c>
      <c r="CF53" s="4">
        <v>25.964379357999999</v>
      </c>
      <c r="CG53" s="28">
        <v>0.20471016989999999</v>
      </c>
      <c r="CH53" s="29" t="s">
        <v>136</v>
      </c>
      <c r="CI53" s="30">
        <v>0</v>
      </c>
      <c r="CJ53" s="29" t="s">
        <v>136</v>
      </c>
      <c r="CK53" s="30">
        <v>0</v>
      </c>
      <c r="CL53" s="4">
        <v>16.487054519000001</v>
      </c>
      <c r="CM53" s="28">
        <v>1.6700211999999999E-2</v>
      </c>
      <c r="CN53" s="4">
        <v>18.346928181999999</v>
      </c>
      <c r="CO53" s="28">
        <v>4.1551921399999997E-2</v>
      </c>
      <c r="CP53" s="29" t="s">
        <v>136</v>
      </c>
      <c r="CQ53" s="30">
        <v>0</v>
      </c>
      <c r="CR53" s="29" t="s">
        <v>136</v>
      </c>
      <c r="CS53" s="30">
        <v>0</v>
      </c>
      <c r="CT53" s="29" t="s">
        <v>136</v>
      </c>
      <c r="CU53" s="30">
        <v>0</v>
      </c>
      <c r="CV53" s="29" t="s">
        <v>136</v>
      </c>
      <c r="CW53" s="30">
        <v>0</v>
      </c>
      <c r="CX53" s="4">
        <v>0.179181906</v>
      </c>
      <c r="CY53" s="28">
        <v>2.0953232000000001E-3</v>
      </c>
      <c r="CZ53" s="4">
        <v>0.41329633780000002</v>
      </c>
      <c r="DA53" s="28">
        <v>4.0913347000000001E-3</v>
      </c>
      <c r="DB53" s="4">
        <v>3.7160236404</v>
      </c>
      <c r="DC53" s="28">
        <v>4.1987915799999997E-2</v>
      </c>
      <c r="DD53" s="4">
        <v>39.097830035000001</v>
      </c>
      <c r="DE53" s="28">
        <v>0.92123968710000004</v>
      </c>
      <c r="DF53" s="29" t="s">
        <v>136</v>
      </c>
      <c r="DG53" s="30">
        <v>0</v>
      </c>
      <c r="DH53" s="29" t="s">
        <v>136</v>
      </c>
      <c r="DI53" s="30">
        <v>0</v>
      </c>
      <c r="DJ53" s="4">
        <v>23.927604000999999</v>
      </c>
      <c r="DK53" s="28">
        <v>0.42792504390000002</v>
      </c>
      <c r="DL53" s="4">
        <v>52.637636186999998</v>
      </c>
      <c r="DM53" s="28">
        <v>2.0710082043</v>
      </c>
      <c r="DN53" s="4">
        <v>27.582135888</v>
      </c>
      <c r="DO53" s="28">
        <v>0.64750205459999999</v>
      </c>
      <c r="DP53" s="4">
        <v>147.05471806</v>
      </c>
      <c r="DQ53" s="28">
        <v>1.2353769907000001</v>
      </c>
      <c r="DR53" s="37">
        <v>2.9403941999999999E-3</v>
      </c>
      <c r="DS53" s="38">
        <v>5.1641858000000002E-3</v>
      </c>
      <c r="DT53" s="38">
        <v>5.7699012000000001E-3</v>
      </c>
      <c r="DU53" s="38">
        <v>5.8951100999999999E-3</v>
      </c>
      <c r="DV53" s="38">
        <v>5.9177190999999997E-3</v>
      </c>
      <c r="DW53" s="38">
        <v>5.9303063000000003E-3</v>
      </c>
      <c r="DX53" s="38">
        <v>5.9361908000000003E-3</v>
      </c>
      <c r="DY53" s="38">
        <v>5.9403390999999998E-3</v>
      </c>
      <c r="DZ53" s="38">
        <v>5.9441583000000003E-3</v>
      </c>
      <c r="EA53" s="39">
        <v>5.9476321E-3</v>
      </c>
      <c r="EB53" s="40">
        <v>89.488035715999999</v>
      </c>
      <c r="EC53" s="30">
        <v>0.6255587628</v>
      </c>
      <c r="ED53" s="31">
        <v>46.205057228000001</v>
      </c>
      <c r="EE53" s="30">
        <v>0.33491389729999999</v>
      </c>
      <c r="EF53" s="31">
        <v>23.707601574000002</v>
      </c>
      <c r="EG53" s="30">
        <v>0.1781706109</v>
      </c>
      <c r="EH53" s="31">
        <v>12.215554745</v>
      </c>
      <c r="EI53" s="30">
        <v>9.5992584800000003E-2</v>
      </c>
      <c r="EJ53" s="31">
        <v>6.4572325146000003</v>
      </c>
      <c r="EK53" s="30">
        <v>5.38318541E-2</v>
      </c>
      <c r="EL53" s="31">
        <v>3.5450247453000001</v>
      </c>
      <c r="EM53" s="30">
        <v>3.1947931899999997E-2</v>
      </c>
      <c r="EN53" s="31">
        <v>2.0349163691999999</v>
      </c>
      <c r="EO53" s="30">
        <v>2.0261565299999999E-2</v>
      </c>
      <c r="EP53" s="31">
        <v>1.2336629374999999</v>
      </c>
      <c r="EQ53" s="30">
        <v>1.3814271899999999E-2</v>
      </c>
      <c r="ER53" s="31">
        <v>0.78805101580000003</v>
      </c>
      <c r="ES53" s="30">
        <v>1.0034536300000001E-2</v>
      </c>
      <c r="ET53" s="31">
        <v>0.52899578570000005</v>
      </c>
      <c r="EU53" s="36">
        <v>7.6919082E-3</v>
      </c>
      <c r="EV53" s="31"/>
      <c r="EW53" s="30"/>
      <c r="EX53" s="31"/>
      <c r="EY53" s="30"/>
      <c r="EZ53" s="31"/>
      <c r="FA53" s="30"/>
      <c r="FB53" s="31"/>
      <c r="FC53" s="30"/>
      <c r="FD53" s="31"/>
      <c r="FE53" s="36"/>
    </row>
    <row r="54" spans="1:161" x14ac:dyDescent="0.2">
      <c r="A54" s="12">
        <v>4900</v>
      </c>
      <c r="B54" s="2">
        <v>16093</v>
      </c>
      <c r="C54" s="15">
        <f t="shared" si="0"/>
        <v>4.1405315924901822E-3</v>
      </c>
      <c r="D54" s="15">
        <f t="shared" si="5"/>
        <v>0.75301457612230804</v>
      </c>
      <c r="E54" s="15">
        <f t="shared" si="8"/>
        <v>682.79047788706487</v>
      </c>
      <c r="F54" s="26">
        <v>2272.0867287000001</v>
      </c>
      <c r="G54" s="4">
        <v>4849.2001688999999</v>
      </c>
      <c r="H54" s="41">
        <f t="shared" si="6"/>
        <v>0.33255915167887518</v>
      </c>
      <c r="I54" s="4">
        <f t="shared" si="1"/>
        <v>397.61304164530003</v>
      </c>
      <c r="J54" s="4">
        <f>(I54*SUM($B$5:$B54)-I53*SUM($B$5:$B53))/$B54</f>
        <v>1612.6458944904421</v>
      </c>
      <c r="K54" s="4">
        <f t="shared" si="2"/>
        <v>1323.2019047584999</v>
      </c>
      <c r="L54" s="4">
        <f>(K54*SUM(B$5:B54)-K53*SUM(B$5:B53))/B54</f>
        <v>5016.6788651335046</v>
      </c>
      <c r="M54" s="41">
        <f t="shared" si="7"/>
        <v>3.4537385630648412E-2</v>
      </c>
      <c r="N54" s="4">
        <v>92.974573337999999</v>
      </c>
      <c r="O54" s="28">
        <v>9.1290226399999994E-2</v>
      </c>
      <c r="P54" s="26">
        <v>6.5829587197999997</v>
      </c>
      <c r="Q54" s="28">
        <v>3.0606695E-3</v>
      </c>
      <c r="R54" s="4">
        <v>170.63570852999999</v>
      </c>
      <c r="S54" s="28">
        <v>1.1374311384</v>
      </c>
      <c r="T54" s="4">
        <v>96.086646708000004</v>
      </c>
      <c r="U54" s="28">
        <v>0.60120112479999999</v>
      </c>
      <c r="V54" s="4">
        <v>27.074637254999999</v>
      </c>
      <c r="W54" s="28">
        <v>0.21647517199999999</v>
      </c>
      <c r="X54" s="29" t="s">
        <v>136</v>
      </c>
      <c r="Y54" s="30">
        <v>0</v>
      </c>
      <c r="Z54" s="4">
        <v>35.912316576000002</v>
      </c>
      <c r="AA54" s="28">
        <v>5.9745235799999998E-2</v>
      </c>
      <c r="AB54" s="29" t="s">
        <v>136</v>
      </c>
      <c r="AC54" s="30">
        <v>0</v>
      </c>
      <c r="AD54" s="29" t="s">
        <v>136</v>
      </c>
      <c r="AE54" s="30">
        <v>0</v>
      </c>
      <c r="AF54" s="4">
        <v>0.60950615419999998</v>
      </c>
      <c r="AG54" s="28">
        <v>6.3510891999999999E-3</v>
      </c>
      <c r="AH54" s="4">
        <v>43.694800022000003</v>
      </c>
      <c r="AI54" s="28">
        <v>0.98134268020000004</v>
      </c>
      <c r="AJ54" s="29" t="s">
        <v>136</v>
      </c>
      <c r="AK54" s="30">
        <v>0</v>
      </c>
      <c r="AL54" s="4">
        <v>7.9159010000000004E-4</v>
      </c>
      <c r="AM54" s="28">
        <v>4.1713993E-6</v>
      </c>
      <c r="AN54" s="29" t="s">
        <v>136</v>
      </c>
      <c r="AO54" s="30">
        <v>0</v>
      </c>
      <c r="AP54" s="29" t="s">
        <v>136</v>
      </c>
      <c r="AQ54" s="30">
        <v>0</v>
      </c>
      <c r="AR54" s="4">
        <f t="shared" si="3"/>
        <v>7.9159010000000004E-4</v>
      </c>
      <c r="AS54" s="28">
        <f t="shared" si="3"/>
        <v>4.1713993E-6</v>
      </c>
      <c r="AT54" s="4">
        <v>128.16653959000001</v>
      </c>
      <c r="AU54" s="28">
        <v>1.6830955190000001</v>
      </c>
      <c r="AV54" s="29" t="s">
        <v>136</v>
      </c>
      <c r="AW54" s="30">
        <v>0</v>
      </c>
      <c r="AX54" s="29" t="s">
        <v>136</v>
      </c>
      <c r="AY54" s="30">
        <v>0</v>
      </c>
      <c r="AZ54" s="29" t="s">
        <v>136</v>
      </c>
      <c r="BA54" s="30">
        <v>0</v>
      </c>
      <c r="BB54" s="4">
        <v>77.569832821999995</v>
      </c>
      <c r="BC54" s="28">
        <v>2.5219362538999999</v>
      </c>
      <c r="BD54" s="4">
        <v>68.060633478</v>
      </c>
      <c r="BE54" s="28">
        <v>0.51243296360000001</v>
      </c>
      <c r="BF54" s="4">
        <v>30.888824834000001</v>
      </c>
      <c r="BG54" s="28">
        <v>0.3140589956</v>
      </c>
      <c r="BH54" s="4">
        <v>10.450891970000001</v>
      </c>
      <c r="BI54" s="28">
        <v>8.8183426300000006E-2</v>
      </c>
      <c r="BJ54" s="31">
        <f t="shared" si="4"/>
        <v>26.720916673999994</v>
      </c>
      <c r="BK54" s="30">
        <f t="shared" si="4"/>
        <v>0.11019054169999998</v>
      </c>
      <c r="BL54" s="4">
        <v>0</v>
      </c>
      <c r="BM54" s="30">
        <v>0</v>
      </c>
      <c r="BN54" s="4">
        <v>178.21912674000001</v>
      </c>
      <c r="BO54" s="28">
        <v>1.904982095</v>
      </c>
      <c r="BP54" s="28">
        <v>6.1820851E-3</v>
      </c>
      <c r="BQ54" s="28">
        <v>3.9437748000000003E-6</v>
      </c>
      <c r="BR54" s="4">
        <v>136.35906589000001</v>
      </c>
      <c r="BS54" s="28">
        <v>4.2834809276000003</v>
      </c>
      <c r="BT54" s="4">
        <v>214.10604483</v>
      </c>
      <c r="BU54" s="28">
        <v>1.4948615557</v>
      </c>
      <c r="BV54" s="4">
        <v>46.835901931000002</v>
      </c>
      <c r="BW54" s="28">
        <v>0.21275488619999999</v>
      </c>
      <c r="BX54" s="4">
        <v>0.31202899429999997</v>
      </c>
      <c r="BY54" s="28">
        <v>1.1980503000000001E-3</v>
      </c>
      <c r="BZ54" s="4">
        <v>0</v>
      </c>
      <c r="CA54" s="33">
        <v>0</v>
      </c>
      <c r="CB54" s="29" t="s">
        <v>136</v>
      </c>
      <c r="CC54" s="30">
        <v>0</v>
      </c>
      <c r="CD54" s="4">
        <v>0.59544228399999999</v>
      </c>
      <c r="CE54" s="28">
        <v>8.0082842000000001E-3</v>
      </c>
      <c r="CF54" s="4">
        <v>26.479194970999998</v>
      </c>
      <c r="CG54" s="28">
        <v>0.20846688769999999</v>
      </c>
      <c r="CH54" s="29" t="s">
        <v>136</v>
      </c>
      <c r="CI54" s="30">
        <v>0</v>
      </c>
      <c r="CJ54" s="29" t="s">
        <v>136</v>
      </c>
      <c r="CK54" s="30">
        <v>0</v>
      </c>
      <c r="CL54" s="4">
        <v>17.11590284</v>
      </c>
      <c r="CM54" s="28">
        <v>1.7199644399999998E-2</v>
      </c>
      <c r="CN54" s="4">
        <v>18.796413736000002</v>
      </c>
      <c r="CO54" s="28">
        <v>4.25455915E-2</v>
      </c>
      <c r="CP54" s="29" t="s">
        <v>136</v>
      </c>
      <c r="CQ54" s="30">
        <v>0</v>
      </c>
      <c r="CR54" s="29" t="s">
        <v>136</v>
      </c>
      <c r="CS54" s="30">
        <v>0</v>
      </c>
      <c r="CT54" s="29" t="s">
        <v>136</v>
      </c>
      <c r="CU54" s="30">
        <v>0</v>
      </c>
      <c r="CV54" s="29" t="s">
        <v>136</v>
      </c>
      <c r="CW54" s="30">
        <v>0</v>
      </c>
      <c r="CX54" s="4">
        <v>0.18759379449999999</v>
      </c>
      <c r="CY54" s="28">
        <v>2.1652834999999998E-3</v>
      </c>
      <c r="CZ54" s="4">
        <v>0.42191235970000002</v>
      </c>
      <c r="DA54" s="28">
        <v>4.1858056999999997E-3</v>
      </c>
      <c r="DB54" s="4">
        <v>3.8080010356999998</v>
      </c>
      <c r="DC54" s="28">
        <v>4.2927713399999998E-2</v>
      </c>
      <c r="DD54" s="4">
        <v>39.886798986999999</v>
      </c>
      <c r="DE54" s="28">
        <v>0.93841496680000003</v>
      </c>
      <c r="DF54" s="29" t="s">
        <v>136</v>
      </c>
      <c r="DG54" s="30">
        <v>0</v>
      </c>
      <c r="DH54" s="29" t="s">
        <v>136</v>
      </c>
      <c r="DI54" s="30">
        <v>0</v>
      </c>
      <c r="DJ54" s="4">
        <v>24.296973019999999</v>
      </c>
      <c r="DK54" s="28">
        <v>0.43303105780000001</v>
      </c>
      <c r="DL54" s="4">
        <v>53.272859801000003</v>
      </c>
      <c r="DM54" s="28">
        <v>2.0889051959999998</v>
      </c>
      <c r="DN54" s="4">
        <v>28.750970354</v>
      </c>
      <c r="DO54" s="28">
        <v>0.65740421559999995</v>
      </c>
      <c r="DP54" s="4">
        <v>149.46815638999999</v>
      </c>
      <c r="DQ54" s="28">
        <v>1.2475778793000001</v>
      </c>
      <c r="DR54" s="37">
        <v>3.0335090999999998E-3</v>
      </c>
      <c r="DS54" s="38">
        <v>5.3310058E-3</v>
      </c>
      <c r="DT54" s="38">
        <v>5.9601701999999999E-3</v>
      </c>
      <c r="DU54" s="38">
        <v>6.0919813999999999E-3</v>
      </c>
      <c r="DV54" s="38">
        <v>6.1154941000000004E-3</v>
      </c>
      <c r="DW54" s="38">
        <v>6.1281818000000002E-3</v>
      </c>
      <c r="DX54" s="38">
        <v>6.1340385999999998E-3</v>
      </c>
      <c r="DY54" s="38">
        <v>6.1381654000000003E-3</v>
      </c>
      <c r="DZ54" s="38">
        <v>6.1419645000000004E-3</v>
      </c>
      <c r="EA54" s="39">
        <v>6.1454196000000003E-3</v>
      </c>
      <c r="EB54" s="40">
        <v>90.289965858000002</v>
      </c>
      <c r="EC54" s="30">
        <v>0.63108896010000004</v>
      </c>
      <c r="ED54" s="31">
        <v>46.776796304000001</v>
      </c>
      <c r="EE54" s="30">
        <v>0.3389762315</v>
      </c>
      <c r="EF54" s="31">
        <v>24.086519203999998</v>
      </c>
      <c r="EG54" s="30">
        <v>0.18096987980000001</v>
      </c>
      <c r="EH54" s="31">
        <v>12.456034755999999</v>
      </c>
      <c r="EI54" s="30">
        <v>9.7860859699999997E-2</v>
      </c>
      <c r="EJ54" s="31">
        <v>6.6075271795999999</v>
      </c>
      <c r="EK54" s="30">
        <v>5.5087437500000003E-2</v>
      </c>
      <c r="EL54" s="31">
        <v>3.6413865924</v>
      </c>
      <c r="EM54" s="30">
        <v>3.28275778E-2</v>
      </c>
      <c r="EN54" s="31">
        <v>2.0993943188999999</v>
      </c>
      <c r="EO54" s="30">
        <v>2.0910349599999999E-2</v>
      </c>
      <c r="EP54" s="31">
        <v>1.2788785094999999</v>
      </c>
      <c r="EQ54" s="30">
        <v>1.4317435700000001E-2</v>
      </c>
      <c r="ER54" s="31">
        <v>0.82019543210000001</v>
      </c>
      <c r="ES54" s="30">
        <v>1.04364564E-2</v>
      </c>
      <c r="ET54" s="31">
        <v>0.55272542859999996</v>
      </c>
      <c r="EU54" s="36">
        <v>8.0255308999999993E-3</v>
      </c>
      <c r="EV54" s="31"/>
      <c r="EW54" s="30"/>
      <c r="EX54" s="31"/>
      <c r="EY54" s="30"/>
      <c r="EZ54" s="31"/>
      <c r="FA54" s="30"/>
      <c r="FB54" s="31"/>
      <c r="FC54" s="30"/>
      <c r="FD54" s="31"/>
      <c r="FE54" s="36"/>
    </row>
    <row r="55" spans="1:161" x14ac:dyDescent="0.2">
      <c r="A55" s="12">
        <v>5000</v>
      </c>
      <c r="B55" s="2">
        <v>15526</v>
      </c>
      <c r="C55" s="15">
        <f t="shared" si="0"/>
        <v>3.9946494441684315E-3</v>
      </c>
      <c r="D55" s="15">
        <f t="shared" si="5"/>
        <v>0.75700922556647643</v>
      </c>
      <c r="E55" s="15">
        <f t="shared" si="8"/>
        <v>693.26712103540865</v>
      </c>
      <c r="F55" s="26">
        <v>2298.8890098000002</v>
      </c>
      <c r="G55" s="4">
        <v>4949.4575961999999</v>
      </c>
      <c r="H55" s="41">
        <f t="shared" si="6"/>
        <v>0.3375195534978479</v>
      </c>
      <c r="I55" s="4">
        <f t="shared" si="1"/>
        <v>404.33012206320001</v>
      </c>
      <c r="J55" s="4">
        <f>(I55*SUM($B$5:$B55)-I54*SUM($B$5:$B54))/$B55</f>
        <v>1670.5387179259556</v>
      </c>
      <c r="K55" s="4">
        <f t="shared" si="2"/>
        <v>1343.3210133074001</v>
      </c>
      <c r="L55" s="4">
        <f>(K55*SUM(B$5:B55)-K54*SUM(B$5:B54))/B55</f>
        <v>5135.8895997763384</v>
      </c>
      <c r="M55" s="41">
        <f t="shared" si="7"/>
        <v>3.7667158461863318E-2</v>
      </c>
      <c r="N55" s="4">
        <v>94.848089539</v>
      </c>
      <c r="O55" s="28">
        <v>9.2282434699999999E-2</v>
      </c>
      <c r="P55" s="26">
        <v>6.8492600893000004</v>
      </c>
      <c r="Q55" s="28">
        <v>3.1497109999999999E-3</v>
      </c>
      <c r="R55" s="4">
        <v>171.58929990999999</v>
      </c>
      <c r="S55" s="28">
        <v>1.1438984803000001</v>
      </c>
      <c r="T55" s="4">
        <v>97.059924967000001</v>
      </c>
      <c r="U55" s="28">
        <v>0.60741799110000005</v>
      </c>
      <c r="V55" s="4">
        <v>27.546997597000001</v>
      </c>
      <c r="W55" s="28">
        <v>0.2200029543</v>
      </c>
      <c r="X55" s="29" t="s">
        <v>136</v>
      </c>
      <c r="Y55" s="30">
        <v>0</v>
      </c>
      <c r="Z55" s="4">
        <v>37.013538844999999</v>
      </c>
      <c r="AA55" s="28">
        <v>6.1285542599999999E-2</v>
      </c>
      <c r="AB55" s="29" t="s">
        <v>136</v>
      </c>
      <c r="AC55" s="30">
        <v>0</v>
      </c>
      <c r="AD55" s="29" t="s">
        <v>136</v>
      </c>
      <c r="AE55" s="30">
        <v>0</v>
      </c>
      <c r="AF55" s="4">
        <v>0.62883247389999997</v>
      </c>
      <c r="AG55" s="28">
        <v>6.529516E-3</v>
      </c>
      <c r="AH55" s="4">
        <v>44.486674035</v>
      </c>
      <c r="AI55" s="28">
        <v>0.99741873999999997</v>
      </c>
      <c r="AJ55" s="29" t="s">
        <v>136</v>
      </c>
      <c r="AK55" s="30">
        <v>0</v>
      </c>
      <c r="AL55" s="4">
        <v>7.8824899999999998E-4</v>
      </c>
      <c r="AM55" s="28">
        <v>4.1536370999999998E-6</v>
      </c>
      <c r="AN55" s="29" t="s">
        <v>136</v>
      </c>
      <c r="AO55" s="30">
        <v>0</v>
      </c>
      <c r="AP55" s="29" t="s">
        <v>136</v>
      </c>
      <c r="AQ55" s="30">
        <v>0</v>
      </c>
      <c r="AR55" s="4">
        <f t="shared" si="3"/>
        <v>7.8824899999999998E-4</v>
      </c>
      <c r="AS55" s="28">
        <f t="shared" si="3"/>
        <v>4.1536370999999998E-6</v>
      </c>
      <c r="AT55" s="4">
        <v>129.53913360999999</v>
      </c>
      <c r="AU55" s="28">
        <v>1.6934441062000001</v>
      </c>
      <c r="AV55" s="29" t="s">
        <v>136</v>
      </c>
      <c r="AW55" s="30">
        <v>0</v>
      </c>
      <c r="AX55" s="29" t="s">
        <v>136</v>
      </c>
      <c r="AY55" s="30">
        <v>0</v>
      </c>
      <c r="AZ55" s="29" t="s">
        <v>136</v>
      </c>
      <c r="BA55" s="30">
        <v>0</v>
      </c>
      <c r="BB55" s="4">
        <v>78.506800554999998</v>
      </c>
      <c r="BC55" s="28">
        <v>2.543338388</v>
      </c>
      <c r="BD55" s="4">
        <v>69.127379634999997</v>
      </c>
      <c r="BE55" s="28">
        <v>0.51849032309999998</v>
      </c>
      <c r="BF55" s="4">
        <v>31.352866595999998</v>
      </c>
      <c r="BG55" s="28">
        <v>0.31784150750000001</v>
      </c>
      <c r="BH55" s="4">
        <v>10.573871053</v>
      </c>
      <c r="BI55" s="28">
        <v>8.8908688599999994E-2</v>
      </c>
      <c r="BJ55" s="31">
        <f t="shared" si="4"/>
        <v>27.200641986000001</v>
      </c>
      <c r="BK55" s="30">
        <f t="shared" si="4"/>
        <v>0.11174012699999997</v>
      </c>
      <c r="BL55" s="4">
        <v>0</v>
      </c>
      <c r="BM55" s="30">
        <v>0</v>
      </c>
      <c r="BN55" s="4">
        <v>181.79338349</v>
      </c>
      <c r="BO55" s="28">
        <v>1.9273086963999999</v>
      </c>
      <c r="BP55" s="28">
        <v>6.3769776E-3</v>
      </c>
      <c r="BQ55" s="28">
        <v>3.9054274000000002E-6</v>
      </c>
      <c r="BR55" s="4">
        <v>137.52867592000001</v>
      </c>
      <c r="BS55" s="28">
        <v>4.3093049185999996</v>
      </c>
      <c r="BT55" s="4">
        <v>218.7323902</v>
      </c>
      <c r="BU55" s="28">
        <v>1.5235260622</v>
      </c>
      <c r="BV55" s="4">
        <v>47.745430745</v>
      </c>
      <c r="BW55" s="28">
        <v>0.21587464819999999</v>
      </c>
      <c r="BX55" s="4">
        <v>0.32362519820000002</v>
      </c>
      <c r="BY55" s="28">
        <v>1.2234442E-3</v>
      </c>
      <c r="BZ55" s="4">
        <v>0</v>
      </c>
      <c r="CA55" s="33">
        <v>0</v>
      </c>
      <c r="CB55" s="29" t="s">
        <v>136</v>
      </c>
      <c r="CC55" s="30">
        <v>0</v>
      </c>
      <c r="CD55" s="4">
        <v>0.60304965720000003</v>
      </c>
      <c r="CE55" s="28">
        <v>8.0994559999999997E-3</v>
      </c>
      <c r="CF55" s="4">
        <v>26.943947940000001</v>
      </c>
      <c r="CG55" s="28">
        <v>0.21190349829999999</v>
      </c>
      <c r="CH55" s="29" t="s">
        <v>136</v>
      </c>
      <c r="CI55" s="30">
        <v>0</v>
      </c>
      <c r="CJ55" s="29" t="s">
        <v>136</v>
      </c>
      <c r="CK55" s="30">
        <v>0</v>
      </c>
      <c r="CL55" s="4">
        <v>17.771103346</v>
      </c>
      <c r="CM55" s="28">
        <v>1.7719996599999999E-2</v>
      </c>
      <c r="CN55" s="4">
        <v>19.242435498999999</v>
      </c>
      <c r="CO55" s="28">
        <v>4.3565545999999997E-2</v>
      </c>
      <c r="CP55" s="29" t="s">
        <v>136</v>
      </c>
      <c r="CQ55" s="30">
        <v>0</v>
      </c>
      <c r="CR55" s="29" t="s">
        <v>136</v>
      </c>
      <c r="CS55" s="30">
        <v>0</v>
      </c>
      <c r="CT55" s="29" t="s">
        <v>136</v>
      </c>
      <c r="CU55" s="30">
        <v>0</v>
      </c>
      <c r="CV55" s="29" t="s">
        <v>136</v>
      </c>
      <c r="CW55" s="30">
        <v>0</v>
      </c>
      <c r="CX55" s="4">
        <v>0.19595436199999999</v>
      </c>
      <c r="CY55" s="28">
        <v>2.2246424999999999E-3</v>
      </c>
      <c r="CZ55" s="4">
        <v>0.43287811189999997</v>
      </c>
      <c r="DA55" s="28">
        <v>4.3048734999999996E-3</v>
      </c>
      <c r="DB55" s="4">
        <v>3.9010452458999998</v>
      </c>
      <c r="DC55" s="28">
        <v>4.3858558399999997E-2</v>
      </c>
      <c r="DD55" s="4">
        <v>40.585628788999998</v>
      </c>
      <c r="DE55" s="28">
        <v>0.9535601816</v>
      </c>
      <c r="DF55" s="29" t="s">
        <v>136</v>
      </c>
      <c r="DG55" s="30">
        <v>0</v>
      </c>
      <c r="DH55" s="29" t="s">
        <v>136</v>
      </c>
      <c r="DI55" s="30">
        <v>0</v>
      </c>
      <c r="DJ55" s="4">
        <v>24.666273223000001</v>
      </c>
      <c r="DK55" s="28">
        <v>0.43826379850000002</v>
      </c>
      <c r="DL55" s="4">
        <v>53.840527330999997</v>
      </c>
      <c r="DM55" s="28">
        <v>2.1050745894</v>
      </c>
      <c r="DN55" s="4">
        <v>29.942947881999999</v>
      </c>
      <c r="DO55" s="28">
        <v>0.66753912360000001</v>
      </c>
      <c r="DP55" s="4">
        <v>151.85043561000001</v>
      </c>
      <c r="DQ55" s="28">
        <v>1.2597695729</v>
      </c>
      <c r="DR55" s="37">
        <v>3.1215043999999999E-3</v>
      </c>
      <c r="DS55" s="38">
        <v>5.4902286999999996E-3</v>
      </c>
      <c r="DT55" s="38">
        <v>6.1444402000000002E-3</v>
      </c>
      <c r="DU55" s="38">
        <v>6.2842775000000002E-3</v>
      </c>
      <c r="DV55" s="38">
        <v>6.3097431999999997E-3</v>
      </c>
      <c r="DW55" s="38">
        <v>6.3230567000000003E-3</v>
      </c>
      <c r="DX55" s="38">
        <v>6.3290572E-3</v>
      </c>
      <c r="DY55" s="38">
        <v>6.3333334999999998E-3</v>
      </c>
      <c r="DZ55" s="38">
        <v>6.3371134999999999E-3</v>
      </c>
      <c r="EA55" s="39">
        <v>6.3405507000000002E-3</v>
      </c>
      <c r="EB55" s="40">
        <v>91.052157308999995</v>
      </c>
      <c r="EC55" s="30">
        <v>0.63636057319999995</v>
      </c>
      <c r="ED55" s="31">
        <v>47.319921256999997</v>
      </c>
      <c r="EE55" s="30">
        <v>0.3428498063</v>
      </c>
      <c r="EF55" s="31">
        <v>24.448913915999999</v>
      </c>
      <c r="EG55" s="30">
        <v>0.18365326160000001</v>
      </c>
      <c r="EH55" s="31">
        <v>12.687204381000001</v>
      </c>
      <c r="EI55" s="30">
        <v>9.9665602399999997E-2</v>
      </c>
      <c r="EJ55" s="31">
        <v>6.7545465912999996</v>
      </c>
      <c r="EK55" s="30">
        <v>5.6314222099999998E-2</v>
      </c>
      <c r="EL55" s="31">
        <v>3.7385135817999999</v>
      </c>
      <c r="EM55" s="30">
        <v>3.3700565799999999E-2</v>
      </c>
      <c r="EN55" s="31">
        <v>2.1656547110000002</v>
      </c>
      <c r="EO55" s="30">
        <v>2.15581171E-2</v>
      </c>
      <c r="EP55" s="31">
        <v>1.3247749432</v>
      </c>
      <c r="EQ55" s="30">
        <v>1.48127294E-2</v>
      </c>
      <c r="ER55" s="31">
        <v>0.8524340655</v>
      </c>
      <c r="ES55" s="30">
        <v>1.0825329999999999E-2</v>
      </c>
      <c r="ET55" s="31">
        <v>0.5763858597</v>
      </c>
      <c r="EU55" s="36">
        <v>8.3434389999999994E-3</v>
      </c>
      <c r="EV55" s="31"/>
      <c r="EW55" s="30"/>
      <c r="EX55" s="31"/>
      <c r="EY55" s="30"/>
      <c r="EZ55" s="31"/>
      <c r="FA55" s="30"/>
      <c r="FB55" s="31"/>
      <c r="FC55" s="30"/>
      <c r="FD55" s="31"/>
      <c r="FE55" s="36"/>
    </row>
    <row r="56" spans="1:161" x14ac:dyDescent="0.2">
      <c r="A56" s="12">
        <v>5100</v>
      </c>
      <c r="B56" s="2">
        <v>15082</v>
      </c>
      <c r="C56" s="15">
        <f t="shared" si="0"/>
        <v>3.8804136878106588E-3</v>
      </c>
      <c r="D56" s="15">
        <f t="shared" si="5"/>
        <v>0.7608896392542871</v>
      </c>
      <c r="E56" s="15">
        <f t="shared" si="8"/>
        <v>703.56074617460149</v>
      </c>
      <c r="F56" s="26">
        <v>2325.2242663000002</v>
      </c>
      <c r="G56" s="4">
        <v>5049.5342657000001</v>
      </c>
      <c r="H56" s="41">
        <f t="shared" si="6"/>
        <v>0.33457253346735139</v>
      </c>
      <c r="I56" s="4">
        <f t="shared" si="1"/>
        <v>410.88395080959998</v>
      </c>
      <c r="J56" s="4">
        <f>(I56*SUM($B$5:$B56)-I55*SUM($B$5:$B55))/$B56</f>
        <v>1689.4354721054508</v>
      </c>
      <c r="K56" s="4">
        <f t="shared" si="2"/>
        <v>1363.1543027666</v>
      </c>
      <c r="L56" s="4">
        <f>(K56*SUM(B$5:B56)-K55*SUM(B$5:B55))/B56</f>
        <v>5232.3250412132238</v>
      </c>
      <c r="M56" s="41">
        <f t="shared" si="7"/>
        <v>3.6199531658764578E-2</v>
      </c>
      <c r="N56" s="4">
        <v>96.636879554999993</v>
      </c>
      <c r="O56" s="28">
        <v>9.3236579400000005E-2</v>
      </c>
      <c r="P56" s="26">
        <v>7.1201091023999998</v>
      </c>
      <c r="Q56" s="28">
        <v>3.2376658000000001E-3</v>
      </c>
      <c r="R56" s="4">
        <v>172.50956658999999</v>
      </c>
      <c r="S56" s="28">
        <v>1.150149759</v>
      </c>
      <c r="T56" s="4">
        <v>98.034057786999995</v>
      </c>
      <c r="U56" s="28">
        <v>0.61390181210000005</v>
      </c>
      <c r="V56" s="4">
        <v>27.998949853999999</v>
      </c>
      <c r="W56" s="28">
        <v>0.2234142992</v>
      </c>
      <c r="X56" s="29" t="s">
        <v>136</v>
      </c>
      <c r="Y56" s="30">
        <v>0</v>
      </c>
      <c r="Z56" s="4">
        <v>38.087068596000002</v>
      </c>
      <c r="AA56" s="28">
        <v>6.2772435799999998E-2</v>
      </c>
      <c r="AB56" s="29" t="s">
        <v>136</v>
      </c>
      <c r="AC56" s="30">
        <v>0</v>
      </c>
      <c r="AD56" s="29" t="s">
        <v>136</v>
      </c>
      <c r="AE56" s="30">
        <v>0</v>
      </c>
      <c r="AF56" s="4">
        <v>0.64745489840000003</v>
      </c>
      <c r="AG56" s="28">
        <v>6.6946541999999996E-3</v>
      </c>
      <c r="AH56" s="4">
        <v>45.312729738000002</v>
      </c>
      <c r="AI56" s="28">
        <v>1.0136529209</v>
      </c>
      <c r="AJ56" s="29" t="s">
        <v>136</v>
      </c>
      <c r="AK56" s="30">
        <v>0</v>
      </c>
      <c r="AL56" s="4">
        <v>7.8503410000000003E-4</v>
      </c>
      <c r="AM56" s="28">
        <v>4.1365150000000003E-6</v>
      </c>
      <c r="AN56" s="29" t="s">
        <v>136</v>
      </c>
      <c r="AO56" s="30">
        <v>0</v>
      </c>
      <c r="AP56" s="29" t="s">
        <v>136</v>
      </c>
      <c r="AQ56" s="30">
        <v>0</v>
      </c>
      <c r="AR56" s="4">
        <f t="shared" si="3"/>
        <v>7.8503410000000003E-4</v>
      </c>
      <c r="AS56" s="28">
        <f t="shared" si="3"/>
        <v>4.1365150000000003E-6</v>
      </c>
      <c r="AT56" s="4">
        <v>130.82576510000001</v>
      </c>
      <c r="AU56" s="28">
        <v>1.703524453</v>
      </c>
      <c r="AV56" s="29" t="s">
        <v>136</v>
      </c>
      <c r="AW56" s="30">
        <v>0</v>
      </c>
      <c r="AX56" s="29" t="s">
        <v>136</v>
      </c>
      <c r="AY56" s="30">
        <v>0</v>
      </c>
      <c r="AZ56" s="29" t="s">
        <v>136</v>
      </c>
      <c r="BA56" s="30">
        <v>0</v>
      </c>
      <c r="BB56" s="4">
        <v>79.451989444999995</v>
      </c>
      <c r="BC56" s="28">
        <v>2.5646050155000002</v>
      </c>
      <c r="BD56" s="4">
        <v>70.179457533000004</v>
      </c>
      <c r="BE56" s="28">
        <v>0.52418717729999997</v>
      </c>
      <c r="BF56" s="4">
        <v>31.823854906000001</v>
      </c>
      <c r="BG56" s="28">
        <v>0.32139546899999999</v>
      </c>
      <c r="BH56" s="4">
        <v>10.686314023</v>
      </c>
      <c r="BI56" s="28">
        <v>8.9608052899999999E-2</v>
      </c>
      <c r="BJ56" s="31">
        <f t="shared" si="4"/>
        <v>27.669288604000002</v>
      </c>
      <c r="BK56" s="30">
        <f t="shared" si="4"/>
        <v>0.11318365539999997</v>
      </c>
      <c r="BL56" s="4">
        <v>0</v>
      </c>
      <c r="BM56" s="30">
        <v>0</v>
      </c>
      <c r="BN56" s="4">
        <v>185.46475369000001</v>
      </c>
      <c r="BO56" s="28">
        <v>1.9491256382</v>
      </c>
      <c r="BP56" s="28">
        <v>6.6808168999999999E-3</v>
      </c>
      <c r="BQ56" s="28">
        <v>3.8690355000000002E-6</v>
      </c>
      <c r="BR56" s="4">
        <v>138.64311531999999</v>
      </c>
      <c r="BS56" s="28">
        <v>4.3333576655000003</v>
      </c>
      <c r="BT56" s="4">
        <v>223.25656801</v>
      </c>
      <c r="BU56" s="28">
        <v>1.5519930577000001</v>
      </c>
      <c r="BV56" s="4">
        <v>48.647269080999997</v>
      </c>
      <c r="BW56" s="28">
        <v>0.21903286920000001</v>
      </c>
      <c r="BX56" s="4">
        <v>0.33699839860000003</v>
      </c>
      <c r="BY56" s="28">
        <v>1.2481165E-3</v>
      </c>
      <c r="BZ56" s="4">
        <v>0</v>
      </c>
      <c r="CA56" s="33">
        <v>0</v>
      </c>
      <c r="CB56" s="29" t="s">
        <v>136</v>
      </c>
      <c r="CC56" s="30">
        <v>0</v>
      </c>
      <c r="CD56" s="4">
        <v>0.61860713519999999</v>
      </c>
      <c r="CE56" s="28">
        <v>8.2714539999999993E-3</v>
      </c>
      <c r="CF56" s="4">
        <v>27.380342719000001</v>
      </c>
      <c r="CG56" s="28">
        <v>0.21514284519999999</v>
      </c>
      <c r="CH56" s="29" t="s">
        <v>136</v>
      </c>
      <c r="CI56" s="30">
        <v>0</v>
      </c>
      <c r="CJ56" s="29" t="s">
        <v>136</v>
      </c>
      <c r="CK56" s="30">
        <v>0</v>
      </c>
      <c r="CL56" s="4">
        <v>18.393071812999999</v>
      </c>
      <c r="CM56" s="28">
        <v>1.82177829E-2</v>
      </c>
      <c r="CN56" s="4">
        <v>19.693996782999999</v>
      </c>
      <c r="CO56" s="28">
        <v>4.4554652899999998E-2</v>
      </c>
      <c r="CP56" s="29" t="s">
        <v>136</v>
      </c>
      <c r="CQ56" s="30">
        <v>0</v>
      </c>
      <c r="CR56" s="29" t="s">
        <v>136</v>
      </c>
      <c r="CS56" s="30">
        <v>0</v>
      </c>
      <c r="CT56" s="29" t="s">
        <v>136</v>
      </c>
      <c r="CU56" s="30">
        <v>0</v>
      </c>
      <c r="CV56" s="29" t="s">
        <v>136</v>
      </c>
      <c r="CW56" s="30">
        <v>0</v>
      </c>
      <c r="CX56" s="4">
        <v>0.20285814799999999</v>
      </c>
      <c r="CY56" s="28">
        <v>2.2823806999999999E-3</v>
      </c>
      <c r="CZ56" s="4">
        <v>0.44459675040000002</v>
      </c>
      <c r="DA56" s="28">
        <v>4.4122735000000001E-3</v>
      </c>
      <c r="DB56" s="4">
        <v>4.0241568393999998</v>
      </c>
      <c r="DC56" s="28">
        <v>4.5020897300000001E-2</v>
      </c>
      <c r="DD56" s="4">
        <v>41.288572897999998</v>
      </c>
      <c r="DE56" s="28">
        <v>0.96863202349999999</v>
      </c>
      <c r="DF56" s="29" t="s">
        <v>136</v>
      </c>
      <c r="DG56" s="30">
        <v>0</v>
      </c>
      <c r="DH56" s="29" t="s">
        <v>136</v>
      </c>
      <c r="DI56" s="30">
        <v>0</v>
      </c>
      <c r="DJ56" s="4">
        <v>25.028534716999999</v>
      </c>
      <c r="DK56" s="28">
        <v>0.44346206379999997</v>
      </c>
      <c r="DL56" s="4">
        <v>54.423454728000003</v>
      </c>
      <c r="DM56" s="28">
        <v>2.1211429517</v>
      </c>
      <c r="DN56" s="4">
        <v>31.214042567</v>
      </c>
      <c r="DO56" s="28">
        <v>0.67757978360000004</v>
      </c>
      <c r="DP56" s="4">
        <v>154.25071112000001</v>
      </c>
      <c r="DQ56" s="28">
        <v>1.2715458545</v>
      </c>
      <c r="DR56" s="37">
        <v>3.2065414E-3</v>
      </c>
      <c r="DS56" s="38">
        <v>5.6398448999999996E-3</v>
      </c>
      <c r="DT56" s="38">
        <v>6.3211635999999996E-3</v>
      </c>
      <c r="DU56" s="38">
        <v>6.4684032000000002E-3</v>
      </c>
      <c r="DV56" s="38">
        <v>6.4971361999999998E-3</v>
      </c>
      <c r="DW56" s="38">
        <v>6.5123899000000002E-3</v>
      </c>
      <c r="DX56" s="38">
        <v>6.5198614999999998E-3</v>
      </c>
      <c r="DY56" s="38">
        <v>6.5254585999999998E-3</v>
      </c>
      <c r="DZ56" s="38">
        <v>6.5305614E-3</v>
      </c>
      <c r="EA56" s="39">
        <v>6.5353225999999999E-3</v>
      </c>
      <c r="EB56" s="40">
        <v>91.792267397000003</v>
      </c>
      <c r="EC56" s="30">
        <v>0.64144897499999998</v>
      </c>
      <c r="ED56" s="31">
        <v>47.848550209000003</v>
      </c>
      <c r="EE56" s="30">
        <v>0.34657535740000001</v>
      </c>
      <c r="EF56" s="31">
        <v>24.799805542000001</v>
      </c>
      <c r="EG56" s="30">
        <v>0.18621140380000001</v>
      </c>
      <c r="EH56" s="31">
        <v>12.911706179999999</v>
      </c>
      <c r="EI56" s="30">
        <v>0.1013759945</v>
      </c>
      <c r="EJ56" s="31">
        <v>6.8966138346000001</v>
      </c>
      <c r="EK56" s="30">
        <v>5.7457131299999999E-2</v>
      </c>
      <c r="EL56" s="31">
        <v>3.8279929994000002</v>
      </c>
      <c r="EM56" s="30">
        <v>3.44724421E-2</v>
      </c>
      <c r="EN56" s="31">
        <v>2.2238737807</v>
      </c>
      <c r="EO56" s="30">
        <v>2.2105795899999999E-2</v>
      </c>
      <c r="EP56" s="31">
        <v>1.3640494397</v>
      </c>
      <c r="EQ56" s="30">
        <v>1.5218104600000001E-2</v>
      </c>
      <c r="ER56" s="31">
        <v>0.87928169099999998</v>
      </c>
      <c r="ES56" s="30">
        <v>1.1134895000000001E-2</v>
      </c>
      <c r="ET56" s="31">
        <v>0.59521329869999995</v>
      </c>
      <c r="EU56" s="36">
        <v>8.5888247000000008E-3</v>
      </c>
      <c r="EV56" s="31"/>
      <c r="EW56" s="30"/>
      <c r="EX56" s="31"/>
      <c r="EY56" s="30"/>
      <c r="EZ56" s="31"/>
      <c r="FA56" s="30"/>
      <c r="FB56" s="31"/>
      <c r="FC56" s="30"/>
      <c r="FD56" s="31"/>
      <c r="FE56" s="36"/>
    </row>
    <row r="57" spans="1:161" x14ac:dyDescent="0.2">
      <c r="A57" s="12">
        <v>5200</v>
      </c>
      <c r="B57" s="2">
        <v>14740</v>
      </c>
      <c r="C57" s="15">
        <f t="shared" si="0"/>
        <v>3.7924212808864285E-3</v>
      </c>
      <c r="D57" s="15">
        <f t="shared" si="5"/>
        <v>0.76468206053517351</v>
      </c>
      <c r="E57" s="15">
        <f t="shared" si="8"/>
        <v>713.73310308185853</v>
      </c>
      <c r="F57" s="26">
        <v>2351.1456855000001</v>
      </c>
      <c r="G57" s="4">
        <v>5149.819281</v>
      </c>
      <c r="H57" s="41">
        <f t="shared" si="6"/>
        <v>0.33331962669114829</v>
      </c>
      <c r="I57" s="4">
        <f t="shared" si="1"/>
        <v>417.35929823380002</v>
      </c>
      <c r="J57" s="4">
        <f>(I57*SUM($B$5:$B57)-I56*SUM($B$5:$B56))/$B57</f>
        <v>1716.5358402697977</v>
      </c>
      <c r="K57" s="4">
        <f t="shared" si="2"/>
        <v>1382.7563936677002</v>
      </c>
      <c r="L57" s="4">
        <f>(K57*SUM(B$5:B57)-K56*SUM(B$5:B56))/B57</f>
        <v>5315.6074061695563</v>
      </c>
      <c r="M57" s="41">
        <f t="shared" si="7"/>
        <v>3.219299865166593E-2</v>
      </c>
      <c r="N57" s="4">
        <v>98.390957909999997</v>
      </c>
      <c r="O57" s="28">
        <v>9.4163431000000006E-2</v>
      </c>
      <c r="P57" s="26">
        <v>7.3994391370999999</v>
      </c>
      <c r="Q57" s="28">
        <v>3.3303196999999998E-3</v>
      </c>
      <c r="R57" s="4">
        <v>173.41232997</v>
      </c>
      <c r="S57" s="28">
        <v>1.1562090369</v>
      </c>
      <c r="T57" s="4">
        <v>98.977547408999996</v>
      </c>
      <c r="U57" s="28">
        <v>0.61978128669999999</v>
      </c>
      <c r="V57" s="4">
        <v>28.461363988999999</v>
      </c>
      <c r="W57" s="28">
        <v>0.22689822840000001</v>
      </c>
      <c r="X57" s="29" t="s">
        <v>136</v>
      </c>
      <c r="Y57" s="30">
        <v>0</v>
      </c>
      <c r="Z57" s="4">
        <v>39.148747526999998</v>
      </c>
      <c r="AA57" s="28">
        <v>6.4202865100000006E-2</v>
      </c>
      <c r="AB57" s="29" t="s">
        <v>136</v>
      </c>
      <c r="AC57" s="30">
        <v>0</v>
      </c>
      <c r="AD57" s="29" t="s">
        <v>136</v>
      </c>
      <c r="AE57" s="30">
        <v>0</v>
      </c>
      <c r="AF57" s="4">
        <v>0.66182573440000003</v>
      </c>
      <c r="AG57" s="28">
        <v>6.832271E-3</v>
      </c>
      <c r="AH57" s="4">
        <v>46.079756207000003</v>
      </c>
      <c r="AI57" s="28">
        <v>1.0293210373999999</v>
      </c>
      <c r="AJ57" s="29" t="s">
        <v>136</v>
      </c>
      <c r="AK57" s="30">
        <v>0</v>
      </c>
      <c r="AL57" s="4">
        <v>7.819007E-4</v>
      </c>
      <c r="AM57" s="28">
        <v>4.1198330000000002E-6</v>
      </c>
      <c r="AN57" s="29" t="s">
        <v>136</v>
      </c>
      <c r="AO57" s="30">
        <v>0</v>
      </c>
      <c r="AP57" s="29" t="s">
        <v>136</v>
      </c>
      <c r="AQ57" s="30">
        <v>0</v>
      </c>
      <c r="AR57" s="4">
        <f t="shared" si="3"/>
        <v>7.819007E-4</v>
      </c>
      <c r="AS57" s="28">
        <f t="shared" si="3"/>
        <v>4.1198330000000002E-6</v>
      </c>
      <c r="AT57" s="4">
        <v>132.14428212999999</v>
      </c>
      <c r="AU57" s="28">
        <v>1.7133943162</v>
      </c>
      <c r="AV57" s="29" t="s">
        <v>136</v>
      </c>
      <c r="AW57" s="30">
        <v>0</v>
      </c>
      <c r="AX57" s="29" t="s">
        <v>136</v>
      </c>
      <c r="AY57" s="30">
        <v>0</v>
      </c>
      <c r="AZ57" s="29" t="s">
        <v>136</v>
      </c>
      <c r="BA57" s="30">
        <v>0</v>
      </c>
      <c r="BB57" s="4">
        <v>80.397612788999993</v>
      </c>
      <c r="BC57" s="28">
        <v>2.5852754418999999</v>
      </c>
      <c r="BD57" s="4">
        <v>71.242757810000001</v>
      </c>
      <c r="BE57" s="28">
        <v>0.52997168859999999</v>
      </c>
      <c r="BF57" s="4">
        <v>32.290845081000001</v>
      </c>
      <c r="BG57" s="28">
        <v>0.3250186497</v>
      </c>
      <c r="BH57" s="4">
        <v>10.811521457</v>
      </c>
      <c r="BI57" s="28">
        <v>9.0335012899999997E-2</v>
      </c>
      <c r="BJ57" s="31">
        <f t="shared" si="4"/>
        <v>28.140391272000002</v>
      </c>
      <c r="BK57" s="30">
        <f t="shared" si="4"/>
        <v>0.11461802599999998</v>
      </c>
      <c r="BL57" s="4">
        <v>0</v>
      </c>
      <c r="BM57" s="30">
        <v>0</v>
      </c>
      <c r="BN57" s="4">
        <v>189.07891101999999</v>
      </c>
      <c r="BO57" s="28">
        <v>1.9708572486</v>
      </c>
      <c r="BP57" s="28">
        <v>6.8761435999999997E-3</v>
      </c>
      <c r="BQ57" s="28">
        <v>3.8335443999999999E-6</v>
      </c>
      <c r="BR57" s="4">
        <v>139.78586991</v>
      </c>
      <c r="BS57" s="28">
        <v>4.3583703891000001</v>
      </c>
      <c r="BT57" s="4">
        <v>227.82439692</v>
      </c>
      <c r="BU57" s="28">
        <v>1.5805327490000001</v>
      </c>
      <c r="BV57" s="4">
        <v>49.396473802000003</v>
      </c>
      <c r="BW57" s="28">
        <v>0.22153896040000001</v>
      </c>
      <c r="BX57" s="4">
        <v>0.35255760180000001</v>
      </c>
      <c r="BY57" s="28">
        <v>1.2672437E-3</v>
      </c>
      <c r="BZ57" s="4">
        <v>0</v>
      </c>
      <c r="CA57" s="33">
        <v>0</v>
      </c>
      <c r="CB57" s="29" t="s">
        <v>136</v>
      </c>
      <c r="CC57" s="30">
        <v>0</v>
      </c>
      <c r="CD57" s="4">
        <v>0.63033915789999995</v>
      </c>
      <c r="CE57" s="28">
        <v>8.4251564999999994E-3</v>
      </c>
      <c r="CF57" s="4">
        <v>27.831024831000001</v>
      </c>
      <c r="CG57" s="28">
        <v>0.21847307190000001</v>
      </c>
      <c r="CH57" s="29" t="s">
        <v>136</v>
      </c>
      <c r="CI57" s="30">
        <v>0</v>
      </c>
      <c r="CJ57" s="29" t="s">
        <v>136</v>
      </c>
      <c r="CK57" s="30">
        <v>0</v>
      </c>
      <c r="CL57" s="4">
        <v>19.019346408000001</v>
      </c>
      <c r="CM57" s="28">
        <v>1.8697142100000001E-2</v>
      </c>
      <c r="CN57" s="4">
        <v>20.129401119000001</v>
      </c>
      <c r="CO57" s="28">
        <v>4.5505722899999997E-2</v>
      </c>
      <c r="CP57" s="29" t="s">
        <v>136</v>
      </c>
      <c r="CQ57" s="30">
        <v>0</v>
      </c>
      <c r="CR57" s="29" t="s">
        <v>136</v>
      </c>
      <c r="CS57" s="30">
        <v>0</v>
      </c>
      <c r="CT57" s="29" t="s">
        <v>136</v>
      </c>
      <c r="CU57" s="30">
        <v>0</v>
      </c>
      <c r="CV57" s="29" t="s">
        <v>136</v>
      </c>
      <c r="CW57" s="30">
        <v>0</v>
      </c>
      <c r="CX57" s="4">
        <v>0.2082673642</v>
      </c>
      <c r="CY57" s="28">
        <v>2.3346405E-3</v>
      </c>
      <c r="CZ57" s="4">
        <v>0.45355837020000001</v>
      </c>
      <c r="DA57" s="28">
        <v>4.4976304999999996E-3</v>
      </c>
      <c r="DB57" s="4">
        <v>4.1340613007</v>
      </c>
      <c r="DC57" s="28">
        <v>4.6259673500000001E-2</v>
      </c>
      <c r="DD57" s="4">
        <v>41.945694906</v>
      </c>
      <c r="DE57" s="28">
        <v>0.98306136389999998</v>
      </c>
      <c r="DF57" s="29" t="s">
        <v>136</v>
      </c>
      <c r="DG57" s="30">
        <v>0</v>
      </c>
      <c r="DH57" s="29" t="s">
        <v>136</v>
      </c>
      <c r="DI57" s="30">
        <v>0</v>
      </c>
      <c r="DJ57" s="4">
        <v>25.386578008000001</v>
      </c>
      <c r="DK57" s="28">
        <v>0.44831724169999998</v>
      </c>
      <c r="DL57" s="4">
        <v>55.011034780000003</v>
      </c>
      <c r="DM57" s="28">
        <v>2.1369582002</v>
      </c>
      <c r="DN57" s="4">
        <v>32.515852516999999</v>
      </c>
      <c r="DO57" s="28">
        <v>0.68771240310000004</v>
      </c>
      <c r="DP57" s="4">
        <v>156.56305850000001</v>
      </c>
      <c r="DQ57" s="28">
        <v>1.2831448455000001</v>
      </c>
      <c r="DR57" s="37">
        <v>3.2971831E-3</v>
      </c>
      <c r="DS57" s="38">
        <v>5.7987454999999999E-3</v>
      </c>
      <c r="DT57" s="38">
        <v>6.5062831999999999E-3</v>
      </c>
      <c r="DU57" s="38">
        <v>6.6621388E-3</v>
      </c>
      <c r="DV57" s="38">
        <v>6.6922325E-3</v>
      </c>
      <c r="DW57" s="38">
        <v>6.7080763999999996E-3</v>
      </c>
      <c r="DX57" s="38">
        <v>6.7156754000000001E-3</v>
      </c>
      <c r="DY57" s="38">
        <v>6.7212501000000003E-3</v>
      </c>
      <c r="DZ57" s="38">
        <v>6.7263325000000004E-3</v>
      </c>
      <c r="EA57" s="39">
        <v>6.7310746000000003E-3</v>
      </c>
      <c r="EB57" s="40">
        <v>92.519730378000006</v>
      </c>
      <c r="EC57" s="30">
        <v>0.64639753389999999</v>
      </c>
      <c r="ED57" s="31">
        <v>48.367596204000002</v>
      </c>
      <c r="EE57" s="30">
        <v>0.35019814090000001</v>
      </c>
      <c r="EF57" s="31">
        <v>25.143666991</v>
      </c>
      <c r="EG57" s="30">
        <v>0.1886870903</v>
      </c>
      <c r="EH57" s="31">
        <v>13.133983135999999</v>
      </c>
      <c r="EI57" s="30">
        <v>0.10303204119999999</v>
      </c>
      <c r="EJ57" s="31">
        <v>7.0385016646</v>
      </c>
      <c r="EK57" s="30">
        <v>5.85581685E-2</v>
      </c>
      <c r="EL57" s="31">
        <v>3.9209636054999999</v>
      </c>
      <c r="EM57" s="30">
        <v>3.5228302500000003E-2</v>
      </c>
      <c r="EN57" s="31">
        <v>2.2863276566000001</v>
      </c>
      <c r="EO57" s="30">
        <v>2.2639332700000001E-2</v>
      </c>
      <c r="EP57" s="31">
        <v>1.4066909311</v>
      </c>
      <c r="EQ57" s="30">
        <v>1.5603590400000001E-2</v>
      </c>
      <c r="ER57" s="31">
        <v>0.90903892369999995</v>
      </c>
      <c r="ES57" s="30">
        <v>1.14219431E-2</v>
      </c>
      <c r="ET57" s="31">
        <v>0.61680204760000001</v>
      </c>
      <c r="EU57" s="36">
        <v>8.8121246000000004E-3</v>
      </c>
      <c r="EV57" s="31"/>
      <c r="EW57" s="30"/>
      <c r="EX57" s="31"/>
      <c r="EY57" s="30"/>
      <c r="EZ57" s="31"/>
      <c r="FA57" s="30"/>
      <c r="FB57" s="31"/>
      <c r="FC57" s="30"/>
      <c r="FD57" s="31"/>
      <c r="FE57" s="36"/>
    </row>
    <row r="58" spans="1:161" x14ac:dyDescent="0.2">
      <c r="A58" s="12">
        <v>5300</v>
      </c>
      <c r="B58" s="2">
        <v>14270</v>
      </c>
      <c r="C58" s="15">
        <f t="shared" si="0"/>
        <v>3.6714960433004975E-3</v>
      </c>
      <c r="D58" s="15">
        <f t="shared" si="5"/>
        <v>0.76835355657847404</v>
      </c>
      <c r="E58" s="15">
        <f t="shared" si="8"/>
        <v>723.68826180548126</v>
      </c>
      <c r="F58" s="26">
        <v>2376.7289169999999</v>
      </c>
      <c r="G58" s="4">
        <v>5249.8320856</v>
      </c>
      <c r="H58" s="41">
        <f t="shared" si="6"/>
        <v>0.32882073861614464</v>
      </c>
      <c r="I58" s="4">
        <f t="shared" si="1"/>
        <v>423.61371124959999</v>
      </c>
      <c r="J58" s="4">
        <f>(I58*SUM($B$5:$B58)-I57*SUM($B$5:$B57))/$B58</f>
        <v>1726.253663997727</v>
      </c>
      <c r="K58" s="4">
        <f t="shared" si="2"/>
        <v>1402.0309963118</v>
      </c>
      <c r="L58" s="4">
        <f>(K58*SUM(B$5:B58)-K57*SUM(B$5:B57))/B58</f>
        <v>5416.4552778745247</v>
      </c>
      <c r="M58" s="41">
        <f t="shared" si="7"/>
        <v>3.1738766032453278E-2</v>
      </c>
      <c r="N58" s="4">
        <v>100.18750875000001</v>
      </c>
      <c r="O58" s="28">
        <v>9.5105166300000002E-2</v>
      </c>
      <c r="P58" s="26">
        <v>7.6731367735999996</v>
      </c>
      <c r="Q58" s="28">
        <v>3.4192350000000001E-3</v>
      </c>
      <c r="R58" s="4">
        <v>174.30967852000001</v>
      </c>
      <c r="S58" s="28">
        <v>1.1622633776</v>
      </c>
      <c r="T58" s="4">
        <v>99.904783762999998</v>
      </c>
      <c r="U58" s="28">
        <v>0.62567480669999997</v>
      </c>
      <c r="V58" s="4">
        <v>28.930504504000002</v>
      </c>
      <c r="W58" s="28">
        <v>0.23038227999999999</v>
      </c>
      <c r="X58" s="29" t="s">
        <v>136</v>
      </c>
      <c r="Y58" s="30">
        <v>0</v>
      </c>
      <c r="Z58" s="4">
        <v>40.173031023</v>
      </c>
      <c r="AA58" s="28">
        <v>6.5630745000000004E-2</v>
      </c>
      <c r="AB58" s="29" t="s">
        <v>136</v>
      </c>
      <c r="AC58" s="30">
        <v>0</v>
      </c>
      <c r="AD58" s="29" t="s">
        <v>136</v>
      </c>
      <c r="AE58" s="30">
        <v>0</v>
      </c>
      <c r="AF58" s="4">
        <v>0.67711946219999997</v>
      </c>
      <c r="AG58" s="28">
        <v>6.9744053E-3</v>
      </c>
      <c r="AH58" s="4">
        <v>46.918272418000001</v>
      </c>
      <c r="AI58" s="28">
        <v>1.046990399</v>
      </c>
      <c r="AJ58" s="29" t="s">
        <v>136</v>
      </c>
      <c r="AK58" s="30">
        <v>0</v>
      </c>
      <c r="AL58" s="4">
        <v>8.0837919999999998E-4</v>
      </c>
      <c r="AM58" s="28">
        <v>4.2714176999999997E-6</v>
      </c>
      <c r="AN58" s="29" t="s">
        <v>136</v>
      </c>
      <c r="AO58" s="30">
        <v>0</v>
      </c>
      <c r="AP58" s="29" t="s">
        <v>136</v>
      </c>
      <c r="AQ58" s="30">
        <v>0</v>
      </c>
      <c r="AR58" s="4">
        <f t="shared" si="3"/>
        <v>8.0837919999999998E-4</v>
      </c>
      <c r="AS58" s="28">
        <f t="shared" si="3"/>
        <v>4.2714176999999997E-6</v>
      </c>
      <c r="AT58" s="4">
        <v>133.39289911</v>
      </c>
      <c r="AU58" s="28">
        <v>1.7231884878999999</v>
      </c>
      <c r="AV58" s="29" t="s">
        <v>136</v>
      </c>
      <c r="AW58" s="30">
        <v>0</v>
      </c>
      <c r="AX58" s="29" t="s">
        <v>136</v>
      </c>
      <c r="AY58" s="30">
        <v>0</v>
      </c>
      <c r="AZ58" s="29" t="s">
        <v>136</v>
      </c>
      <c r="BA58" s="30">
        <v>0</v>
      </c>
      <c r="BB58" s="4">
        <v>81.326558153999997</v>
      </c>
      <c r="BC58" s="28">
        <v>2.6058040169000001</v>
      </c>
      <c r="BD58" s="4">
        <v>72.257970615999994</v>
      </c>
      <c r="BE58" s="28">
        <v>0.53542883379999995</v>
      </c>
      <c r="BF58" s="4">
        <v>32.742722432000001</v>
      </c>
      <c r="BG58" s="28">
        <v>0.3283791123</v>
      </c>
      <c r="BH58" s="4">
        <v>10.922306426</v>
      </c>
      <c r="BI58" s="28">
        <v>9.1035500599999999E-2</v>
      </c>
      <c r="BJ58" s="31">
        <f t="shared" si="4"/>
        <v>28.592941757999995</v>
      </c>
      <c r="BK58" s="30">
        <f t="shared" si="4"/>
        <v>0.11601422089999996</v>
      </c>
      <c r="BL58" s="4">
        <v>0</v>
      </c>
      <c r="BM58" s="30">
        <v>0</v>
      </c>
      <c r="BN58" s="4">
        <v>192.66420521000001</v>
      </c>
      <c r="BO58" s="28">
        <v>1.9923059746</v>
      </c>
      <c r="BP58" s="28">
        <v>7.0719414000000001E-3</v>
      </c>
      <c r="BQ58" s="28">
        <v>3.8009572999999998E-6</v>
      </c>
      <c r="BR58" s="4">
        <v>140.85758597</v>
      </c>
      <c r="BS58" s="28">
        <v>4.3815301308999999</v>
      </c>
      <c r="BT58" s="4">
        <v>232.21731994000001</v>
      </c>
      <c r="BU58" s="28">
        <v>1.6075508452</v>
      </c>
      <c r="BV58" s="4">
        <v>50.172993554999998</v>
      </c>
      <c r="BW58" s="28">
        <v>0.22412584930000001</v>
      </c>
      <c r="BX58" s="4">
        <v>0.36581178460000002</v>
      </c>
      <c r="BY58" s="28">
        <v>1.2887481E-3</v>
      </c>
      <c r="BZ58" s="4">
        <v>0</v>
      </c>
      <c r="CA58" s="33">
        <v>0</v>
      </c>
      <c r="CB58" s="29" t="s">
        <v>136</v>
      </c>
      <c r="CC58" s="30">
        <v>0</v>
      </c>
      <c r="CD58" s="4">
        <v>0.6396311335</v>
      </c>
      <c r="CE58" s="28">
        <v>8.5133989E-3</v>
      </c>
      <c r="CF58" s="4">
        <v>28.29087337</v>
      </c>
      <c r="CG58" s="28">
        <v>0.2218688811</v>
      </c>
      <c r="CH58" s="29" t="s">
        <v>136</v>
      </c>
      <c r="CI58" s="30">
        <v>0</v>
      </c>
      <c r="CJ58" s="29" t="s">
        <v>136</v>
      </c>
      <c r="CK58" s="30">
        <v>0</v>
      </c>
      <c r="CL58" s="4">
        <v>19.610984248000001</v>
      </c>
      <c r="CM58" s="28">
        <v>1.9165690400000001E-2</v>
      </c>
      <c r="CN58" s="4">
        <v>20.562046774999999</v>
      </c>
      <c r="CO58" s="28">
        <v>4.64650546E-2</v>
      </c>
      <c r="CP58" s="29" t="s">
        <v>136</v>
      </c>
      <c r="CQ58" s="30">
        <v>0</v>
      </c>
      <c r="CR58" s="29" t="s">
        <v>136</v>
      </c>
      <c r="CS58" s="30">
        <v>0</v>
      </c>
      <c r="CT58" s="29" t="s">
        <v>136</v>
      </c>
      <c r="CU58" s="30">
        <v>0</v>
      </c>
      <c r="CV58" s="29" t="s">
        <v>136</v>
      </c>
      <c r="CW58" s="30">
        <v>0</v>
      </c>
      <c r="CX58" s="4">
        <v>0.2131259462</v>
      </c>
      <c r="CY58" s="28">
        <v>2.3814630999999999E-3</v>
      </c>
      <c r="CZ58" s="4">
        <v>0.46399351599999999</v>
      </c>
      <c r="DA58" s="28">
        <v>4.5929422000000001E-3</v>
      </c>
      <c r="DB58" s="4">
        <v>4.2320727763999999</v>
      </c>
      <c r="DC58" s="28">
        <v>4.7269509699999997E-2</v>
      </c>
      <c r="DD58" s="4">
        <v>42.686199641999998</v>
      </c>
      <c r="DE58" s="28">
        <v>0.99972088930000003</v>
      </c>
      <c r="DF58" s="29" t="s">
        <v>136</v>
      </c>
      <c r="DG58" s="30">
        <v>0</v>
      </c>
      <c r="DH58" s="29" t="s">
        <v>136</v>
      </c>
      <c r="DI58" s="30">
        <v>0</v>
      </c>
      <c r="DJ58" s="4">
        <v>25.749931057000001</v>
      </c>
      <c r="DK58" s="28">
        <v>0.45328135000000003</v>
      </c>
      <c r="DL58" s="4">
        <v>55.576627096999999</v>
      </c>
      <c r="DM58" s="28">
        <v>2.1525226668999999</v>
      </c>
      <c r="DN58" s="4">
        <v>33.745378989999999</v>
      </c>
      <c r="DO58" s="28">
        <v>0.69727867020000001</v>
      </c>
      <c r="DP58" s="4">
        <v>158.91882622</v>
      </c>
      <c r="DQ58" s="28">
        <v>1.2950273044</v>
      </c>
      <c r="DR58" s="37">
        <v>3.3843300000000001E-3</v>
      </c>
      <c r="DS58" s="38">
        <v>5.9536557000000002E-3</v>
      </c>
      <c r="DT58" s="38">
        <v>6.6843375999999996E-3</v>
      </c>
      <c r="DU58" s="38">
        <v>6.8491052000000004E-3</v>
      </c>
      <c r="DV58" s="38">
        <v>6.8805398E-3</v>
      </c>
      <c r="DW58" s="38">
        <v>6.8971357000000002E-3</v>
      </c>
      <c r="DX58" s="38">
        <v>6.9055169000000003E-3</v>
      </c>
      <c r="DY58" s="38">
        <v>6.9117255000000002E-3</v>
      </c>
      <c r="DZ58" s="38">
        <v>6.9174437000000004E-3</v>
      </c>
      <c r="EA58" s="39">
        <v>6.9226677999999998E-3</v>
      </c>
      <c r="EB58" s="40">
        <v>93.246659811000001</v>
      </c>
      <c r="EC58" s="30">
        <v>0.65138536329999996</v>
      </c>
      <c r="ED58" s="31">
        <v>48.895889965000002</v>
      </c>
      <c r="EE58" s="30">
        <v>0.35391905769999998</v>
      </c>
      <c r="EF58" s="31">
        <v>25.503985174</v>
      </c>
      <c r="EG58" s="30">
        <v>0.19130810370000001</v>
      </c>
      <c r="EH58" s="31">
        <v>13.369860403000001</v>
      </c>
      <c r="EI58" s="30">
        <v>0.1048188221</v>
      </c>
      <c r="EJ58" s="31">
        <v>7.1914434775</v>
      </c>
      <c r="EK58" s="30">
        <v>5.9784461400000002E-2</v>
      </c>
      <c r="EL58" s="31">
        <v>4.0210975315999997</v>
      </c>
      <c r="EM58" s="30">
        <v>3.60923353E-2</v>
      </c>
      <c r="EN58" s="31">
        <v>2.3528833658999999</v>
      </c>
      <c r="EO58" s="30">
        <v>2.3265285600000001E-2</v>
      </c>
      <c r="EP58" s="31">
        <v>1.4524497874</v>
      </c>
      <c r="EQ58" s="30">
        <v>1.6077173399999999E-2</v>
      </c>
      <c r="ER58" s="31">
        <v>0.94159129350000004</v>
      </c>
      <c r="ES58" s="30">
        <v>1.17942494E-2</v>
      </c>
      <c r="ET58" s="31">
        <v>0.6411469715</v>
      </c>
      <c r="EU58" s="36">
        <v>9.1191738999999994E-3</v>
      </c>
      <c r="EV58" s="31"/>
      <c r="EW58" s="30"/>
      <c r="EX58" s="31"/>
      <c r="EY58" s="30"/>
      <c r="EZ58" s="31"/>
      <c r="FA58" s="30"/>
      <c r="FB58" s="31"/>
      <c r="FC58" s="30"/>
      <c r="FD58" s="31"/>
      <c r="FE58" s="36"/>
    </row>
    <row r="59" spans="1:161" x14ac:dyDescent="0.2">
      <c r="A59" s="12">
        <v>5400</v>
      </c>
      <c r="B59" s="2">
        <v>13936</v>
      </c>
      <c r="C59" s="15">
        <f t="shared" si="0"/>
        <v>3.585561938292623E-3</v>
      </c>
      <c r="D59" s="15">
        <f t="shared" si="5"/>
        <v>0.77193911851676666</v>
      </c>
      <c r="E59" s="15">
        <f t="shared" si="8"/>
        <v>733.51330561929524</v>
      </c>
      <c r="F59" s="26">
        <v>2401.8826918</v>
      </c>
      <c r="G59" s="4">
        <v>5349.6850807999999</v>
      </c>
      <c r="H59" s="41">
        <f t="shared" si="6"/>
        <v>0.33757795949064268</v>
      </c>
      <c r="I59" s="4">
        <f t="shared" si="1"/>
        <v>430.03442663239997</v>
      </c>
      <c r="J59" s="4">
        <f>(I59*SUM($B$5:$B59)-I58*SUM($B$5:$B58))/$B59</f>
        <v>1805.9357734939979</v>
      </c>
      <c r="K59" s="4">
        <f t="shared" si="2"/>
        <v>1421.1688995463999</v>
      </c>
      <c r="L59" s="4">
        <f>(K59*SUM(B$5:B59)-K58*SUM(B$5:B58))/B59</f>
        <v>5522.248805242175</v>
      </c>
      <c r="M59" s="41">
        <f t="shared" si="7"/>
        <v>3.2256800509903961E-2</v>
      </c>
      <c r="N59" s="4">
        <v>101.90717135</v>
      </c>
      <c r="O59" s="28">
        <v>9.5976444399999999E-2</v>
      </c>
      <c r="P59" s="26">
        <v>7.9379470132999996</v>
      </c>
      <c r="Q59" s="28">
        <v>3.5037092999999999E-3</v>
      </c>
      <c r="R59" s="4">
        <v>175.14106290999999</v>
      </c>
      <c r="S59" s="28">
        <v>1.1678532651</v>
      </c>
      <c r="T59" s="4">
        <v>100.80027477</v>
      </c>
      <c r="U59" s="28">
        <v>0.63171120079999998</v>
      </c>
      <c r="V59" s="4">
        <v>29.381176107000002</v>
      </c>
      <c r="W59" s="28">
        <v>0.2336266548</v>
      </c>
      <c r="X59" s="29" t="s">
        <v>136</v>
      </c>
      <c r="Y59" s="30">
        <v>0</v>
      </c>
      <c r="Z59" s="4">
        <v>41.223944856999999</v>
      </c>
      <c r="AA59" s="28">
        <v>6.7072479099999999E-2</v>
      </c>
      <c r="AB59" s="29" t="s">
        <v>136</v>
      </c>
      <c r="AC59" s="30">
        <v>0</v>
      </c>
      <c r="AD59" s="29" t="s">
        <v>136</v>
      </c>
      <c r="AE59" s="30">
        <v>0</v>
      </c>
      <c r="AF59" s="4">
        <v>0.69922394450000003</v>
      </c>
      <c r="AG59" s="28">
        <v>7.1609335999999997E-3</v>
      </c>
      <c r="AH59" s="4">
        <v>47.729793297000001</v>
      </c>
      <c r="AI59" s="28">
        <v>1.0629607174</v>
      </c>
      <c r="AJ59" s="29" t="s">
        <v>136</v>
      </c>
      <c r="AK59" s="30">
        <v>0</v>
      </c>
      <c r="AL59" s="4">
        <v>8.0532110000000004E-4</v>
      </c>
      <c r="AM59" s="28">
        <v>4.2550831000000002E-6</v>
      </c>
      <c r="AN59" s="29" t="s">
        <v>136</v>
      </c>
      <c r="AO59" s="30">
        <v>0</v>
      </c>
      <c r="AP59" s="29" t="s">
        <v>136</v>
      </c>
      <c r="AQ59" s="30">
        <v>0</v>
      </c>
      <c r="AR59" s="4">
        <f t="shared" si="3"/>
        <v>8.0532110000000004E-4</v>
      </c>
      <c r="AS59" s="28">
        <f t="shared" si="3"/>
        <v>4.2550831000000002E-6</v>
      </c>
      <c r="AT59" s="4">
        <v>134.61021916999999</v>
      </c>
      <c r="AU59" s="28">
        <v>1.7326415820000001</v>
      </c>
      <c r="AV59" s="29" t="s">
        <v>136</v>
      </c>
      <c r="AW59" s="30">
        <v>0</v>
      </c>
      <c r="AX59" s="29" t="s">
        <v>136</v>
      </c>
      <c r="AY59" s="30">
        <v>0</v>
      </c>
      <c r="AZ59" s="29" t="s">
        <v>136</v>
      </c>
      <c r="BA59" s="30">
        <v>0</v>
      </c>
      <c r="BB59" s="4">
        <v>82.200769084000001</v>
      </c>
      <c r="BC59" s="28">
        <v>2.6261323399999998</v>
      </c>
      <c r="BD59" s="4">
        <v>73.230859749000004</v>
      </c>
      <c r="BE59" s="28">
        <v>0.54088330669999996</v>
      </c>
      <c r="BF59" s="4">
        <v>33.174867704</v>
      </c>
      <c r="BG59" s="28">
        <v>0.33179231219999999</v>
      </c>
      <c r="BH59" s="4">
        <v>11.025099663000001</v>
      </c>
      <c r="BI59" s="28">
        <v>9.1666040700000007E-2</v>
      </c>
      <c r="BJ59" s="31">
        <f t="shared" si="4"/>
        <v>29.030892382000005</v>
      </c>
      <c r="BK59" s="30">
        <f t="shared" si="4"/>
        <v>0.11742495379999995</v>
      </c>
      <c r="BL59" s="4">
        <v>0</v>
      </c>
      <c r="BM59" s="30">
        <v>0</v>
      </c>
      <c r="BN59" s="4">
        <v>196.27042001999999</v>
      </c>
      <c r="BO59" s="28">
        <v>2.0139427219999999</v>
      </c>
      <c r="BP59" s="28">
        <v>7.2729828999999998E-3</v>
      </c>
      <c r="BQ59" s="28">
        <v>3.7685321999999999E-6</v>
      </c>
      <c r="BR59" s="4">
        <v>141.97733251</v>
      </c>
      <c r="BS59" s="28">
        <v>4.4052941323999999</v>
      </c>
      <c r="BT59" s="4">
        <v>236.71715517999999</v>
      </c>
      <c r="BU59" s="28">
        <v>1.6355008623</v>
      </c>
      <c r="BV59" s="4">
        <v>50.961787350000002</v>
      </c>
      <c r="BW59" s="28">
        <v>0.22680825239999999</v>
      </c>
      <c r="BX59" s="4">
        <v>0.37815159240000001</v>
      </c>
      <c r="BY59" s="28">
        <v>1.3075952E-3</v>
      </c>
      <c r="BZ59" s="4">
        <v>0</v>
      </c>
      <c r="CA59" s="33">
        <v>0</v>
      </c>
      <c r="CB59" s="29" t="s">
        <v>136</v>
      </c>
      <c r="CC59" s="30">
        <v>0</v>
      </c>
      <c r="CD59" s="4">
        <v>0.65096262640000002</v>
      </c>
      <c r="CE59" s="28">
        <v>8.6317900999999999E-3</v>
      </c>
      <c r="CF59" s="4">
        <v>28.730213481</v>
      </c>
      <c r="CG59" s="28">
        <v>0.2249948648</v>
      </c>
      <c r="CH59" s="29" t="s">
        <v>136</v>
      </c>
      <c r="CI59" s="30">
        <v>0</v>
      </c>
      <c r="CJ59" s="29" t="s">
        <v>136</v>
      </c>
      <c r="CK59" s="30">
        <v>0</v>
      </c>
      <c r="CL59" s="4">
        <v>20.231474388999999</v>
      </c>
      <c r="CM59" s="28">
        <v>1.96640012E-2</v>
      </c>
      <c r="CN59" s="4">
        <v>20.992470468</v>
      </c>
      <c r="CO59" s="28">
        <v>4.7408477800000001E-2</v>
      </c>
      <c r="CP59" s="29" t="s">
        <v>136</v>
      </c>
      <c r="CQ59" s="30">
        <v>0</v>
      </c>
      <c r="CR59" s="29" t="s">
        <v>136</v>
      </c>
      <c r="CS59" s="30">
        <v>0</v>
      </c>
      <c r="CT59" s="29" t="s">
        <v>136</v>
      </c>
      <c r="CU59" s="30">
        <v>0</v>
      </c>
      <c r="CV59" s="29" t="s">
        <v>136</v>
      </c>
      <c r="CW59" s="30">
        <v>0</v>
      </c>
      <c r="CX59" s="4">
        <v>0.2181425021</v>
      </c>
      <c r="CY59" s="28">
        <v>2.4254802999999999E-3</v>
      </c>
      <c r="CZ59" s="4">
        <v>0.4810814424</v>
      </c>
      <c r="DA59" s="28">
        <v>4.7354531999999998E-3</v>
      </c>
      <c r="DB59" s="4">
        <v>4.3578117613999998</v>
      </c>
      <c r="DC59" s="28">
        <v>4.85435356E-2</v>
      </c>
      <c r="DD59" s="4">
        <v>43.371981536</v>
      </c>
      <c r="DE59" s="28">
        <v>1.0144171817000001</v>
      </c>
      <c r="DF59" s="29" t="s">
        <v>136</v>
      </c>
      <c r="DG59" s="30">
        <v>0</v>
      </c>
      <c r="DH59" s="29" t="s">
        <v>136</v>
      </c>
      <c r="DI59" s="30">
        <v>0</v>
      </c>
      <c r="DJ59" s="4">
        <v>26.086925658999998</v>
      </c>
      <c r="DK59" s="28">
        <v>0.45817929270000002</v>
      </c>
      <c r="DL59" s="4">
        <v>56.113843424999999</v>
      </c>
      <c r="DM59" s="28">
        <v>2.1679530472000001</v>
      </c>
      <c r="DN59" s="4">
        <v>35.064609310000002</v>
      </c>
      <c r="DO59" s="28">
        <v>0.70732189769999998</v>
      </c>
      <c r="DP59" s="4">
        <v>161.20581071000001</v>
      </c>
      <c r="DQ59" s="28">
        <v>1.3066208241999999</v>
      </c>
      <c r="DR59" s="37">
        <v>3.4666669000000001E-3</v>
      </c>
      <c r="DS59" s="38">
        <v>6.1027688E-3</v>
      </c>
      <c r="DT59" s="38">
        <v>6.8574168999999997E-3</v>
      </c>
      <c r="DU59" s="38">
        <v>7.0294071999999997E-3</v>
      </c>
      <c r="DV59" s="38">
        <v>7.0640089999999996E-3</v>
      </c>
      <c r="DW59" s="38">
        <v>7.0820511999999999E-3</v>
      </c>
      <c r="DX59" s="38">
        <v>7.0912618E-3</v>
      </c>
      <c r="DY59" s="38">
        <v>7.0983061999999996E-3</v>
      </c>
      <c r="DZ59" s="38">
        <v>7.104862E-3</v>
      </c>
      <c r="EA59" s="39">
        <v>7.1109255000000003E-3</v>
      </c>
      <c r="EB59" s="40">
        <v>93.917283456000007</v>
      </c>
      <c r="EC59" s="30">
        <v>0.6559543028</v>
      </c>
      <c r="ED59" s="31">
        <v>49.372255277999997</v>
      </c>
      <c r="EE59" s="30">
        <v>0.35725168950000002</v>
      </c>
      <c r="EF59" s="31">
        <v>25.821574223999999</v>
      </c>
      <c r="EG59" s="30">
        <v>0.19360001060000001</v>
      </c>
      <c r="EH59" s="31">
        <v>13.572828695</v>
      </c>
      <c r="EI59" s="30">
        <v>0.1063366828</v>
      </c>
      <c r="EJ59" s="31">
        <v>7.3172311319999999</v>
      </c>
      <c r="EK59" s="30">
        <v>6.0767669699999999E-2</v>
      </c>
      <c r="EL59" s="31">
        <v>4.1009805107000004</v>
      </c>
      <c r="EM59" s="30">
        <v>3.6749250800000001E-2</v>
      </c>
      <c r="EN59" s="31">
        <v>2.4045310484</v>
      </c>
      <c r="EO59" s="30">
        <v>2.37143553E-2</v>
      </c>
      <c r="EP59" s="31">
        <v>1.4862153218</v>
      </c>
      <c r="EQ59" s="30">
        <v>1.6390845000000001E-2</v>
      </c>
      <c r="ER59" s="31">
        <v>0.96350969379999996</v>
      </c>
      <c r="ES59" s="30">
        <v>1.20162156E-2</v>
      </c>
      <c r="ET59" s="31">
        <v>0.65633103869999998</v>
      </c>
      <c r="EU59" s="36">
        <v>9.2860259999999993E-3</v>
      </c>
      <c r="EV59" s="31"/>
      <c r="EW59" s="30"/>
      <c r="EX59" s="31"/>
      <c r="EY59" s="30"/>
      <c r="EZ59" s="31"/>
      <c r="FA59" s="30"/>
      <c r="FB59" s="31"/>
      <c r="FC59" s="30"/>
      <c r="FD59" s="31"/>
      <c r="FE59" s="36"/>
    </row>
    <row r="60" spans="1:161" x14ac:dyDescent="0.2">
      <c r="A60" s="12">
        <v>5500</v>
      </c>
      <c r="B60" s="2">
        <v>13638</v>
      </c>
      <c r="C60" s="15">
        <f t="shared" si="0"/>
        <v>3.5088901919083522E-3</v>
      </c>
      <c r="D60" s="15">
        <f t="shared" si="5"/>
        <v>0.77544800870867503</v>
      </c>
      <c r="E60" s="15">
        <f t="shared" si="8"/>
        <v>743.22751927649028</v>
      </c>
      <c r="F60" s="26">
        <v>2426.6793788</v>
      </c>
      <c r="G60" s="4">
        <v>5449.7602567000004</v>
      </c>
      <c r="H60" s="41">
        <f t="shared" si="6"/>
        <v>0.3339938557831395</v>
      </c>
      <c r="I60" s="4">
        <f t="shared" si="1"/>
        <v>436.32484290079998</v>
      </c>
      <c r="J60" s="4">
        <f>(I60*SUM($B$5:$B60)-I59*SUM($B$5:$B59))/$B60</f>
        <v>1820.1864412289453</v>
      </c>
      <c r="K60" s="4">
        <f t="shared" si="2"/>
        <v>1440.2775274879</v>
      </c>
      <c r="L60" s="4">
        <f>(K60*SUM(B$5:B60)-K59*SUM(B$5:B59))/B60</f>
        <v>5644.0846010868736</v>
      </c>
      <c r="M60" s="41">
        <f t="shared" si="7"/>
        <v>3.5657411561906521E-2</v>
      </c>
      <c r="N60" s="4">
        <v>103.62670109</v>
      </c>
      <c r="O60" s="28">
        <v>9.68475486E-2</v>
      </c>
      <c r="P60" s="26">
        <v>8.1929203346000001</v>
      </c>
      <c r="Q60" s="28">
        <v>3.5816210000000001E-3</v>
      </c>
      <c r="R60" s="4">
        <v>176.00309318000001</v>
      </c>
      <c r="S60" s="28">
        <v>1.173665119</v>
      </c>
      <c r="T60" s="4">
        <v>101.72994829</v>
      </c>
      <c r="U60" s="28">
        <v>0.63774828760000002</v>
      </c>
      <c r="V60" s="4">
        <v>29.805363416999999</v>
      </c>
      <c r="W60" s="28">
        <v>0.2367808059</v>
      </c>
      <c r="X60" s="29" t="s">
        <v>136</v>
      </c>
      <c r="Y60" s="30">
        <v>0</v>
      </c>
      <c r="Z60" s="4">
        <v>42.233741295999998</v>
      </c>
      <c r="AA60" s="28">
        <v>6.8471213099999997E-2</v>
      </c>
      <c r="AB60" s="29" t="s">
        <v>136</v>
      </c>
      <c r="AC60" s="30">
        <v>0</v>
      </c>
      <c r="AD60" s="29" t="s">
        <v>136</v>
      </c>
      <c r="AE60" s="30">
        <v>0</v>
      </c>
      <c r="AF60" s="4">
        <v>0.71987507390000005</v>
      </c>
      <c r="AG60" s="28">
        <v>7.3653712E-3</v>
      </c>
      <c r="AH60" s="4">
        <v>48.557261769999997</v>
      </c>
      <c r="AI60" s="28">
        <v>1.0795067127</v>
      </c>
      <c r="AJ60" s="29" t="s">
        <v>136</v>
      </c>
      <c r="AK60" s="30">
        <v>0</v>
      </c>
      <c r="AL60" s="4">
        <v>8.3520980000000001E-4</v>
      </c>
      <c r="AM60" s="28">
        <v>4.3940791999999999E-6</v>
      </c>
      <c r="AN60" s="29" t="s">
        <v>136</v>
      </c>
      <c r="AO60" s="30">
        <v>0</v>
      </c>
      <c r="AP60" s="29" t="s">
        <v>136</v>
      </c>
      <c r="AQ60" s="30">
        <v>0</v>
      </c>
      <c r="AR60" s="4">
        <f t="shared" si="3"/>
        <v>8.3520980000000001E-4</v>
      </c>
      <c r="AS60" s="28">
        <f t="shared" si="3"/>
        <v>4.3940791999999999E-6</v>
      </c>
      <c r="AT60" s="4">
        <v>135.84419478999999</v>
      </c>
      <c r="AU60" s="28">
        <v>1.7422167345999999</v>
      </c>
      <c r="AV60" s="29" t="s">
        <v>136</v>
      </c>
      <c r="AW60" s="30">
        <v>0</v>
      </c>
      <c r="AX60" s="29" t="s">
        <v>136</v>
      </c>
      <c r="AY60" s="30">
        <v>0</v>
      </c>
      <c r="AZ60" s="29" t="s">
        <v>136</v>
      </c>
      <c r="BA60" s="30">
        <v>0</v>
      </c>
      <c r="BB60" s="4">
        <v>83.072568395999994</v>
      </c>
      <c r="BC60" s="28">
        <v>2.6460693168999998</v>
      </c>
      <c r="BD60" s="4">
        <v>74.261063789999994</v>
      </c>
      <c r="BE60" s="28">
        <v>0.54653136329999996</v>
      </c>
      <c r="BF60" s="4">
        <v>33.620308369999997</v>
      </c>
      <c r="BG60" s="28">
        <v>0.33525588909999998</v>
      </c>
      <c r="BH60" s="4">
        <v>11.148832847</v>
      </c>
      <c r="BI60" s="28">
        <v>9.2410944999999994E-2</v>
      </c>
      <c r="BJ60" s="31">
        <f t="shared" si="4"/>
        <v>29.491922572999997</v>
      </c>
      <c r="BK60" s="30">
        <f t="shared" si="4"/>
        <v>0.11886452920000001</v>
      </c>
      <c r="BL60" s="4">
        <v>0</v>
      </c>
      <c r="BM60" s="30">
        <v>0</v>
      </c>
      <c r="BN60" s="4">
        <v>199.90428274000001</v>
      </c>
      <c r="BO60" s="28">
        <v>2.0347298283000002</v>
      </c>
      <c r="BP60" s="28">
        <v>7.4386872000000003E-3</v>
      </c>
      <c r="BQ60" s="28">
        <v>3.7367251000000001E-6</v>
      </c>
      <c r="BR60" s="4">
        <v>143.01485742</v>
      </c>
      <c r="BS60" s="28">
        <v>4.4278872613000004</v>
      </c>
      <c r="BT60" s="4">
        <v>241.19491858999999</v>
      </c>
      <c r="BU60" s="28">
        <v>1.66346006</v>
      </c>
      <c r="BV60" s="4">
        <v>51.731892532000003</v>
      </c>
      <c r="BW60" s="28">
        <v>0.22946578740000001</v>
      </c>
      <c r="BX60" s="4">
        <v>0.3831743588</v>
      </c>
      <c r="BY60" s="28">
        <v>1.3193332000000001E-3</v>
      </c>
      <c r="BZ60" s="4">
        <v>0</v>
      </c>
      <c r="CA60" s="33">
        <v>0</v>
      </c>
      <c r="CB60" s="29" t="s">
        <v>136</v>
      </c>
      <c r="CC60" s="30">
        <v>0</v>
      </c>
      <c r="CD60" s="4">
        <v>0.66503521629999995</v>
      </c>
      <c r="CE60" s="28">
        <v>8.7506904999999999E-3</v>
      </c>
      <c r="CF60" s="4">
        <v>29.140328200999999</v>
      </c>
      <c r="CG60" s="28">
        <v>0.2280301153</v>
      </c>
      <c r="CH60" s="29" t="s">
        <v>136</v>
      </c>
      <c r="CI60" s="30">
        <v>0</v>
      </c>
      <c r="CJ60" s="29" t="s">
        <v>136</v>
      </c>
      <c r="CK60" s="30">
        <v>0</v>
      </c>
      <c r="CL60" s="4">
        <v>20.830268699000001</v>
      </c>
      <c r="CM60" s="28">
        <v>2.0135094400000001E-2</v>
      </c>
      <c r="CN60" s="4">
        <v>21.403472597</v>
      </c>
      <c r="CO60" s="28">
        <v>4.83361187E-2</v>
      </c>
      <c r="CP60" s="29" t="s">
        <v>136</v>
      </c>
      <c r="CQ60" s="30">
        <v>0</v>
      </c>
      <c r="CR60" s="29" t="s">
        <v>136</v>
      </c>
      <c r="CS60" s="30">
        <v>0</v>
      </c>
      <c r="CT60" s="29" t="s">
        <v>136</v>
      </c>
      <c r="CU60" s="30">
        <v>0</v>
      </c>
      <c r="CV60" s="29" t="s">
        <v>136</v>
      </c>
      <c r="CW60" s="30">
        <v>0</v>
      </c>
      <c r="CX60" s="4">
        <v>0.22493024640000001</v>
      </c>
      <c r="CY60" s="28">
        <v>2.4998349000000001E-3</v>
      </c>
      <c r="CZ60" s="4">
        <v>0.49494482750000002</v>
      </c>
      <c r="DA60" s="28">
        <v>4.8655362999999998E-3</v>
      </c>
      <c r="DB60" s="4">
        <v>4.4842491058</v>
      </c>
      <c r="DC60" s="28">
        <v>4.9769720699999999E-2</v>
      </c>
      <c r="DD60" s="4">
        <v>44.073012663999997</v>
      </c>
      <c r="DE60" s="28">
        <v>1.0297369920999999</v>
      </c>
      <c r="DF60" s="29" t="s">
        <v>136</v>
      </c>
      <c r="DG60" s="30">
        <v>0</v>
      </c>
      <c r="DH60" s="29" t="s">
        <v>136</v>
      </c>
      <c r="DI60" s="30">
        <v>0</v>
      </c>
      <c r="DJ60" s="4">
        <v>26.417215462000001</v>
      </c>
      <c r="DK60" s="28">
        <v>0.46291825349999999</v>
      </c>
      <c r="DL60" s="4">
        <v>56.655352934</v>
      </c>
      <c r="DM60" s="28">
        <v>2.1831510635</v>
      </c>
      <c r="DN60" s="4">
        <v>36.346945132999998</v>
      </c>
      <c r="DO60" s="28">
        <v>0.71675747089999997</v>
      </c>
      <c r="DP60" s="4">
        <v>163.55733760999999</v>
      </c>
      <c r="DQ60" s="28">
        <v>1.3179723574</v>
      </c>
      <c r="DR60" s="37">
        <v>3.543034E-3</v>
      </c>
      <c r="DS60" s="38">
        <v>6.2351089000000004E-3</v>
      </c>
      <c r="DT60" s="38">
        <v>7.0121495999999998E-3</v>
      </c>
      <c r="DU60" s="38">
        <v>7.1933420000000001E-3</v>
      </c>
      <c r="DV60" s="38">
        <v>7.2296013999999997E-3</v>
      </c>
      <c r="DW60" s="38">
        <v>7.2478971999999997E-3</v>
      </c>
      <c r="DX60" s="38">
        <v>7.2573929000000004E-3</v>
      </c>
      <c r="DY60" s="38">
        <v>7.2645619999999996E-3</v>
      </c>
      <c r="DZ60" s="38">
        <v>7.2710904999999998E-3</v>
      </c>
      <c r="EA60" s="39">
        <v>7.2771279999999999E-3</v>
      </c>
      <c r="EB60" s="40">
        <v>94.616520653999999</v>
      </c>
      <c r="EC60" s="30">
        <v>0.6607300156</v>
      </c>
      <c r="ED60" s="31">
        <v>49.877856592000001</v>
      </c>
      <c r="EE60" s="30">
        <v>0.36080149169999998</v>
      </c>
      <c r="EF60" s="31">
        <v>26.160842509999998</v>
      </c>
      <c r="EG60" s="30">
        <v>0.1960675254</v>
      </c>
      <c r="EH60" s="31">
        <v>13.792013099</v>
      </c>
      <c r="EI60" s="30">
        <v>0.10800541029999999</v>
      </c>
      <c r="EJ60" s="31">
        <v>7.4554842922000004</v>
      </c>
      <c r="EK60" s="30">
        <v>6.18904183E-2</v>
      </c>
      <c r="EL60" s="31">
        <v>4.1899650421999999</v>
      </c>
      <c r="EM60" s="30">
        <v>3.7525833100000003E-2</v>
      </c>
      <c r="EN60" s="31">
        <v>2.4644902947</v>
      </c>
      <c r="EO60" s="30">
        <v>2.4279338500000001E-2</v>
      </c>
      <c r="EP60" s="31">
        <v>1.5267345052000001</v>
      </c>
      <c r="EQ60" s="30">
        <v>1.6811242600000002E-2</v>
      </c>
      <c r="ER60" s="31">
        <v>0.99183960989999997</v>
      </c>
      <c r="ES60" s="30">
        <v>1.2341488100000001E-2</v>
      </c>
      <c r="ET60" s="31">
        <v>0.67691659829999995</v>
      </c>
      <c r="EU60" s="36">
        <v>9.5494341999999999E-3</v>
      </c>
      <c r="EV60" s="31"/>
      <c r="EW60" s="30"/>
      <c r="EX60" s="31"/>
      <c r="EY60" s="30"/>
      <c r="EZ60" s="31"/>
      <c r="FA60" s="30"/>
      <c r="FB60" s="31"/>
      <c r="FC60" s="30"/>
      <c r="FD60" s="31"/>
      <c r="FE60" s="36"/>
    </row>
    <row r="61" spans="1:161" x14ac:dyDescent="0.2">
      <c r="A61" s="12">
        <v>5600</v>
      </c>
      <c r="B61" s="2">
        <v>13099</v>
      </c>
      <c r="C61" s="15">
        <f t="shared" si="0"/>
        <v>3.3702121002938483E-3</v>
      </c>
      <c r="D61" s="15">
        <f t="shared" si="5"/>
        <v>0.7788182208089689</v>
      </c>
      <c r="E61" s="15">
        <f t="shared" si="8"/>
        <v>752.65163941843889</v>
      </c>
      <c r="F61" s="26">
        <v>2451.0834998</v>
      </c>
      <c r="G61" s="4">
        <v>5549.5926741000003</v>
      </c>
      <c r="H61" s="41">
        <f t="shared" si="6"/>
        <v>0.33415971303793013</v>
      </c>
      <c r="I61" s="4">
        <f t="shared" si="1"/>
        <v>442.46155546379998</v>
      </c>
      <c r="J61" s="4">
        <f>(I61*SUM($B$5:$B61)-I60*SUM($B$5:$B60))/$B61</f>
        <v>1854.4502954546554</v>
      </c>
      <c r="K61" s="4">
        <f t="shared" si="2"/>
        <v>1458.9122228182</v>
      </c>
      <c r="L61" s="4">
        <f>(K61*SUM(B$5:B61)-K60*SUM(B$5:B60))/B61</f>
        <v>5746.5466377305765</v>
      </c>
      <c r="M61" s="41">
        <f t="shared" si="7"/>
        <v>3.5489805323868577E-2</v>
      </c>
      <c r="N61" s="4">
        <v>105.29366678</v>
      </c>
      <c r="O61" s="28">
        <v>9.7648650200000006E-2</v>
      </c>
      <c r="P61" s="26">
        <v>8.4558891359999997</v>
      </c>
      <c r="Q61" s="28">
        <v>3.6584507E-3</v>
      </c>
      <c r="R61" s="4">
        <v>176.81205821</v>
      </c>
      <c r="S61" s="28">
        <v>1.1790560832999999</v>
      </c>
      <c r="T61" s="4">
        <v>102.57571765</v>
      </c>
      <c r="U61" s="28">
        <v>0.64314672009999996</v>
      </c>
      <c r="V61" s="4">
        <v>30.207124647000001</v>
      </c>
      <c r="W61" s="28">
        <v>0.2397873214</v>
      </c>
      <c r="X61" s="29" t="s">
        <v>136</v>
      </c>
      <c r="Y61" s="30">
        <v>0</v>
      </c>
      <c r="Z61" s="4">
        <v>43.306214805000003</v>
      </c>
      <c r="AA61" s="28">
        <v>6.9917366300000006E-2</v>
      </c>
      <c r="AB61" s="29" t="s">
        <v>136</v>
      </c>
      <c r="AC61" s="30">
        <v>0</v>
      </c>
      <c r="AD61" s="29" t="s">
        <v>136</v>
      </c>
      <c r="AE61" s="30">
        <v>0</v>
      </c>
      <c r="AF61" s="4">
        <v>0.74176709060000001</v>
      </c>
      <c r="AG61" s="28">
        <v>7.5449764000000002E-3</v>
      </c>
      <c r="AH61" s="4">
        <v>49.360423922000003</v>
      </c>
      <c r="AI61" s="28">
        <v>1.0955976426</v>
      </c>
      <c r="AJ61" s="29" t="s">
        <v>136</v>
      </c>
      <c r="AK61" s="30">
        <v>0</v>
      </c>
      <c r="AL61" s="4">
        <v>9.0535690000000005E-4</v>
      </c>
      <c r="AM61" s="28">
        <v>4.5320795999999999E-6</v>
      </c>
      <c r="AN61" s="29" t="s">
        <v>136</v>
      </c>
      <c r="AO61" s="30">
        <v>0</v>
      </c>
      <c r="AP61" s="29" t="s">
        <v>136</v>
      </c>
      <c r="AQ61" s="30">
        <v>0</v>
      </c>
      <c r="AR61" s="4">
        <f t="shared" si="3"/>
        <v>9.0535690000000005E-4</v>
      </c>
      <c r="AS61" s="28">
        <f t="shared" si="3"/>
        <v>4.5320795999999999E-6</v>
      </c>
      <c r="AT61" s="4">
        <v>137.03230814</v>
      </c>
      <c r="AU61" s="28">
        <v>1.7510242724</v>
      </c>
      <c r="AV61" s="29" t="s">
        <v>136</v>
      </c>
      <c r="AW61" s="30">
        <v>0</v>
      </c>
      <c r="AX61" s="29" t="s">
        <v>136</v>
      </c>
      <c r="AY61" s="30">
        <v>0</v>
      </c>
      <c r="AZ61" s="29" t="s">
        <v>136</v>
      </c>
      <c r="BA61" s="30">
        <v>0</v>
      </c>
      <c r="BB61" s="4">
        <v>83.929119779000004</v>
      </c>
      <c r="BC61" s="28">
        <v>2.6654145109999998</v>
      </c>
      <c r="BD61" s="4">
        <v>75.235436131</v>
      </c>
      <c r="BE61" s="28">
        <v>0.55176559110000001</v>
      </c>
      <c r="BF61" s="4">
        <v>34.040253692</v>
      </c>
      <c r="BG61" s="28">
        <v>0.33854769610000002</v>
      </c>
      <c r="BH61" s="4">
        <v>11.251981666000001</v>
      </c>
      <c r="BI61" s="28">
        <v>9.3043587799999994E-2</v>
      </c>
      <c r="BJ61" s="31">
        <f t="shared" si="4"/>
        <v>29.943200773000001</v>
      </c>
      <c r="BK61" s="30">
        <f t="shared" si="4"/>
        <v>0.1201743072</v>
      </c>
      <c r="BL61" s="4">
        <v>0</v>
      </c>
      <c r="BM61" s="30">
        <v>0</v>
      </c>
      <c r="BN61" s="4">
        <v>203.49913035</v>
      </c>
      <c r="BO61" s="28">
        <v>2.0554860646000002</v>
      </c>
      <c r="BP61" s="28">
        <v>7.6095475999999997E-3</v>
      </c>
      <c r="BQ61" s="28">
        <v>4.0879365000000001E-6</v>
      </c>
      <c r="BR61" s="4">
        <v>143.99363162</v>
      </c>
      <c r="BS61" s="28">
        <v>4.4489605490999997</v>
      </c>
      <c r="BT61" s="4">
        <v>245.57964908</v>
      </c>
      <c r="BU61" s="28">
        <v>1.6901587622000001</v>
      </c>
      <c r="BV61" s="4">
        <v>52.486749297999999</v>
      </c>
      <c r="BW61" s="28">
        <v>0.23205945059999999</v>
      </c>
      <c r="BX61" s="4">
        <v>0.40152546579999998</v>
      </c>
      <c r="BY61" s="28">
        <v>1.3510608999999999E-3</v>
      </c>
      <c r="BZ61" s="4">
        <v>0</v>
      </c>
      <c r="CA61" s="33">
        <v>0</v>
      </c>
      <c r="CB61" s="29" t="s">
        <v>136</v>
      </c>
      <c r="CC61" s="30">
        <v>0</v>
      </c>
      <c r="CD61" s="4">
        <v>0.68205535989999999</v>
      </c>
      <c r="CE61" s="28">
        <v>8.8963047999999992E-3</v>
      </c>
      <c r="CF61" s="4">
        <v>29.525069287000001</v>
      </c>
      <c r="CG61" s="28">
        <v>0.2308910166</v>
      </c>
      <c r="CH61" s="29" t="s">
        <v>136</v>
      </c>
      <c r="CI61" s="30">
        <v>0</v>
      </c>
      <c r="CJ61" s="29" t="s">
        <v>136</v>
      </c>
      <c r="CK61" s="30">
        <v>0</v>
      </c>
      <c r="CL61" s="4">
        <v>21.463204704999999</v>
      </c>
      <c r="CM61" s="28">
        <v>2.0624389E-2</v>
      </c>
      <c r="CN61" s="4">
        <v>21.843010101000001</v>
      </c>
      <c r="CO61" s="28">
        <v>4.9292977299999999E-2</v>
      </c>
      <c r="CP61" s="29" t="s">
        <v>136</v>
      </c>
      <c r="CQ61" s="30">
        <v>0</v>
      </c>
      <c r="CR61" s="29" t="s">
        <v>136</v>
      </c>
      <c r="CS61" s="30">
        <v>0</v>
      </c>
      <c r="CT61" s="29" t="s">
        <v>136</v>
      </c>
      <c r="CU61" s="30">
        <v>0</v>
      </c>
      <c r="CV61" s="29" t="s">
        <v>136</v>
      </c>
      <c r="CW61" s="30">
        <v>0</v>
      </c>
      <c r="CX61" s="4">
        <v>0.23449167470000001</v>
      </c>
      <c r="CY61" s="28">
        <v>2.5755472000000001E-3</v>
      </c>
      <c r="CZ61" s="4">
        <v>0.50727541590000003</v>
      </c>
      <c r="DA61" s="28">
        <v>4.9694292000000001E-3</v>
      </c>
      <c r="DB61" s="4">
        <v>4.6027847216</v>
      </c>
      <c r="DC61" s="28">
        <v>5.0950090699999999E-2</v>
      </c>
      <c r="DD61" s="4">
        <v>44.757639201000003</v>
      </c>
      <c r="DE61" s="28">
        <v>1.0446475518</v>
      </c>
      <c r="DF61" s="29" t="s">
        <v>136</v>
      </c>
      <c r="DG61" s="30">
        <v>0</v>
      </c>
      <c r="DH61" s="29" t="s">
        <v>136</v>
      </c>
      <c r="DI61" s="30">
        <v>0</v>
      </c>
      <c r="DJ61" s="4">
        <v>26.73906895</v>
      </c>
      <c r="DK61" s="28">
        <v>0.46739180279999998</v>
      </c>
      <c r="DL61" s="4">
        <v>57.190050829</v>
      </c>
      <c r="DM61" s="28">
        <v>2.1980227082999999</v>
      </c>
      <c r="DN61" s="4">
        <v>37.629045118999997</v>
      </c>
      <c r="DO61" s="28">
        <v>0.72618835469999998</v>
      </c>
      <c r="DP61" s="4">
        <v>165.87008523</v>
      </c>
      <c r="DQ61" s="28">
        <v>1.3292977099000001</v>
      </c>
      <c r="DR61" s="37">
        <v>3.6183961999999999E-3</v>
      </c>
      <c r="DS61" s="38">
        <v>6.3643003000000004E-3</v>
      </c>
      <c r="DT61" s="38">
        <v>7.1625103000000001E-3</v>
      </c>
      <c r="DU61" s="38">
        <v>7.3506196999999999E-3</v>
      </c>
      <c r="DV61" s="38">
        <v>7.3897709999999998E-3</v>
      </c>
      <c r="DW61" s="38">
        <v>7.4102187999999999E-3</v>
      </c>
      <c r="DX61" s="38">
        <v>7.4205768999999998E-3</v>
      </c>
      <c r="DY61" s="38">
        <v>7.4284618000000002E-3</v>
      </c>
      <c r="DZ61" s="38">
        <v>7.4355421999999999E-3</v>
      </c>
      <c r="EA61" s="39">
        <v>7.4421332000000001E-3</v>
      </c>
      <c r="EB61" s="40">
        <v>95.272179499999993</v>
      </c>
      <c r="EC61" s="30">
        <v>0.66516269210000001</v>
      </c>
      <c r="ED61" s="31">
        <v>50.352353317999999</v>
      </c>
      <c r="EE61" s="30">
        <v>0.36409103529999998</v>
      </c>
      <c r="EF61" s="31">
        <v>26.480405609999998</v>
      </c>
      <c r="EG61" s="30">
        <v>0.19834956030000001</v>
      </c>
      <c r="EH61" s="31">
        <v>13.999718839</v>
      </c>
      <c r="EI61" s="30">
        <v>0.10953927419999999</v>
      </c>
      <c r="EJ61" s="31">
        <v>7.5879263517000002</v>
      </c>
      <c r="EK61" s="30">
        <v>6.2915361500000003E-2</v>
      </c>
      <c r="EL61" s="31">
        <v>4.2746532635000003</v>
      </c>
      <c r="EM61" s="30">
        <v>3.8217823200000001E-2</v>
      </c>
      <c r="EN61" s="31">
        <v>2.5205650122000001</v>
      </c>
      <c r="EO61" s="30">
        <v>2.4764080599999998E-2</v>
      </c>
      <c r="EP61" s="31">
        <v>1.5651428004000001</v>
      </c>
      <c r="EQ61" s="30">
        <v>1.7167162199999999E-2</v>
      </c>
      <c r="ER61" s="31">
        <v>1.0186094673999999</v>
      </c>
      <c r="ES61" s="30">
        <v>1.2610443000000001E-2</v>
      </c>
      <c r="ET61" s="31">
        <v>0.69608327830000005</v>
      </c>
      <c r="EU61" s="36">
        <v>9.7596783999999992E-3</v>
      </c>
      <c r="EV61" s="31"/>
      <c r="EW61" s="30"/>
      <c r="EX61" s="31"/>
      <c r="EY61" s="30"/>
      <c r="EZ61" s="31"/>
      <c r="FA61" s="30"/>
      <c r="FB61" s="31"/>
      <c r="FC61" s="30"/>
      <c r="FD61" s="31"/>
      <c r="FE61" s="36"/>
    </row>
    <row r="62" spans="1:161" x14ac:dyDescent="0.2">
      <c r="A62" s="12">
        <v>5700</v>
      </c>
      <c r="B62" s="2">
        <v>12964</v>
      </c>
      <c r="C62" s="15">
        <f t="shared" si="0"/>
        <v>3.3354782554553364E-3</v>
      </c>
      <c r="D62" s="15">
        <f t="shared" si="5"/>
        <v>0.78215369906442422</v>
      </c>
      <c r="E62" s="15">
        <f t="shared" si="8"/>
        <v>762.07009274028496</v>
      </c>
      <c r="F62" s="26">
        <v>2475.1185320999998</v>
      </c>
      <c r="G62" s="4">
        <v>5650.1906062999997</v>
      </c>
      <c r="H62" s="41">
        <f t="shared" si="6"/>
        <v>0.33705103646059598</v>
      </c>
      <c r="I62" s="4">
        <f t="shared" si="1"/>
        <v>448.69597277949998</v>
      </c>
      <c r="J62" s="4">
        <f>(I62*SUM($B$5:$B62)-I61*SUM($B$5:$B61))/$B62</f>
        <v>1904.4026000533381</v>
      </c>
      <c r="K62" s="4">
        <f t="shared" si="2"/>
        <v>1477.6338172955</v>
      </c>
      <c r="L62" s="4">
        <f>(K62*SUM(B$5:B62)-K61*SUM(B$5:B61))/B62</f>
        <v>5849.0365921960356</v>
      </c>
      <c r="M62" s="41">
        <f t="shared" si="7"/>
        <v>3.5192792553639045E-2</v>
      </c>
      <c r="N62" s="4">
        <v>106.92141036</v>
      </c>
      <c r="O62" s="28">
        <v>9.8432077199999995E-2</v>
      </c>
      <c r="P62" s="26">
        <v>8.7388395092</v>
      </c>
      <c r="Q62" s="28">
        <v>3.7419933E-3</v>
      </c>
      <c r="R62" s="4">
        <v>177.60896120999999</v>
      </c>
      <c r="S62" s="28">
        <v>1.184498845</v>
      </c>
      <c r="T62" s="4">
        <v>103.42080335999999</v>
      </c>
      <c r="U62" s="28">
        <v>0.64868583130000002</v>
      </c>
      <c r="V62" s="4">
        <v>30.670137318999998</v>
      </c>
      <c r="W62" s="28">
        <v>0.24320980819999999</v>
      </c>
      <c r="X62" s="29" t="s">
        <v>136</v>
      </c>
      <c r="Y62" s="30">
        <v>0</v>
      </c>
      <c r="Z62" s="4">
        <v>44.344359517000001</v>
      </c>
      <c r="AA62" s="28">
        <v>7.1289900000000003E-2</v>
      </c>
      <c r="AB62" s="29" t="s">
        <v>136</v>
      </c>
      <c r="AC62" s="30">
        <v>0</v>
      </c>
      <c r="AD62" s="29" t="s">
        <v>136</v>
      </c>
      <c r="AE62" s="30">
        <v>0</v>
      </c>
      <c r="AF62" s="4">
        <v>0.76071365099999999</v>
      </c>
      <c r="AG62" s="28">
        <v>7.7061667999999998E-3</v>
      </c>
      <c r="AH62" s="4">
        <v>50.137566520999997</v>
      </c>
      <c r="AI62" s="28">
        <v>1.1106327075</v>
      </c>
      <c r="AJ62" s="29" t="s">
        <v>136</v>
      </c>
      <c r="AK62" s="30">
        <v>0</v>
      </c>
      <c r="AL62" s="4">
        <v>9.0248339999999996E-4</v>
      </c>
      <c r="AM62" s="28">
        <v>4.5173585999999999E-6</v>
      </c>
      <c r="AN62" s="29" t="s">
        <v>136</v>
      </c>
      <c r="AO62" s="30">
        <v>0</v>
      </c>
      <c r="AP62" s="29" t="s">
        <v>136</v>
      </c>
      <c r="AQ62" s="30">
        <v>0</v>
      </c>
      <c r="AR62" s="4">
        <f t="shared" si="3"/>
        <v>9.0248339999999996E-4</v>
      </c>
      <c r="AS62" s="28">
        <f t="shared" si="3"/>
        <v>4.5173585999999999E-6</v>
      </c>
      <c r="AT62" s="4">
        <v>138.22761306000001</v>
      </c>
      <c r="AU62" s="28">
        <v>1.7599465674999999</v>
      </c>
      <c r="AV62" s="29" t="s">
        <v>136</v>
      </c>
      <c r="AW62" s="30">
        <v>0</v>
      </c>
      <c r="AX62" s="29" t="s">
        <v>136</v>
      </c>
      <c r="AY62" s="30">
        <v>0</v>
      </c>
      <c r="AZ62" s="29" t="s">
        <v>136</v>
      </c>
      <c r="BA62" s="30">
        <v>0</v>
      </c>
      <c r="BB62" s="4">
        <v>84.835335467999997</v>
      </c>
      <c r="BC62" s="28">
        <v>2.6848627891999999</v>
      </c>
      <c r="BD62" s="4">
        <v>76.197316013999995</v>
      </c>
      <c r="BE62" s="28">
        <v>0.55696242149999997</v>
      </c>
      <c r="BF62" s="4">
        <v>34.449799532</v>
      </c>
      <c r="BG62" s="28">
        <v>0.34176001039999998</v>
      </c>
      <c r="BH62" s="4">
        <v>11.371214037</v>
      </c>
      <c r="BI62" s="28">
        <v>9.3707149399999995E-2</v>
      </c>
      <c r="BJ62" s="31">
        <f t="shared" si="4"/>
        <v>30.376302444999993</v>
      </c>
      <c r="BK62" s="30">
        <f t="shared" si="4"/>
        <v>0.12149526170000002</v>
      </c>
      <c r="BL62" s="4">
        <v>0</v>
      </c>
      <c r="BM62" s="30">
        <v>0</v>
      </c>
      <c r="BN62" s="4">
        <v>207.07298356000001</v>
      </c>
      <c r="BO62" s="28">
        <v>2.0757128126</v>
      </c>
      <c r="BP62" s="28">
        <v>7.7944598000000004E-3</v>
      </c>
      <c r="BQ62" s="28">
        <v>4.0556464000000004E-6</v>
      </c>
      <c r="BR62" s="4">
        <v>145.00294916999999</v>
      </c>
      <c r="BS62" s="28">
        <v>4.4700042504999997</v>
      </c>
      <c r="BT62" s="4">
        <v>249.96733528999999</v>
      </c>
      <c r="BU62" s="28">
        <v>1.716940296</v>
      </c>
      <c r="BV62" s="4">
        <v>53.302551592</v>
      </c>
      <c r="BW62" s="28">
        <v>0.23473871430000001</v>
      </c>
      <c r="BX62" s="4">
        <v>0.42313672749999998</v>
      </c>
      <c r="BY62" s="28">
        <v>1.3800157000000001E-3</v>
      </c>
      <c r="BZ62" s="4">
        <v>0</v>
      </c>
      <c r="CA62" s="33">
        <v>0</v>
      </c>
      <c r="CB62" s="29" t="s">
        <v>136</v>
      </c>
      <c r="CC62" s="30">
        <v>0</v>
      </c>
      <c r="CD62" s="4">
        <v>0.69436761280000003</v>
      </c>
      <c r="CE62" s="28">
        <v>9.0973762E-3</v>
      </c>
      <c r="CF62" s="4">
        <v>29.975769707000001</v>
      </c>
      <c r="CG62" s="28">
        <v>0.23411243200000001</v>
      </c>
      <c r="CH62" s="29" t="s">
        <v>136</v>
      </c>
      <c r="CI62" s="30">
        <v>0</v>
      </c>
      <c r="CJ62" s="29" t="s">
        <v>136</v>
      </c>
      <c r="CK62" s="30">
        <v>0</v>
      </c>
      <c r="CL62" s="4">
        <v>22.097306823</v>
      </c>
      <c r="CM62" s="28">
        <v>2.1099018300000001E-2</v>
      </c>
      <c r="CN62" s="4">
        <v>22.247052694000001</v>
      </c>
      <c r="CO62" s="28">
        <v>5.0190881700000002E-2</v>
      </c>
      <c r="CP62" s="29" t="s">
        <v>136</v>
      </c>
      <c r="CQ62" s="30">
        <v>0</v>
      </c>
      <c r="CR62" s="29" t="s">
        <v>136</v>
      </c>
      <c r="CS62" s="30">
        <v>0</v>
      </c>
      <c r="CT62" s="29" t="s">
        <v>136</v>
      </c>
      <c r="CU62" s="30">
        <v>0</v>
      </c>
      <c r="CV62" s="29" t="s">
        <v>136</v>
      </c>
      <c r="CW62" s="30">
        <v>0</v>
      </c>
      <c r="CX62" s="4">
        <v>0.24000286679999999</v>
      </c>
      <c r="CY62" s="28">
        <v>2.6167164E-3</v>
      </c>
      <c r="CZ62" s="4">
        <v>0.52071078420000005</v>
      </c>
      <c r="DA62" s="28">
        <v>5.0894503999999998E-3</v>
      </c>
      <c r="DB62" s="4">
        <v>4.7231127725000004</v>
      </c>
      <c r="DC62" s="28">
        <v>5.2049917500000001E-2</v>
      </c>
      <c r="DD62" s="4">
        <v>45.414453748</v>
      </c>
      <c r="DE62" s="28">
        <v>1.05858279</v>
      </c>
      <c r="DF62" s="29" t="s">
        <v>136</v>
      </c>
      <c r="DG62" s="30">
        <v>0</v>
      </c>
      <c r="DH62" s="29" t="s">
        <v>136</v>
      </c>
      <c r="DI62" s="30">
        <v>0</v>
      </c>
      <c r="DJ62" s="4">
        <v>27.073489782999999</v>
      </c>
      <c r="DK62" s="28">
        <v>0.4719055003</v>
      </c>
      <c r="DL62" s="4">
        <v>57.761845684999997</v>
      </c>
      <c r="DM62" s="28">
        <v>2.2129572890000002</v>
      </c>
      <c r="DN62" s="4">
        <v>38.898794330999998</v>
      </c>
      <c r="DO62" s="28">
        <v>0.73544856290000005</v>
      </c>
      <c r="DP62" s="4">
        <v>168.17418923</v>
      </c>
      <c r="DQ62" s="28">
        <v>1.3402642496999999</v>
      </c>
      <c r="DR62" s="37">
        <v>3.7014165000000001E-3</v>
      </c>
      <c r="DS62" s="38">
        <v>6.5117739000000001E-3</v>
      </c>
      <c r="DT62" s="38">
        <v>7.3358379999999999E-3</v>
      </c>
      <c r="DU62" s="38">
        <v>7.5322695999999996E-3</v>
      </c>
      <c r="DV62" s="38">
        <v>7.5732300000000002E-3</v>
      </c>
      <c r="DW62" s="38">
        <v>7.5944302999999998E-3</v>
      </c>
      <c r="DX62" s="38">
        <v>7.6055736000000002E-3</v>
      </c>
      <c r="DY62" s="38">
        <v>7.6137571999999997E-3</v>
      </c>
      <c r="DZ62" s="38">
        <v>7.6209640999999996E-3</v>
      </c>
      <c r="EA62" s="39">
        <v>7.6275298000000004E-3</v>
      </c>
      <c r="EB62" s="40">
        <v>95.923414993999998</v>
      </c>
      <c r="EC62" s="30">
        <v>0.66966576879999995</v>
      </c>
      <c r="ED62" s="31">
        <v>50.825528994999999</v>
      </c>
      <c r="EE62" s="30">
        <v>0.36744754010000003</v>
      </c>
      <c r="EF62" s="31">
        <v>26.804938437000001</v>
      </c>
      <c r="EG62" s="30">
        <v>0.20072746520000001</v>
      </c>
      <c r="EH62" s="31">
        <v>14.215285043</v>
      </c>
      <c r="EI62" s="30">
        <v>0.1111725033</v>
      </c>
      <c r="EJ62" s="31">
        <v>7.727771948</v>
      </c>
      <c r="EK62" s="30">
        <v>6.4023438099999996E-2</v>
      </c>
      <c r="EL62" s="31">
        <v>4.3650300175999996</v>
      </c>
      <c r="EM62" s="30">
        <v>3.8978805300000002E-2</v>
      </c>
      <c r="EN62" s="31">
        <v>2.5798066281000001</v>
      </c>
      <c r="EO62" s="30">
        <v>2.5301283300000001E-2</v>
      </c>
      <c r="EP62" s="31">
        <v>1.6054968275999999</v>
      </c>
      <c r="EQ62" s="30">
        <v>1.75651761E-2</v>
      </c>
      <c r="ER62" s="31">
        <v>1.0471563249</v>
      </c>
      <c r="ES62" s="30">
        <v>1.29182681E-2</v>
      </c>
      <c r="ET62" s="31">
        <v>0.71656526310000002</v>
      </c>
      <c r="EU62" s="36">
        <v>1.00029514E-2</v>
      </c>
      <c r="EV62" s="31"/>
      <c r="EW62" s="30"/>
      <c r="EX62" s="31"/>
      <c r="EY62" s="30"/>
      <c r="EZ62" s="31"/>
      <c r="FA62" s="30"/>
      <c r="FB62" s="31"/>
      <c r="FC62" s="30"/>
      <c r="FD62" s="31"/>
      <c r="FE62" s="36"/>
    </row>
    <row r="63" spans="1:161" x14ac:dyDescent="0.2">
      <c r="A63" s="12">
        <v>5800</v>
      </c>
      <c r="B63" s="2">
        <v>12642</v>
      </c>
      <c r="C63" s="15">
        <f t="shared" si="0"/>
        <v>3.2526316033219963E-3</v>
      </c>
      <c r="D63" s="15">
        <f t="shared" si="5"/>
        <v>0.78540633066774623</v>
      </c>
      <c r="E63" s="15">
        <f t="shared" si="8"/>
        <v>771.34302041243814</v>
      </c>
      <c r="F63" s="26">
        <v>2498.9439824000001</v>
      </c>
      <c r="G63" s="4">
        <v>5749.9995791000001</v>
      </c>
      <c r="H63" s="41">
        <f t="shared" si="6"/>
        <v>0.33147471889739921</v>
      </c>
      <c r="I63" s="4">
        <f t="shared" si="1"/>
        <v>454.73107365850001</v>
      </c>
      <c r="J63" s="4">
        <f>(I63*SUM($B$5:$B63)-I62*SUM($B$5:$B62))/$B63</f>
        <v>1905.9794941423363</v>
      </c>
      <c r="K63" s="4">
        <f t="shared" si="2"/>
        <v>1496.1214947818999</v>
      </c>
      <c r="L63" s="4">
        <f>(K63*SUM(B$5:B63)-K62*SUM(B$5:B62))/B63</f>
        <v>5941.8156577264781</v>
      </c>
      <c r="M63" s="41">
        <f t="shared" si="7"/>
        <v>3.3359320463898424E-2</v>
      </c>
      <c r="N63" s="4">
        <v>108.69577156</v>
      </c>
      <c r="O63" s="28">
        <v>9.9259417099999997E-2</v>
      </c>
      <c r="P63" s="26">
        <v>8.9873557348999995</v>
      </c>
      <c r="Q63" s="28">
        <v>3.8145703999999999E-3</v>
      </c>
      <c r="R63" s="4">
        <v>178.38752375000001</v>
      </c>
      <c r="S63" s="28">
        <v>1.1898272245999999</v>
      </c>
      <c r="T63" s="4">
        <v>104.2627566</v>
      </c>
      <c r="U63" s="28">
        <v>0.65410430450000001</v>
      </c>
      <c r="V63" s="4">
        <v>31.118234229999999</v>
      </c>
      <c r="W63" s="28">
        <v>0.24654663069999999</v>
      </c>
      <c r="X63" s="29" t="s">
        <v>136</v>
      </c>
      <c r="Y63" s="30">
        <v>0</v>
      </c>
      <c r="Z63" s="4">
        <v>45.356532606999998</v>
      </c>
      <c r="AA63" s="28">
        <v>7.2641467599999995E-2</v>
      </c>
      <c r="AB63" s="29" t="s">
        <v>136</v>
      </c>
      <c r="AC63" s="30">
        <v>0</v>
      </c>
      <c r="AD63" s="29" t="s">
        <v>136</v>
      </c>
      <c r="AE63" s="30">
        <v>0</v>
      </c>
      <c r="AF63" s="4">
        <v>0.77964272649999999</v>
      </c>
      <c r="AG63" s="28">
        <v>7.8713033999999998E-3</v>
      </c>
      <c r="AH63" s="4">
        <v>50.925148618999998</v>
      </c>
      <c r="AI63" s="28">
        <v>1.125704595</v>
      </c>
      <c r="AJ63" s="29" t="s">
        <v>136</v>
      </c>
      <c r="AK63" s="30">
        <v>0</v>
      </c>
      <c r="AL63" s="4">
        <v>8.9970950000000001E-4</v>
      </c>
      <c r="AM63" s="28">
        <v>4.5032079999999997E-6</v>
      </c>
      <c r="AN63" s="29" t="s">
        <v>136</v>
      </c>
      <c r="AO63" s="30">
        <v>0</v>
      </c>
      <c r="AP63" s="29" t="s">
        <v>136</v>
      </c>
      <c r="AQ63" s="30">
        <v>0</v>
      </c>
      <c r="AR63" s="4">
        <f t="shared" si="3"/>
        <v>8.9970950000000001E-4</v>
      </c>
      <c r="AS63" s="28">
        <f t="shared" si="3"/>
        <v>4.5032079999999997E-6</v>
      </c>
      <c r="AT63" s="4">
        <v>139.34923122000001</v>
      </c>
      <c r="AU63" s="28">
        <v>1.768335443</v>
      </c>
      <c r="AV63" s="29" t="s">
        <v>136</v>
      </c>
      <c r="AW63" s="30">
        <v>0</v>
      </c>
      <c r="AX63" s="29" t="s">
        <v>136</v>
      </c>
      <c r="AY63" s="30">
        <v>0</v>
      </c>
      <c r="AZ63" s="29" t="s">
        <v>136</v>
      </c>
      <c r="BA63" s="30">
        <v>0</v>
      </c>
      <c r="BB63" s="4">
        <v>85.648847438999994</v>
      </c>
      <c r="BC63" s="28">
        <v>2.7029097683000001</v>
      </c>
      <c r="BD63" s="4">
        <v>77.172846637999996</v>
      </c>
      <c r="BE63" s="28">
        <v>0.56214352649999999</v>
      </c>
      <c r="BF63" s="4">
        <v>34.890974774999997</v>
      </c>
      <c r="BG63" s="28">
        <v>0.34502912250000001</v>
      </c>
      <c r="BH63" s="4">
        <v>11.473576566</v>
      </c>
      <c r="BI63" s="28">
        <v>9.4346759399999994E-2</v>
      </c>
      <c r="BJ63" s="31">
        <f t="shared" si="4"/>
        <v>30.808295297000001</v>
      </c>
      <c r="BK63" s="30">
        <f t="shared" si="4"/>
        <v>0.1227676446</v>
      </c>
      <c r="BL63" s="4">
        <v>0</v>
      </c>
      <c r="BM63" s="30">
        <v>0</v>
      </c>
      <c r="BN63" s="4">
        <v>210.70473057999999</v>
      </c>
      <c r="BO63" s="28">
        <v>2.0957474190999998</v>
      </c>
      <c r="BP63" s="28">
        <v>7.9499367000000001E-3</v>
      </c>
      <c r="BQ63" s="28">
        <v>4.0251825999999996E-6</v>
      </c>
      <c r="BR63" s="4">
        <v>145.93028928000001</v>
      </c>
      <c r="BS63" s="28">
        <v>4.4906176804999998</v>
      </c>
      <c r="BT63" s="4">
        <v>254.27553134999999</v>
      </c>
      <c r="BU63" s="28">
        <v>1.7431975867</v>
      </c>
      <c r="BV63" s="4">
        <v>54.083841233000001</v>
      </c>
      <c r="BW63" s="28">
        <v>0.2372561725</v>
      </c>
      <c r="BX63" s="4">
        <v>0.44141179549999998</v>
      </c>
      <c r="BY63" s="28">
        <v>1.4180333000000001E-3</v>
      </c>
      <c r="BZ63" s="4">
        <v>0</v>
      </c>
      <c r="CA63" s="33">
        <v>0</v>
      </c>
      <c r="CB63" s="29" t="s">
        <v>136</v>
      </c>
      <c r="CC63" s="30">
        <v>0</v>
      </c>
      <c r="CD63" s="4">
        <v>0.70897525039999998</v>
      </c>
      <c r="CE63" s="28">
        <v>9.2511381000000004E-3</v>
      </c>
      <c r="CF63" s="4">
        <v>30.409258980000001</v>
      </c>
      <c r="CG63" s="28">
        <v>0.23729549259999999</v>
      </c>
      <c r="CH63" s="29" t="s">
        <v>136</v>
      </c>
      <c r="CI63" s="30">
        <v>0</v>
      </c>
      <c r="CJ63" s="29" t="s">
        <v>136</v>
      </c>
      <c r="CK63" s="30">
        <v>0</v>
      </c>
      <c r="CL63" s="4">
        <v>22.692906616999998</v>
      </c>
      <c r="CM63" s="28">
        <v>2.1552428700000001E-2</v>
      </c>
      <c r="CN63" s="4">
        <v>22.66362599</v>
      </c>
      <c r="CO63" s="28">
        <v>5.1089038900000001E-2</v>
      </c>
      <c r="CP63" s="29" t="s">
        <v>136</v>
      </c>
      <c r="CQ63" s="30">
        <v>0</v>
      </c>
      <c r="CR63" s="29" t="s">
        <v>136</v>
      </c>
      <c r="CS63" s="30">
        <v>0</v>
      </c>
      <c r="CT63" s="29" t="s">
        <v>136</v>
      </c>
      <c r="CU63" s="30">
        <v>0</v>
      </c>
      <c r="CV63" s="29" t="s">
        <v>136</v>
      </c>
      <c r="CW63" s="30">
        <v>0</v>
      </c>
      <c r="CX63" s="4">
        <v>0.24887275180000001</v>
      </c>
      <c r="CY63" s="28">
        <v>2.6810547999999998E-3</v>
      </c>
      <c r="CZ63" s="4">
        <v>0.53076997469999998</v>
      </c>
      <c r="DA63" s="28">
        <v>5.1902485999999999E-3</v>
      </c>
      <c r="DB63" s="4">
        <v>4.8496858579</v>
      </c>
      <c r="DC63" s="28">
        <v>5.3232618299999999E-2</v>
      </c>
      <c r="DD63" s="4">
        <v>46.075462760999997</v>
      </c>
      <c r="DE63" s="28">
        <v>1.0724719766999999</v>
      </c>
      <c r="DF63" s="29" t="s">
        <v>136</v>
      </c>
      <c r="DG63" s="30">
        <v>0</v>
      </c>
      <c r="DH63" s="29" t="s">
        <v>136</v>
      </c>
      <c r="DI63" s="30">
        <v>0</v>
      </c>
      <c r="DJ63" s="4">
        <v>27.375357365999999</v>
      </c>
      <c r="DK63" s="28">
        <v>0.4760808741</v>
      </c>
      <c r="DL63" s="4">
        <v>58.273490072999998</v>
      </c>
      <c r="DM63" s="28">
        <v>2.2268288942000001</v>
      </c>
      <c r="DN63" s="4">
        <v>40.232214446999997</v>
      </c>
      <c r="DO63" s="28">
        <v>0.74470966189999999</v>
      </c>
      <c r="DP63" s="4">
        <v>170.47251613</v>
      </c>
      <c r="DQ63" s="28">
        <v>1.3510377572000001</v>
      </c>
      <c r="DR63" s="37">
        <v>3.7726857999999999E-3</v>
      </c>
      <c r="DS63" s="38">
        <v>6.6372658000000001E-3</v>
      </c>
      <c r="DT63" s="38">
        <v>7.4802925999999997E-3</v>
      </c>
      <c r="DU63" s="38">
        <v>7.6835432999999998E-3</v>
      </c>
      <c r="DV63" s="38">
        <v>7.7262987000000002E-3</v>
      </c>
      <c r="DW63" s="38">
        <v>7.7485039999999998E-3</v>
      </c>
      <c r="DX63" s="38">
        <v>7.7603569000000002E-3</v>
      </c>
      <c r="DY63" s="38">
        <v>7.7692576000000001E-3</v>
      </c>
      <c r="DZ63" s="38">
        <v>7.7766079000000004E-3</v>
      </c>
      <c r="EA63" s="39">
        <v>7.7833188999999999E-3</v>
      </c>
      <c r="EB63" s="40">
        <v>96.560557177999996</v>
      </c>
      <c r="EC63" s="30">
        <v>0.67408857</v>
      </c>
      <c r="ED63" s="31">
        <v>51.289037495000002</v>
      </c>
      <c r="EE63" s="30">
        <v>0.37075831710000001</v>
      </c>
      <c r="EF63" s="31">
        <v>27.119530009999998</v>
      </c>
      <c r="EG63" s="30">
        <v>0.20306030680000001</v>
      </c>
      <c r="EH63" s="31">
        <v>14.420509920000001</v>
      </c>
      <c r="EI63" s="30">
        <v>0.11276599549999999</v>
      </c>
      <c r="EJ63" s="31">
        <v>7.8605030570999999</v>
      </c>
      <c r="EK63" s="30">
        <v>6.5110370700000003E-2</v>
      </c>
      <c r="EL63" s="31">
        <v>4.4515290840999997</v>
      </c>
      <c r="EM63" s="30">
        <v>3.9735413999999997E-2</v>
      </c>
      <c r="EN63" s="31">
        <v>2.6387619814000001</v>
      </c>
      <c r="EO63" s="30">
        <v>2.5850932399999998E-2</v>
      </c>
      <c r="EP63" s="31">
        <v>1.6457907924999999</v>
      </c>
      <c r="EQ63" s="30">
        <v>1.7973089000000001E-2</v>
      </c>
      <c r="ER63" s="31">
        <v>1.0755519411000001</v>
      </c>
      <c r="ES63" s="30">
        <v>1.32320887E-2</v>
      </c>
      <c r="ET63" s="31">
        <v>0.73740742049999997</v>
      </c>
      <c r="EU63" s="36">
        <v>1.02534155E-2</v>
      </c>
      <c r="EV63" s="31"/>
      <c r="EW63" s="30"/>
      <c r="EX63" s="31"/>
      <c r="EY63" s="30"/>
      <c r="EZ63" s="31"/>
      <c r="FA63" s="30"/>
      <c r="FB63" s="31"/>
      <c r="FC63" s="30"/>
      <c r="FD63" s="31"/>
      <c r="FE63" s="36"/>
    </row>
    <row r="64" spans="1:161" x14ac:dyDescent="0.2">
      <c r="A64" s="12">
        <v>5900</v>
      </c>
      <c r="B64" s="2">
        <v>12421</v>
      </c>
      <c r="C64" s="15">
        <f t="shared" si="0"/>
        <v>3.1957710128826546E-3</v>
      </c>
      <c r="D64" s="15">
        <f t="shared" si="5"/>
        <v>0.78860210168062894</v>
      </c>
      <c r="E64" s="15">
        <f t="shared" si="8"/>
        <v>780.53941070996234</v>
      </c>
      <c r="F64" s="26">
        <v>2522.4134141</v>
      </c>
      <c r="G64" s="4">
        <v>5849.8157031000001</v>
      </c>
      <c r="H64" s="41">
        <f t="shared" si="6"/>
        <v>0.32721929465387201</v>
      </c>
      <c r="I64" s="4">
        <f t="shared" si="1"/>
        <v>460.64538813140001</v>
      </c>
      <c r="J64" s="4">
        <f>(I64*SUM($B$5:$B64)-I63*SUM($B$5:$B63))/$B64</f>
        <v>1914.1725682235265</v>
      </c>
      <c r="K64" s="4">
        <f t="shared" si="2"/>
        <v>1514.5696120739001</v>
      </c>
      <c r="L64" s="4">
        <f>(K64*SUM(B$5:B64)-K63*SUM(B$5:B63))/B64</f>
        <v>6048.4576946773277</v>
      </c>
      <c r="M64" s="41">
        <f t="shared" si="7"/>
        <v>3.3956965767667012E-2</v>
      </c>
      <c r="N64" s="4">
        <v>110.43523912000001</v>
      </c>
      <c r="O64" s="28">
        <v>0.1000925156</v>
      </c>
      <c r="P64" s="26">
        <v>9.2700521600000005</v>
      </c>
      <c r="Q64" s="28">
        <v>3.8944606E-3</v>
      </c>
      <c r="R64" s="4">
        <v>179.14970038000001</v>
      </c>
      <c r="S64" s="28">
        <v>1.1949894244000001</v>
      </c>
      <c r="T64" s="4">
        <v>105.09662968000001</v>
      </c>
      <c r="U64" s="28">
        <v>0.65961614909999999</v>
      </c>
      <c r="V64" s="4">
        <v>31.522118499000001</v>
      </c>
      <c r="W64" s="28">
        <v>0.24951762599999999</v>
      </c>
      <c r="X64" s="29" t="s">
        <v>136</v>
      </c>
      <c r="Y64" s="30">
        <v>0</v>
      </c>
      <c r="Z64" s="4">
        <v>46.423734738999997</v>
      </c>
      <c r="AA64" s="28">
        <v>7.4062967399999999E-2</v>
      </c>
      <c r="AB64" s="29" t="s">
        <v>136</v>
      </c>
      <c r="AC64" s="30">
        <v>0</v>
      </c>
      <c r="AD64" s="29" t="s">
        <v>136</v>
      </c>
      <c r="AE64" s="30">
        <v>0</v>
      </c>
      <c r="AF64" s="4">
        <v>0.79362467569999995</v>
      </c>
      <c r="AG64" s="28">
        <v>8.0008266999999997E-3</v>
      </c>
      <c r="AH64" s="4">
        <v>51.731580340000001</v>
      </c>
      <c r="AI64" s="28">
        <v>1.1415851024999999</v>
      </c>
      <c r="AJ64" s="29" t="s">
        <v>136</v>
      </c>
      <c r="AK64" s="30">
        <v>0</v>
      </c>
      <c r="AL64" s="4">
        <v>9.165229E-4</v>
      </c>
      <c r="AM64" s="28">
        <v>4.6539861999999997E-6</v>
      </c>
      <c r="AN64" s="29" t="s">
        <v>136</v>
      </c>
      <c r="AO64" s="30">
        <v>0</v>
      </c>
      <c r="AP64" s="29" t="s">
        <v>136</v>
      </c>
      <c r="AQ64" s="30">
        <v>0</v>
      </c>
      <c r="AR64" s="4">
        <f t="shared" si="3"/>
        <v>9.165229E-4</v>
      </c>
      <c r="AS64" s="28">
        <f t="shared" si="3"/>
        <v>4.6539861999999997E-6</v>
      </c>
      <c r="AT64" s="4">
        <v>140.49148043</v>
      </c>
      <c r="AU64" s="28">
        <v>1.7768326811999999</v>
      </c>
      <c r="AV64" s="29" t="s">
        <v>136</v>
      </c>
      <c r="AW64" s="30">
        <v>0</v>
      </c>
      <c r="AX64" s="29" t="s">
        <v>136</v>
      </c>
      <c r="AY64" s="30">
        <v>0</v>
      </c>
      <c r="AZ64" s="29" t="s">
        <v>136</v>
      </c>
      <c r="BA64" s="30">
        <v>0</v>
      </c>
      <c r="BB64" s="4">
        <v>86.497905115999998</v>
      </c>
      <c r="BC64" s="28">
        <v>2.7215269121999999</v>
      </c>
      <c r="BD64" s="4">
        <v>78.113919307000003</v>
      </c>
      <c r="BE64" s="28">
        <v>0.56726293969999997</v>
      </c>
      <c r="BF64" s="4">
        <v>35.290017349000003</v>
      </c>
      <c r="BG64" s="28">
        <v>0.3481868695</v>
      </c>
      <c r="BH64" s="4">
        <v>11.570623053</v>
      </c>
      <c r="BI64" s="28">
        <v>9.4968531300000006E-2</v>
      </c>
      <c r="BJ64" s="31">
        <f t="shared" si="4"/>
        <v>31.253278905000002</v>
      </c>
      <c r="BK64" s="30">
        <f t="shared" si="4"/>
        <v>0.12410753889999998</v>
      </c>
      <c r="BL64" s="4">
        <v>0</v>
      </c>
      <c r="BM64" s="30">
        <v>0</v>
      </c>
      <c r="BN64" s="4">
        <v>214.39640645</v>
      </c>
      <c r="BO64" s="28">
        <v>2.1157729983000002</v>
      </c>
      <c r="BP64" s="28">
        <v>8.1517516999999994E-3</v>
      </c>
      <c r="BQ64" s="28">
        <v>4.5026059999999996E-6</v>
      </c>
      <c r="BR64" s="4">
        <v>146.84170327000001</v>
      </c>
      <c r="BS64" s="28">
        <v>4.5104479888000002</v>
      </c>
      <c r="BT64" s="4">
        <v>258.48915944999999</v>
      </c>
      <c r="BU64" s="28">
        <v>1.7688868686000001</v>
      </c>
      <c r="BV64" s="4">
        <v>54.852419275000003</v>
      </c>
      <c r="BW64" s="28">
        <v>0.2398230969</v>
      </c>
      <c r="BX64" s="4">
        <v>0.46210613639999998</v>
      </c>
      <c r="BY64" s="28">
        <v>1.4432755999999999E-3</v>
      </c>
      <c r="BZ64" s="4">
        <v>0</v>
      </c>
      <c r="CA64" s="33">
        <v>0</v>
      </c>
      <c r="CB64" s="29" t="s">
        <v>136</v>
      </c>
      <c r="CC64" s="30">
        <v>0</v>
      </c>
      <c r="CD64" s="4">
        <v>0.72343781419999997</v>
      </c>
      <c r="CE64" s="28">
        <v>9.3985198999999991E-3</v>
      </c>
      <c r="CF64" s="4">
        <v>30.798680685000001</v>
      </c>
      <c r="CG64" s="28">
        <v>0.24011910610000001</v>
      </c>
      <c r="CH64" s="29" t="s">
        <v>136</v>
      </c>
      <c r="CI64" s="30">
        <v>0</v>
      </c>
      <c r="CJ64" s="29" t="s">
        <v>136</v>
      </c>
      <c r="CK64" s="30">
        <v>0</v>
      </c>
      <c r="CL64" s="4">
        <v>23.324643883</v>
      </c>
      <c r="CM64" s="28">
        <v>2.2029797899999998E-2</v>
      </c>
      <c r="CN64" s="4">
        <v>23.099090856</v>
      </c>
      <c r="CO64" s="28">
        <v>5.2033169599999998E-2</v>
      </c>
      <c r="CP64" s="29" t="s">
        <v>136</v>
      </c>
      <c r="CQ64" s="30">
        <v>0</v>
      </c>
      <c r="CR64" s="29" t="s">
        <v>136</v>
      </c>
      <c r="CS64" s="30">
        <v>0</v>
      </c>
      <c r="CT64" s="29" t="s">
        <v>136</v>
      </c>
      <c r="CU64" s="30">
        <v>0</v>
      </c>
      <c r="CV64" s="29" t="s">
        <v>136</v>
      </c>
      <c r="CW64" s="30">
        <v>0</v>
      </c>
      <c r="CX64" s="4">
        <v>0.25252047550000001</v>
      </c>
      <c r="CY64" s="28">
        <v>2.7119334999999999E-3</v>
      </c>
      <c r="CZ64" s="4">
        <v>0.54110420020000005</v>
      </c>
      <c r="DA64" s="28">
        <v>5.2888932999999999E-3</v>
      </c>
      <c r="DB64" s="4">
        <v>4.9636456630000003</v>
      </c>
      <c r="DC64" s="28">
        <v>5.4256284299999999E-2</v>
      </c>
      <c r="DD64" s="4">
        <v>46.767934677</v>
      </c>
      <c r="DE64" s="28">
        <v>1.0873288182</v>
      </c>
      <c r="DF64" s="29" t="s">
        <v>136</v>
      </c>
      <c r="DG64" s="30">
        <v>0</v>
      </c>
      <c r="DH64" s="29" t="s">
        <v>136</v>
      </c>
      <c r="DI64" s="30">
        <v>0</v>
      </c>
      <c r="DJ64" s="4">
        <v>27.693212385999999</v>
      </c>
      <c r="DK64" s="28">
        <v>0.48046360989999998</v>
      </c>
      <c r="DL64" s="4">
        <v>58.804692729999999</v>
      </c>
      <c r="DM64" s="28">
        <v>2.2410633022000002</v>
      </c>
      <c r="DN64" s="4">
        <v>41.616126631</v>
      </c>
      <c r="DO64" s="28">
        <v>0.75406941000000005</v>
      </c>
      <c r="DP64" s="4">
        <v>172.78027982</v>
      </c>
      <c r="DQ64" s="28">
        <v>1.3617035882999999</v>
      </c>
      <c r="DR64" s="37">
        <v>3.8476036E-3</v>
      </c>
      <c r="DS64" s="38">
        <v>6.7690691000000004E-3</v>
      </c>
      <c r="DT64" s="38">
        <v>7.6397812999999997E-3</v>
      </c>
      <c r="DU64" s="38">
        <v>7.8554755000000004E-3</v>
      </c>
      <c r="DV64" s="38">
        <v>7.9007811000000004E-3</v>
      </c>
      <c r="DW64" s="38">
        <v>7.9249513999999997E-3</v>
      </c>
      <c r="DX64" s="38">
        <v>7.9379698999999995E-3</v>
      </c>
      <c r="DY64" s="38">
        <v>7.9477218999999995E-3</v>
      </c>
      <c r="DZ64" s="38">
        <v>7.9555912000000006E-3</v>
      </c>
      <c r="EA64" s="39">
        <v>7.9628227999999999E-3</v>
      </c>
      <c r="EB64" s="40">
        <v>97.184207817000001</v>
      </c>
      <c r="EC64" s="30">
        <v>0.67836351640000003</v>
      </c>
      <c r="ED64" s="31">
        <v>51.744420269999999</v>
      </c>
      <c r="EE64" s="30">
        <v>0.37395360799999999</v>
      </c>
      <c r="EF64" s="31">
        <v>27.427266964000001</v>
      </c>
      <c r="EG64" s="30">
        <v>0.20528929530000001</v>
      </c>
      <c r="EH64" s="31">
        <v>14.621671668999999</v>
      </c>
      <c r="EI64" s="30">
        <v>0.11427574629999999</v>
      </c>
      <c r="EJ64" s="31">
        <v>7.9927225755000002</v>
      </c>
      <c r="EK64" s="30">
        <v>6.6140324799999997E-2</v>
      </c>
      <c r="EL64" s="31">
        <v>4.5387013858999996</v>
      </c>
      <c r="EM64" s="30">
        <v>4.0448233100000001E-2</v>
      </c>
      <c r="EN64" s="31">
        <v>2.6977643594999998</v>
      </c>
      <c r="EO64" s="30">
        <v>2.6360661899999999E-2</v>
      </c>
      <c r="EP64" s="31">
        <v>1.6862203285999999</v>
      </c>
      <c r="EQ64" s="30">
        <v>1.83469835E-2</v>
      </c>
      <c r="ER64" s="31">
        <v>1.1041703506</v>
      </c>
      <c r="ES64" s="30">
        <v>1.3516881099999999E-2</v>
      </c>
      <c r="ET64" s="31">
        <v>0.75832205890000004</v>
      </c>
      <c r="EU64" s="36">
        <v>1.04776373E-2</v>
      </c>
      <c r="EV64" s="31"/>
      <c r="EW64" s="30"/>
      <c r="EX64" s="31"/>
      <c r="EY64" s="30"/>
      <c r="EZ64" s="31"/>
      <c r="FA64" s="30"/>
      <c r="FB64" s="31"/>
      <c r="FC64" s="30"/>
      <c r="FD64" s="31"/>
      <c r="FE64" s="36"/>
    </row>
    <row r="65" spans="1:161" x14ac:dyDescent="0.2">
      <c r="A65" s="12">
        <v>6000</v>
      </c>
      <c r="B65" s="2">
        <v>11804</v>
      </c>
      <c r="C65" s="15">
        <f t="shared" si="0"/>
        <v>3.0370244775836772E-3</v>
      </c>
      <c r="D65" s="15">
        <f t="shared" si="5"/>
        <v>0.79163912615821264</v>
      </c>
      <c r="E65" s="15">
        <f t="shared" si="8"/>
        <v>789.35900441522006</v>
      </c>
      <c r="F65" s="26">
        <v>2545.5100293999999</v>
      </c>
      <c r="G65" s="4">
        <v>5949.7955181999996</v>
      </c>
      <c r="H65" s="41">
        <f t="shared" si="6"/>
        <v>0.32841842180045688</v>
      </c>
      <c r="I65" s="4">
        <f t="shared" si="1"/>
        <v>466.37454243140002</v>
      </c>
      <c r="J65" s="4">
        <f>(I65*SUM($B$5:$B65)-I64*SUM($B$5:$B64))/$B65</f>
        <v>1954.0224541226753</v>
      </c>
      <c r="K65" s="4">
        <f t="shared" si="2"/>
        <v>1532.4075649059</v>
      </c>
      <c r="L65" s="4">
        <f>(K65*SUM(B$5:B65)-K64*SUM(B$5:B64))/B65</f>
        <v>6164.2592990042922</v>
      </c>
      <c r="M65" s="41">
        <f t="shared" si="7"/>
        <v>3.6045571675238787E-2</v>
      </c>
      <c r="N65" s="4">
        <v>112.10692444999999</v>
      </c>
      <c r="O65" s="28">
        <v>0.100868521</v>
      </c>
      <c r="P65" s="26">
        <v>9.5323523394999992</v>
      </c>
      <c r="Q65" s="28">
        <v>3.9659487000000002E-3</v>
      </c>
      <c r="R65" s="4">
        <v>179.89924178000001</v>
      </c>
      <c r="S65" s="28">
        <v>1.2001367019</v>
      </c>
      <c r="T65" s="4">
        <v>105.88144788</v>
      </c>
      <c r="U65" s="28">
        <v>0.66475059560000005</v>
      </c>
      <c r="V65" s="4">
        <v>31.928126575</v>
      </c>
      <c r="W65" s="28">
        <v>0.25254845679999999</v>
      </c>
      <c r="X65" s="29" t="s">
        <v>136</v>
      </c>
      <c r="Y65" s="30">
        <v>0</v>
      </c>
      <c r="Z65" s="4">
        <v>47.462181448000003</v>
      </c>
      <c r="AA65" s="28">
        <v>7.5452460799999996E-2</v>
      </c>
      <c r="AB65" s="29" t="s">
        <v>136</v>
      </c>
      <c r="AC65" s="30">
        <v>0</v>
      </c>
      <c r="AD65" s="29" t="s">
        <v>136</v>
      </c>
      <c r="AE65" s="30">
        <v>0</v>
      </c>
      <c r="AF65" s="4">
        <v>0.81500930199999999</v>
      </c>
      <c r="AG65" s="28">
        <v>8.2029330000000008E-3</v>
      </c>
      <c r="AH65" s="4">
        <v>52.498231793000002</v>
      </c>
      <c r="AI65" s="28">
        <v>1.1567777441</v>
      </c>
      <c r="AJ65" s="29" t="s">
        <v>136</v>
      </c>
      <c r="AK65" s="30">
        <v>0</v>
      </c>
      <c r="AL65" s="4">
        <v>9.1397349999999995E-4</v>
      </c>
      <c r="AM65" s="28">
        <v>4.6407349000000003E-6</v>
      </c>
      <c r="AN65" s="29" t="s">
        <v>136</v>
      </c>
      <c r="AO65" s="30">
        <v>0</v>
      </c>
      <c r="AP65" s="29" t="s">
        <v>136</v>
      </c>
      <c r="AQ65" s="30">
        <v>0</v>
      </c>
      <c r="AR65" s="4">
        <f t="shared" si="3"/>
        <v>9.1397349999999995E-4</v>
      </c>
      <c r="AS65" s="28">
        <f t="shared" si="3"/>
        <v>4.6407349000000003E-6</v>
      </c>
      <c r="AT65" s="4">
        <v>141.55782533999999</v>
      </c>
      <c r="AU65" s="28">
        <v>1.7850004835</v>
      </c>
      <c r="AV65" s="29" t="s">
        <v>136</v>
      </c>
      <c r="AW65" s="30">
        <v>0</v>
      </c>
      <c r="AX65" s="29" t="s">
        <v>136</v>
      </c>
      <c r="AY65" s="30">
        <v>0</v>
      </c>
      <c r="AZ65" s="29" t="s">
        <v>136</v>
      </c>
      <c r="BA65" s="30">
        <v>0</v>
      </c>
      <c r="BB65" s="4">
        <v>87.322801013000003</v>
      </c>
      <c r="BC65" s="28">
        <v>2.7396406443000001</v>
      </c>
      <c r="BD65" s="4">
        <v>79.050611617000001</v>
      </c>
      <c r="BE65" s="28">
        <v>0.57226768790000004</v>
      </c>
      <c r="BF65" s="4">
        <v>35.679930278999997</v>
      </c>
      <c r="BG65" s="28">
        <v>0.35126684089999999</v>
      </c>
      <c r="BH65" s="4">
        <v>11.672313834000001</v>
      </c>
      <c r="BI65" s="28">
        <v>9.5601578000000006E-2</v>
      </c>
      <c r="BJ65" s="31">
        <f t="shared" si="4"/>
        <v>31.698367504000004</v>
      </c>
      <c r="BK65" s="30">
        <f t="shared" si="4"/>
        <v>0.12539926900000004</v>
      </c>
      <c r="BL65" s="4">
        <v>0</v>
      </c>
      <c r="BM65" s="30">
        <v>0</v>
      </c>
      <c r="BN65" s="4">
        <v>217.97644098999999</v>
      </c>
      <c r="BO65" s="28">
        <v>2.135475816</v>
      </c>
      <c r="BP65" s="28">
        <v>8.3042344000000008E-3</v>
      </c>
      <c r="BQ65" s="28">
        <v>4.4741925999999997E-6</v>
      </c>
      <c r="BR65" s="4">
        <v>147.76219821000001</v>
      </c>
      <c r="BS65" s="28">
        <v>4.5305277581999999</v>
      </c>
      <c r="BT65" s="4">
        <v>262.54739482999997</v>
      </c>
      <c r="BU65" s="28">
        <v>1.7934491020000001</v>
      </c>
      <c r="BV65" s="4">
        <v>55.589689419000003</v>
      </c>
      <c r="BW65" s="28">
        <v>0.24226876659999999</v>
      </c>
      <c r="BX65" s="4">
        <v>0.47525997240000001</v>
      </c>
      <c r="BY65" s="28">
        <v>1.4736593999999999E-3</v>
      </c>
      <c r="BZ65" s="4">
        <v>0</v>
      </c>
      <c r="CA65" s="33">
        <v>0</v>
      </c>
      <c r="CB65" s="29" t="s">
        <v>136</v>
      </c>
      <c r="CC65" s="30">
        <v>0</v>
      </c>
      <c r="CD65" s="4">
        <v>0.73183318549999998</v>
      </c>
      <c r="CE65" s="28">
        <v>9.5125446000000006E-3</v>
      </c>
      <c r="CF65" s="4">
        <v>31.196293390000001</v>
      </c>
      <c r="CG65" s="28">
        <v>0.24303591220000001</v>
      </c>
      <c r="CH65" s="29" t="s">
        <v>136</v>
      </c>
      <c r="CI65" s="30">
        <v>0</v>
      </c>
      <c r="CJ65" s="29" t="s">
        <v>136</v>
      </c>
      <c r="CK65" s="30">
        <v>0</v>
      </c>
      <c r="CL65" s="4">
        <v>23.937726688000001</v>
      </c>
      <c r="CM65" s="28">
        <v>2.2496399199999999E-2</v>
      </c>
      <c r="CN65" s="4">
        <v>23.524454760000001</v>
      </c>
      <c r="CO65" s="28">
        <v>5.29560616E-2</v>
      </c>
      <c r="CP65" s="29" t="s">
        <v>136</v>
      </c>
      <c r="CQ65" s="30">
        <v>0</v>
      </c>
      <c r="CR65" s="29" t="s">
        <v>136</v>
      </c>
      <c r="CS65" s="30">
        <v>0</v>
      </c>
      <c r="CT65" s="29" t="s">
        <v>136</v>
      </c>
      <c r="CU65" s="30">
        <v>0</v>
      </c>
      <c r="CV65" s="29" t="s">
        <v>136</v>
      </c>
      <c r="CW65" s="30">
        <v>0</v>
      </c>
      <c r="CX65" s="4">
        <v>0.2587237342</v>
      </c>
      <c r="CY65" s="28">
        <v>2.7763698000000002E-3</v>
      </c>
      <c r="CZ65" s="4">
        <v>0.55628556770000004</v>
      </c>
      <c r="DA65" s="28">
        <v>5.4265631999999998E-3</v>
      </c>
      <c r="DB65" s="4">
        <v>5.0751124937999998</v>
      </c>
      <c r="DC65" s="28">
        <v>5.5335100800000002E-2</v>
      </c>
      <c r="DD65" s="4">
        <v>47.423119299</v>
      </c>
      <c r="DE65" s="28">
        <v>1.1014426433</v>
      </c>
      <c r="DF65" s="29" t="s">
        <v>136</v>
      </c>
      <c r="DG65" s="30">
        <v>0</v>
      </c>
      <c r="DH65" s="29" t="s">
        <v>136</v>
      </c>
      <c r="DI65" s="30">
        <v>0</v>
      </c>
      <c r="DJ65" s="4">
        <v>28.004421463</v>
      </c>
      <c r="DK65" s="28">
        <v>0.48483595819999997</v>
      </c>
      <c r="DL65" s="4">
        <v>59.318379550000003</v>
      </c>
      <c r="DM65" s="28">
        <v>2.2548046861</v>
      </c>
      <c r="DN65" s="4">
        <v>42.973633448999998</v>
      </c>
      <c r="DO65" s="28">
        <v>0.76303047540000002</v>
      </c>
      <c r="DP65" s="4">
        <v>175.00280753999999</v>
      </c>
      <c r="DQ65" s="28">
        <v>1.3724453405000001</v>
      </c>
      <c r="DR65" s="37">
        <v>3.9174763999999997E-3</v>
      </c>
      <c r="DS65" s="38">
        <v>6.8885995999999998E-3</v>
      </c>
      <c r="DT65" s="38">
        <v>7.7793751999999999E-3</v>
      </c>
      <c r="DU65" s="38">
        <v>8.0036927000000004E-3</v>
      </c>
      <c r="DV65" s="38">
        <v>8.0505885000000006E-3</v>
      </c>
      <c r="DW65" s="38">
        <v>8.0757612999999995E-3</v>
      </c>
      <c r="DX65" s="38">
        <v>8.0893154999999994E-3</v>
      </c>
      <c r="DY65" s="38">
        <v>8.0996105999999995E-3</v>
      </c>
      <c r="DZ65" s="38">
        <v>8.1080279000000002E-3</v>
      </c>
      <c r="EA65" s="39">
        <v>8.1158089999999999E-3</v>
      </c>
      <c r="EB65" s="40">
        <v>97.801816604999999</v>
      </c>
      <c r="EC65" s="30">
        <v>0.68264870180000004</v>
      </c>
      <c r="ED65" s="31">
        <v>52.201236815000001</v>
      </c>
      <c r="EE65" s="30">
        <v>0.37719166949999999</v>
      </c>
      <c r="EF65" s="31">
        <v>27.742317630999999</v>
      </c>
      <c r="EG65" s="30">
        <v>0.2075890671</v>
      </c>
      <c r="EH65" s="31">
        <v>14.828502694000001</v>
      </c>
      <c r="EI65" s="30">
        <v>0.1158426072</v>
      </c>
      <c r="EJ65" s="31">
        <v>8.1283867526000009</v>
      </c>
      <c r="EK65" s="30">
        <v>6.7214939700000004E-2</v>
      </c>
      <c r="EL65" s="31">
        <v>4.6279303981000002</v>
      </c>
      <c r="EM65" s="30">
        <v>4.1197723700000001E-2</v>
      </c>
      <c r="EN65" s="31">
        <v>2.7574687223000001</v>
      </c>
      <c r="EO65" s="30">
        <v>2.6898706000000001E-2</v>
      </c>
      <c r="EP65" s="31">
        <v>1.7266058727</v>
      </c>
      <c r="EQ65" s="30">
        <v>1.8745017999999999E-2</v>
      </c>
      <c r="ER65" s="31">
        <v>1.13332214</v>
      </c>
      <c r="ES65" s="30">
        <v>1.38293419E-2</v>
      </c>
      <c r="ET65" s="31">
        <v>0.77944961410000002</v>
      </c>
      <c r="EU65" s="36">
        <v>1.0727174000000001E-2</v>
      </c>
      <c r="EV65" s="31"/>
      <c r="EW65" s="30"/>
      <c r="EX65" s="31"/>
      <c r="EY65" s="30"/>
      <c r="EZ65" s="31"/>
      <c r="FA65" s="30"/>
      <c r="FB65" s="31"/>
      <c r="FC65" s="30"/>
      <c r="FD65" s="31"/>
      <c r="FE65" s="36"/>
    </row>
    <row r="66" spans="1:161" x14ac:dyDescent="0.2">
      <c r="A66" s="12">
        <v>6100</v>
      </c>
      <c r="B66" s="2">
        <v>11745</v>
      </c>
      <c r="C66" s="15">
        <f t="shared" si="0"/>
        <v>3.0218445009505494E-3</v>
      </c>
      <c r="D66" s="15">
        <f t="shared" si="5"/>
        <v>0.79466097065916319</v>
      </c>
      <c r="E66" s="15">
        <f t="shared" si="8"/>
        <v>798.21330042520185</v>
      </c>
      <c r="F66" s="26">
        <v>2568.3632689000001</v>
      </c>
      <c r="G66" s="4">
        <v>6049.5534015000003</v>
      </c>
      <c r="H66" s="41">
        <f t="shared" si="6"/>
        <v>0.33015660981567457</v>
      </c>
      <c r="I66" s="4">
        <f t="shared" si="1"/>
        <v>472.19616822259997</v>
      </c>
      <c r="J66" s="4">
        <f>(I66*SUM($B$5:$B66)-I65*SUM($B$5:$B65))/$B66</f>
        <v>1997.3000419381224</v>
      </c>
      <c r="K66" s="4">
        <f t="shared" si="2"/>
        <v>1550.3823901400001</v>
      </c>
      <c r="L66" s="4">
        <f>(K66*SUM(B$5:B66)-K65*SUM(B$5:B65))/B66</f>
        <v>6259.2861529555303</v>
      </c>
      <c r="M66" s="41">
        <f t="shared" si="7"/>
        <v>3.4669129692040786E-2</v>
      </c>
      <c r="N66" s="4">
        <v>113.85537364</v>
      </c>
      <c r="O66" s="28">
        <v>0.1016722669</v>
      </c>
      <c r="P66" s="26">
        <v>9.7733403999000004</v>
      </c>
      <c r="Q66" s="28">
        <v>4.0342655999999998E-3</v>
      </c>
      <c r="R66" s="4">
        <v>180.63673069999999</v>
      </c>
      <c r="S66" s="28">
        <v>1.2050285601999999</v>
      </c>
      <c r="T66" s="4">
        <v>106.68419663</v>
      </c>
      <c r="U66" s="28">
        <v>0.66992517119999995</v>
      </c>
      <c r="V66" s="4">
        <v>32.33342133</v>
      </c>
      <c r="W66" s="28">
        <v>0.2555508266</v>
      </c>
      <c r="X66" s="29" t="s">
        <v>136</v>
      </c>
      <c r="Y66" s="30">
        <v>0</v>
      </c>
      <c r="Z66" s="4">
        <v>48.490933218000002</v>
      </c>
      <c r="AA66" s="28">
        <v>7.6860329599999999E-2</v>
      </c>
      <c r="AB66" s="29" t="s">
        <v>136</v>
      </c>
      <c r="AC66" s="30">
        <v>0</v>
      </c>
      <c r="AD66" s="29" t="s">
        <v>136</v>
      </c>
      <c r="AE66" s="30">
        <v>0</v>
      </c>
      <c r="AF66" s="4">
        <v>0.83223635890000003</v>
      </c>
      <c r="AG66" s="28">
        <v>8.3621809999999998E-3</v>
      </c>
      <c r="AH66" s="4">
        <v>53.271358394000003</v>
      </c>
      <c r="AI66" s="28">
        <v>1.1722503914</v>
      </c>
      <c r="AJ66" s="29" t="s">
        <v>136</v>
      </c>
      <c r="AK66" s="30">
        <v>0</v>
      </c>
      <c r="AL66" s="4">
        <v>9.4264030000000001E-4</v>
      </c>
      <c r="AM66" s="28">
        <v>4.7793450999999998E-6</v>
      </c>
      <c r="AN66" s="29" t="s">
        <v>136</v>
      </c>
      <c r="AO66" s="30">
        <v>0</v>
      </c>
      <c r="AP66" s="29" t="s">
        <v>136</v>
      </c>
      <c r="AQ66" s="30">
        <v>0</v>
      </c>
      <c r="AR66" s="4">
        <f t="shared" si="3"/>
        <v>9.4264030000000001E-4</v>
      </c>
      <c r="AS66" s="28">
        <f t="shared" si="3"/>
        <v>4.7793450999999998E-6</v>
      </c>
      <c r="AT66" s="4">
        <v>142.55050145000001</v>
      </c>
      <c r="AU66" s="28">
        <v>1.7931558513999999</v>
      </c>
      <c r="AV66" s="29" t="s">
        <v>136</v>
      </c>
      <c r="AW66" s="30">
        <v>0</v>
      </c>
      <c r="AX66" s="29" t="s">
        <v>136</v>
      </c>
      <c r="AY66" s="30">
        <v>0</v>
      </c>
      <c r="AZ66" s="29" t="s">
        <v>136</v>
      </c>
      <c r="BA66" s="30">
        <v>0</v>
      </c>
      <c r="BB66" s="4">
        <v>88.150293181999999</v>
      </c>
      <c r="BC66" s="28">
        <v>2.7578635083999998</v>
      </c>
      <c r="BD66" s="4">
        <v>80.021045384000004</v>
      </c>
      <c r="BE66" s="28">
        <v>0.57729858099999998</v>
      </c>
      <c r="BF66" s="4">
        <v>36.101360397000001</v>
      </c>
      <c r="BG66" s="28">
        <v>0.35437957650000002</v>
      </c>
      <c r="BH66" s="4">
        <v>11.775237094</v>
      </c>
      <c r="BI66" s="28">
        <v>9.6216309200000003E-2</v>
      </c>
      <c r="BJ66" s="31">
        <f t="shared" si="4"/>
        <v>32.144447893000006</v>
      </c>
      <c r="BK66" s="30">
        <f t="shared" si="4"/>
        <v>0.12670269529999995</v>
      </c>
      <c r="BL66" s="4">
        <v>0</v>
      </c>
      <c r="BM66" s="30">
        <v>0</v>
      </c>
      <c r="BN66" s="4">
        <v>221.58490595000001</v>
      </c>
      <c r="BO66" s="28">
        <v>2.1549518092</v>
      </c>
      <c r="BP66" s="28">
        <v>8.4515469000000006E-3</v>
      </c>
      <c r="BQ66" s="28">
        <v>6.9916047999999997E-6</v>
      </c>
      <c r="BR66" s="4">
        <v>148.65871313</v>
      </c>
      <c r="BS66" s="28">
        <v>4.5503701282</v>
      </c>
      <c r="BT66" s="4">
        <v>266.70962068</v>
      </c>
      <c r="BU66" s="28">
        <v>1.8183772875999999</v>
      </c>
      <c r="BV66" s="4">
        <v>56.331310662999996</v>
      </c>
      <c r="BW66" s="28">
        <v>0.24480777910000001</v>
      </c>
      <c r="BX66" s="4">
        <v>0.49652374960000001</v>
      </c>
      <c r="BY66" s="28">
        <v>1.5055696E-3</v>
      </c>
      <c r="BZ66" s="4">
        <v>0</v>
      </c>
      <c r="CA66" s="33">
        <v>0</v>
      </c>
      <c r="CB66" s="29" t="s">
        <v>136</v>
      </c>
      <c r="CC66" s="30">
        <v>0</v>
      </c>
      <c r="CD66" s="4">
        <v>0.74316165860000005</v>
      </c>
      <c r="CE66" s="28">
        <v>9.6470681999999992E-3</v>
      </c>
      <c r="CF66" s="4">
        <v>31.590259670999998</v>
      </c>
      <c r="CG66" s="28">
        <v>0.24590375840000001</v>
      </c>
      <c r="CH66" s="29" t="s">
        <v>136</v>
      </c>
      <c r="CI66" s="30">
        <v>0</v>
      </c>
      <c r="CJ66" s="29" t="s">
        <v>136</v>
      </c>
      <c r="CK66" s="30">
        <v>0</v>
      </c>
      <c r="CL66" s="4">
        <v>24.569307343999998</v>
      </c>
      <c r="CM66" s="28">
        <v>2.29955274E-2</v>
      </c>
      <c r="CN66" s="4">
        <v>23.921625874</v>
      </c>
      <c r="CO66" s="28">
        <v>5.38648023E-2</v>
      </c>
      <c r="CP66" s="29" t="s">
        <v>136</v>
      </c>
      <c r="CQ66" s="30">
        <v>0</v>
      </c>
      <c r="CR66" s="29" t="s">
        <v>136</v>
      </c>
      <c r="CS66" s="30">
        <v>0</v>
      </c>
      <c r="CT66" s="29" t="s">
        <v>136</v>
      </c>
      <c r="CU66" s="30">
        <v>0</v>
      </c>
      <c r="CV66" s="29" t="s">
        <v>136</v>
      </c>
      <c r="CW66" s="30">
        <v>0</v>
      </c>
      <c r="CX66" s="4">
        <v>0.26204514299999998</v>
      </c>
      <c r="CY66" s="28">
        <v>2.8083243000000002E-3</v>
      </c>
      <c r="CZ66" s="4">
        <v>0.57019121589999999</v>
      </c>
      <c r="DA66" s="28">
        <v>5.5538567E-3</v>
      </c>
      <c r="DB66" s="4">
        <v>5.1877910330999999</v>
      </c>
      <c r="DC66" s="28">
        <v>5.64260335E-2</v>
      </c>
      <c r="DD66" s="4">
        <v>48.083567361</v>
      </c>
      <c r="DE66" s="28">
        <v>1.1158243579</v>
      </c>
      <c r="DF66" s="29" t="s">
        <v>136</v>
      </c>
      <c r="DG66" s="30">
        <v>0</v>
      </c>
      <c r="DH66" s="29" t="s">
        <v>136</v>
      </c>
      <c r="DI66" s="30">
        <v>0</v>
      </c>
      <c r="DJ66" s="4">
        <v>28.307345400999999</v>
      </c>
      <c r="DK66" s="28">
        <v>0.489124279</v>
      </c>
      <c r="DL66" s="4">
        <v>59.842947780999999</v>
      </c>
      <c r="DM66" s="28">
        <v>2.2687392293999999</v>
      </c>
      <c r="DN66" s="4">
        <v>44.366903856</v>
      </c>
      <c r="DO66" s="28">
        <v>0.77225280380000005</v>
      </c>
      <c r="DP66" s="4">
        <v>177.21800210000001</v>
      </c>
      <c r="DQ66" s="28">
        <v>1.3826990053999999</v>
      </c>
      <c r="DR66" s="37">
        <v>3.9832514000000003E-3</v>
      </c>
      <c r="DS66" s="38">
        <v>7.0037739999999999E-3</v>
      </c>
      <c r="DT66" s="38">
        <v>7.9149375999999997E-3</v>
      </c>
      <c r="DU66" s="38">
        <v>8.1455511000000005E-3</v>
      </c>
      <c r="DV66" s="38">
        <v>8.1944888999999996E-3</v>
      </c>
      <c r="DW66" s="38">
        <v>8.2216081999999992E-3</v>
      </c>
      <c r="DX66" s="38">
        <v>8.2363196999999996E-3</v>
      </c>
      <c r="DY66" s="38">
        <v>8.2474644999999992E-3</v>
      </c>
      <c r="DZ66" s="38">
        <v>8.2558549999999994E-3</v>
      </c>
      <c r="EA66" s="39">
        <v>8.2636107999999996E-3</v>
      </c>
      <c r="EB66" s="40">
        <v>98.406385338999996</v>
      </c>
      <c r="EC66" s="30">
        <v>0.68669977000000004</v>
      </c>
      <c r="ED66" s="31">
        <v>52.641061069999999</v>
      </c>
      <c r="EE66" s="30">
        <v>0.38019759320000002</v>
      </c>
      <c r="EF66" s="31">
        <v>28.041412107999999</v>
      </c>
      <c r="EG66" s="30">
        <v>0.20967173159999999</v>
      </c>
      <c r="EH66" s="31">
        <v>15.026408025</v>
      </c>
      <c r="EI66" s="30">
        <v>0.11725076650000001</v>
      </c>
      <c r="EJ66" s="31">
        <v>8.2583876572000001</v>
      </c>
      <c r="EK66" s="30">
        <v>6.8164647600000003E-2</v>
      </c>
      <c r="EL66" s="31">
        <v>4.7120421593000001</v>
      </c>
      <c r="EM66" s="30">
        <v>4.1830136599999998E-2</v>
      </c>
      <c r="EN66" s="31">
        <v>2.8129985730999998</v>
      </c>
      <c r="EO66" s="30">
        <v>2.73301762E-2</v>
      </c>
      <c r="EP66" s="31">
        <v>1.7636512391000001</v>
      </c>
      <c r="EQ66" s="30">
        <v>1.9044797200000001E-2</v>
      </c>
      <c r="ER66" s="31">
        <v>1.1583169369999999</v>
      </c>
      <c r="ES66" s="30">
        <v>1.40434338E-2</v>
      </c>
      <c r="ET66" s="31">
        <v>0.79689993270000004</v>
      </c>
      <c r="EU66" s="36">
        <v>1.0885570000000001E-2</v>
      </c>
      <c r="EV66" s="31"/>
      <c r="EW66" s="30"/>
      <c r="EX66" s="31"/>
      <c r="EY66" s="30"/>
      <c r="EZ66" s="31"/>
      <c r="FA66" s="30"/>
      <c r="FB66" s="31"/>
      <c r="FC66" s="30"/>
      <c r="FD66" s="31"/>
      <c r="FE66" s="36"/>
    </row>
    <row r="67" spans="1:161" x14ac:dyDescent="0.2">
      <c r="A67" s="12">
        <v>6200</v>
      </c>
      <c r="B67" s="2">
        <v>11197</v>
      </c>
      <c r="C67" s="15">
        <f t="shared" si="0"/>
        <v>2.8808508196801448E-3</v>
      </c>
      <c r="D67" s="15">
        <f t="shared" si="5"/>
        <v>0.79754182147884334</v>
      </c>
      <c r="E67" s="15">
        <f t="shared" si="8"/>
        <v>806.72815583733609</v>
      </c>
      <c r="F67" s="26">
        <v>2590.7829725000001</v>
      </c>
      <c r="G67" s="4">
        <v>6149.9152456000002</v>
      </c>
      <c r="H67" s="41">
        <f t="shared" si="6"/>
        <v>0.325566888121395</v>
      </c>
      <c r="I67" s="4">
        <f t="shared" si="1"/>
        <v>477.72282266949998</v>
      </c>
      <c r="J67" s="4">
        <f>(I67*SUM($B$5:$B67)-I66*SUM($B$5:$B66))/$B67</f>
        <v>2002.2087687203168</v>
      </c>
      <c r="K67" s="4">
        <f t="shared" si="2"/>
        <v>1567.6092643058003</v>
      </c>
      <c r="L67" s="4">
        <f>(K67*SUM(B$5:B67)-K66*SUM(B$5:B66))/B67</f>
        <v>6319.5125744320449</v>
      </c>
      <c r="M67" s="41">
        <f t="shared" si="7"/>
        <v>2.7577181482847962E-2</v>
      </c>
      <c r="N67" s="4">
        <v>115.44214288000001</v>
      </c>
      <c r="O67" s="28">
        <v>0.1023934435</v>
      </c>
      <c r="P67" s="26">
        <v>10.019183416000001</v>
      </c>
      <c r="Q67" s="28">
        <v>4.0999275999999999E-3</v>
      </c>
      <c r="R67" s="4">
        <v>181.32095287000001</v>
      </c>
      <c r="S67" s="28">
        <v>1.2096477943999999</v>
      </c>
      <c r="T67" s="4">
        <v>107.46964391</v>
      </c>
      <c r="U67" s="28">
        <v>0.67490534260000001</v>
      </c>
      <c r="V67" s="4">
        <v>32.752183187999997</v>
      </c>
      <c r="W67" s="28">
        <v>0.25859435580000001</v>
      </c>
      <c r="X67" s="29" t="s">
        <v>136</v>
      </c>
      <c r="Y67" s="30">
        <v>0</v>
      </c>
      <c r="Z67" s="4">
        <v>49.499295297000003</v>
      </c>
      <c r="AA67" s="28">
        <v>7.8194173899999997E-2</v>
      </c>
      <c r="AB67" s="29" t="s">
        <v>136</v>
      </c>
      <c r="AC67" s="30">
        <v>0</v>
      </c>
      <c r="AD67" s="29" t="s">
        <v>136</v>
      </c>
      <c r="AE67" s="30">
        <v>0</v>
      </c>
      <c r="AF67" s="4">
        <v>0.85224590450000004</v>
      </c>
      <c r="AG67" s="28">
        <v>8.5458245000000002E-3</v>
      </c>
      <c r="AH67" s="4">
        <v>53.966614505000003</v>
      </c>
      <c r="AI67" s="28">
        <v>1.1857233173999999</v>
      </c>
      <c r="AJ67" s="29" t="s">
        <v>136</v>
      </c>
      <c r="AK67" s="30">
        <v>0</v>
      </c>
      <c r="AL67" s="4">
        <v>9.4018040000000002E-4</v>
      </c>
      <c r="AM67" s="28">
        <v>4.7665101999999997E-6</v>
      </c>
      <c r="AN67" s="29" t="s">
        <v>136</v>
      </c>
      <c r="AO67" s="30">
        <v>0</v>
      </c>
      <c r="AP67" s="29" t="s">
        <v>136</v>
      </c>
      <c r="AQ67" s="30">
        <v>0</v>
      </c>
      <c r="AR67" s="4">
        <f t="shared" si="3"/>
        <v>9.4018040000000002E-4</v>
      </c>
      <c r="AS67" s="28">
        <f t="shared" si="3"/>
        <v>4.7665101999999997E-6</v>
      </c>
      <c r="AT67" s="4">
        <v>143.53984149999999</v>
      </c>
      <c r="AU67" s="28">
        <v>1.8007485156</v>
      </c>
      <c r="AV67" s="29" t="s">
        <v>136</v>
      </c>
      <c r="AW67" s="30">
        <v>0</v>
      </c>
      <c r="AX67" s="29" t="s">
        <v>136</v>
      </c>
      <c r="AY67" s="30">
        <v>0</v>
      </c>
      <c r="AZ67" s="29" t="s">
        <v>136</v>
      </c>
      <c r="BA67" s="30">
        <v>0</v>
      </c>
      <c r="BB67" s="4">
        <v>88.947943797999997</v>
      </c>
      <c r="BC67" s="28">
        <v>2.7752447527999999</v>
      </c>
      <c r="BD67" s="4">
        <v>80.916233727000005</v>
      </c>
      <c r="BE67" s="28">
        <v>0.58202942769999999</v>
      </c>
      <c r="BF67" s="4">
        <v>36.495441004</v>
      </c>
      <c r="BG67" s="28">
        <v>0.35736863219999998</v>
      </c>
      <c r="BH67" s="4">
        <v>11.859700955999999</v>
      </c>
      <c r="BI67" s="28">
        <v>9.6749635E-2</v>
      </c>
      <c r="BJ67" s="31">
        <f t="shared" si="4"/>
        <v>32.561091767000008</v>
      </c>
      <c r="BK67" s="30">
        <f t="shared" si="4"/>
        <v>0.12791116050000001</v>
      </c>
      <c r="BL67" s="4">
        <v>0</v>
      </c>
      <c r="BM67" s="30">
        <v>0</v>
      </c>
      <c r="BN67" s="4">
        <v>225.15828028000001</v>
      </c>
      <c r="BO67" s="28">
        <v>2.1740717897000001</v>
      </c>
      <c r="BP67" s="28">
        <v>8.6011685000000008E-3</v>
      </c>
      <c r="BQ67" s="28">
        <v>6.9449684000000001E-6</v>
      </c>
      <c r="BR67" s="4">
        <v>149.49698541999999</v>
      </c>
      <c r="BS67" s="28">
        <v>4.5682269935999997</v>
      </c>
      <c r="BT67" s="4">
        <v>270.74244503</v>
      </c>
      <c r="BU67" s="28">
        <v>1.8421756689</v>
      </c>
      <c r="BV67" s="4">
        <v>56.967997204</v>
      </c>
      <c r="BW67" s="28">
        <v>0.24697482069999999</v>
      </c>
      <c r="BX67" s="4">
        <v>0.5153950155</v>
      </c>
      <c r="BY67" s="28">
        <v>1.5257078999999999E-3</v>
      </c>
      <c r="BZ67" s="4">
        <v>0</v>
      </c>
      <c r="CA67" s="33">
        <v>0</v>
      </c>
      <c r="CB67" s="29" t="s">
        <v>136</v>
      </c>
      <c r="CC67" s="30">
        <v>0</v>
      </c>
      <c r="CD67" s="4">
        <v>0.75177370519999998</v>
      </c>
      <c r="CE67" s="28">
        <v>9.7407592000000008E-3</v>
      </c>
      <c r="CF67" s="4">
        <v>32.000409482999999</v>
      </c>
      <c r="CG67" s="28">
        <v>0.2488535966</v>
      </c>
      <c r="CH67" s="29" t="s">
        <v>136</v>
      </c>
      <c r="CI67" s="30">
        <v>0</v>
      </c>
      <c r="CJ67" s="29" t="s">
        <v>136</v>
      </c>
      <c r="CK67" s="30">
        <v>0</v>
      </c>
      <c r="CL67" s="4">
        <v>25.179083711000001</v>
      </c>
      <c r="CM67" s="28">
        <v>2.34586777E-2</v>
      </c>
      <c r="CN67" s="4">
        <v>24.320211586999999</v>
      </c>
      <c r="CO67" s="28">
        <v>5.4735496199999997E-2</v>
      </c>
      <c r="CP67" s="29" t="s">
        <v>136</v>
      </c>
      <c r="CQ67" s="30">
        <v>0</v>
      </c>
      <c r="CR67" s="29" t="s">
        <v>136</v>
      </c>
      <c r="CS67" s="30">
        <v>0</v>
      </c>
      <c r="CT67" s="29" t="s">
        <v>136</v>
      </c>
      <c r="CU67" s="30">
        <v>0</v>
      </c>
      <c r="CV67" s="29" t="s">
        <v>136</v>
      </c>
      <c r="CW67" s="30">
        <v>0</v>
      </c>
      <c r="CX67" s="4">
        <v>0.26796981780000001</v>
      </c>
      <c r="CY67" s="28">
        <v>2.8574484E-3</v>
      </c>
      <c r="CZ67" s="4">
        <v>0.58427608669999997</v>
      </c>
      <c r="DA67" s="28">
        <v>5.6883760999999998E-3</v>
      </c>
      <c r="DB67" s="4">
        <v>5.2867326544999997</v>
      </c>
      <c r="DC67" s="28">
        <v>5.7420916299999999E-2</v>
      </c>
      <c r="DD67" s="4">
        <v>48.679881850000001</v>
      </c>
      <c r="DE67" s="28">
        <v>1.1283024011</v>
      </c>
      <c r="DF67" s="29" t="s">
        <v>136</v>
      </c>
      <c r="DG67" s="30">
        <v>0</v>
      </c>
      <c r="DH67" s="29" t="s">
        <v>136</v>
      </c>
      <c r="DI67" s="30">
        <v>0</v>
      </c>
      <c r="DJ67" s="4">
        <v>28.627084033999999</v>
      </c>
      <c r="DK67" s="28">
        <v>0.4936632091</v>
      </c>
      <c r="DL67" s="4">
        <v>60.320859763999998</v>
      </c>
      <c r="DM67" s="28">
        <v>2.2815815437000002</v>
      </c>
      <c r="DN67" s="4">
        <v>45.754718300999997</v>
      </c>
      <c r="DO67" s="28">
        <v>0.78127599349999999</v>
      </c>
      <c r="DP67" s="4">
        <v>179.40356198000001</v>
      </c>
      <c r="DQ67" s="28">
        <v>1.3927957961999999</v>
      </c>
      <c r="DR67" s="37">
        <v>4.0475080999999996E-3</v>
      </c>
      <c r="DS67" s="38">
        <v>7.1179409000000004E-3</v>
      </c>
      <c r="DT67" s="38">
        <v>8.0527859999999993E-3</v>
      </c>
      <c r="DU67" s="38">
        <v>8.2901516999999997E-3</v>
      </c>
      <c r="DV67" s="38">
        <v>8.3411583000000001E-3</v>
      </c>
      <c r="DW67" s="38">
        <v>8.3693514000000007E-3</v>
      </c>
      <c r="DX67" s="38">
        <v>8.3851701000000004E-3</v>
      </c>
      <c r="DY67" s="38">
        <v>8.3970986999999993E-3</v>
      </c>
      <c r="DZ67" s="38">
        <v>8.4059575999999997E-3</v>
      </c>
      <c r="EA67" s="39">
        <v>8.4136896999999992E-3</v>
      </c>
      <c r="EB67" s="40">
        <v>98.966029793000004</v>
      </c>
      <c r="EC67" s="30">
        <v>0.69052409839999995</v>
      </c>
      <c r="ED67" s="31">
        <v>53.051668190999997</v>
      </c>
      <c r="EE67" s="30">
        <v>0.38307451110000001</v>
      </c>
      <c r="EF67" s="31">
        <v>28.318781033</v>
      </c>
      <c r="EG67" s="30">
        <v>0.2116828258</v>
      </c>
      <c r="EH67" s="31">
        <v>15.207307779000001</v>
      </c>
      <c r="EI67" s="30">
        <v>0.11862203640000001</v>
      </c>
      <c r="EJ67" s="31">
        <v>8.3756437826999992</v>
      </c>
      <c r="EK67" s="30">
        <v>6.9104506100000004E-2</v>
      </c>
      <c r="EL67" s="31">
        <v>4.7890221735000003</v>
      </c>
      <c r="EM67" s="30">
        <v>4.2490154299999999E-2</v>
      </c>
      <c r="EN67" s="31">
        <v>2.8653666829</v>
      </c>
      <c r="EO67" s="30">
        <v>2.7813217099999999E-2</v>
      </c>
      <c r="EP67" s="31">
        <v>1.8006558604</v>
      </c>
      <c r="EQ67" s="30">
        <v>1.9414146199999999E-2</v>
      </c>
      <c r="ER67" s="31">
        <v>1.1847751564</v>
      </c>
      <c r="ES67" s="30">
        <v>1.43312925E-2</v>
      </c>
      <c r="ET67" s="31">
        <v>0.81622064930000005</v>
      </c>
      <c r="EU67" s="36">
        <v>1.11158278E-2</v>
      </c>
      <c r="EV67" s="31"/>
      <c r="EW67" s="30"/>
      <c r="EX67" s="31"/>
      <c r="EY67" s="30"/>
      <c r="EZ67" s="31"/>
      <c r="FA67" s="30"/>
      <c r="FB67" s="31"/>
      <c r="FC67" s="30"/>
      <c r="FD67" s="31"/>
      <c r="FE67" s="36"/>
    </row>
    <row r="68" spans="1:161" x14ac:dyDescent="0.2">
      <c r="A68" s="12">
        <v>6300</v>
      </c>
      <c r="B68" s="2">
        <v>10912</v>
      </c>
      <c r="C68" s="15">
        <f t="shared" si="0"/>
        <v>2.807523813909953E-3</v>
      </c>
      <c r="D68" s="15">
        <f t="shared" si="5"/>
        <v>0.80034934529275326</v>
      </c>
      <c r="E68" s="15">
        <f t="shared" si="8"/>
        <v>815.09725878205438</v>
      </c>
      <c r="F68" s="26">
        <v>2612.9433082999999</v>
      </c>
      <c r="G68" s="4">
        <v>6249.5734666999997</v>
      </c>
      <c r="H68" s="41">
        <f t="shared" si="6"/>
        <v>0.33063737082159878</v>
      </c>
      <c r="I68" s="4">
        <f t="shared" si="1"/>
        <v>483.29549879309991</v>
      </c>
      <c r="J68" s="4">
        <f>(I68*SUM($B$5:$B68)-I67*SUM($B$5:$B67))/$B68</f>
        <v>2066.3425397861124</v>
      </c>
      <c r="K68" s="4">
        <f t="shared" si="2"/>
        <v>1584.764977322</v>
      </c>
      <c r="L68" s="4">
        <f>(K68*SUM(B$5:B68)-K67*SUM(B$5:B67))/B68</f>
        <v>6458.24050758058</v>
      </c>
      <c r="M68" s="41">
        <f t="shared" si="7"/>
        <v>3.3389005184503259E-2</v>
      </c>
      <c r="N68" s="4">
        <v>117.06311966</v>
      </c>
      <c r="O68" s="28">
        <v>0.10315915220000001</v>
      </c>
      <c r="P68" s="26">
        <v>10.263358075999999</v>
      </c>
      <c r="Q68" s="28">
        <v>4.1620835999999998E-3</v>
      </c>
      <c r="R68" s="4">
        <v>181.98520846</v>
      </c>
      <c r="S68" s="28">
        <v>1.2140979374</v>
      </c>
      <c r="T68" s="4">
        <v>108.2129789</v>
      </c>
      <c r="U68" s="28">
        <v>0.67952471169999995</v>
      </c>
      <c r="V68" s="4">
        <v>33.153967627</v>
      </c>
      <c r="W68" s="28">
        <v>0.26160179119999999</v>
      </c>
      <c r="X68" s="29" t="s">
        <v>136</v>
      </c>
      <c r="Y68" s="30">
        <v>0</v>
      </c>
      <c r="Z68" s="4">
        <v>50.475047642</v>
      </c>
      <c r="AA68" s="28">
        <v>7.94739691E-2</v>
      </c>
      <c r="AB68" s="29" t="s">
        <v>136</v>
      </c>
      <c r="AC68" s="30">
        <v>0</v>
      </c>
      <c r="AD68" s="29" t="s">
        <v>136</v>
      </c>
      <c r="AE68" s="30">
        <v>0</v>
      </c>
      <c r="AF68" s="4">
        <v>0.87400253689999996</v>
      </c>
      <c r="AG68" s="28">
        <v>8.7197721999999998E-3</v>
      </c>
      <c r="AH68" s="4">
        <v>54.696956763000003</v>
      </c>
      <c r="AI68" s="28">
        <v>1.1999677705</v>
      </c>
      <c r="AJ68" s="29" t="s">
        <v>136</v>
      </c>
      <c r="AK68" s="30">
        <v>0</v>
      </c>
      <c r="AL68" s="4">
        <v>1.0480324999999999E-3</v>
      </c>
      <c r="AM68" s="28">
        <v>5.0680932999999996E-6</v>
      </c>
      <c r="AN68" s="29" t="s">
        <v>136</v>
      </c>
      <c r="AO68" s="30">
        <v>0</v>
      </c>
      <c r="AP68" s="29" t="s">
        <v>136</v>
      </c>
      <c r="AQ68" s="30">
        <v>0</v>
      </c>
      <c r="AR68" s="4">
        <f t="shared" si="3"/>
        <v>1.0480324999999999E-3</v>
      </c>
      <c r="AS68" s="28">
        <f t="shared" si="3"/>
        <v>5.0680932999999996E-6</v>
      </c>
      <c r="AT68" s="4">
        <v>144.53093294999999</v>
      </c>
      <c r="AU68" s="28">
        <v>1.8079573444000001</v>
      </c>
      <c r="AV68" s="29" t="s">
        <v>136</v>
      </c>
      <c r="AW68" s="30">
        <v>0</v>
      </c>
      <c r="AX68" s="29" t="s">
        <v>136</v>
      </c>
      <c r="AY68" s="30">
        <v>0</v>
      </c>
      <c r="AZ68" s="29" t="s">
        <v>136</v>
      </c>
      <c r="BA68" s="30">
        <v>0</v>
      </c>
      <c r="BB68" s="4">
        <v>89.707468672999994</v>
      </c>
      <c r="BC68" s="28">
        <v>2.7913822488000002</v>
      </c>
      <c r="BD68" s="4">
        <v>81.767933615999993</v>
      </c>
      <c r="BE68" s="28">
        <v>0.58652600399999999</v>
      </c>
      <c r="BF68" s="4">
        <v>36.868700402999998</v>
      </c>
      <c r="BG68" s="28">
        <v>0.36017740120000002</v>
      </c>
      <c r="BH68" s="4">
        <v>11.935011985999999</v>
      </c>
      <c r="BI68" s="28">
        <v>9.7250030200000004E-2</v>
      </c>
      <c r="BJ68" s="31">
        <f t="shared" si="4"/>
        <v>32.964221226999996</v>
      </c>
      <c r="BK68" s="30">
        <f t="shared" si="4"/>
        <v>0.12909857259999996</v>
      </c>
      <c r="BL68" s="4">
        <v>0</v>
      </c>
      <c r="BM68" s="30">
        <v>0</v>
      </c>
      <c r="BN68" s="4">
        <v>228.73640756</v>
      </c>
      <c r="BO68" s="28">
        <v>2.1924899717000002</v>
      </c>
      <c r="BP68" s="28">
        <v>8.7508094999999998E-3</v>
      </c>
      <c r="BQ68" s="28">
        <v>6.9008971000000004E-6</v>
      </c>
      <c r="BR68" s="4">
        <v>150.32343259000001</v>
      </c>
      <c r="BS68" s="28">
        <v>4.5861376524999997</v>
      </c>
      <c r="BT68" s="4">
        <v>274.71075538999997</v>
      </c>
      <c r="BU68" s="28">
        <v>1.8658593188999999</v>
      </c>
      <c r="BV68" s="4">
        <v>57.729893191000002</v>
      </c>
      <c r="BW68" s="28">
        <v>0.2494181613</v>
      </c>
      <c r="BX68" s="4">
        <v>0.53141762209999999</v>
      </c>
      <c r="BY68" s="28">
        <v>1.5445688999999999E-3</v>
      </c>
      <c r="BZ68" s="4">
        <v>0</v>
      </c>
      <c r="CA68" s="33">
        <v>0</v>
      </c>
      <c r="CB68" s="29" t="s">
        <v>136</v>
      </c>
      <c r="CC68" s="30">
        <v>0</v>
      </c>
      <c r="CD68" s="4">
        <v>0.77089912640000002</v>
      </c>
      <c r="CE68" s="28">
        <v>9.9840814000000007E-3</v>
      </c>
      <c r="CF68" s="4">
        <v>32.383068500999997</v>
      </c>
      <c r="CG68" s="28">
        <v>0.25161770979999998</v>
      </c>
      <c r="CH68" s="29" t="s">
        <v>136</v>
      </c>
      <c r="CI68" s="30">
        <v>0</v>
      </c>
      <c r="CJ68" s="29" t="s">
        <v>136</v>
      </c>
      <c r="CK68" s="30">
        <v>0</v>
      </c>
      <c r="CL68" s="4">
        <v>25.782389644999999</v>
      </c>
      <c r="CM68" s="28">
        <v>2.3900216700000001E-2</v>
      </c>
      <c r="CN68" s="4">
        <v>24.692657998000001</v>
      </c>
      <c r="CO68" s="28">
        <v>5.5573752300000001E-2</v>
      </c>
      <c r="CP68" s="29" t="s">
        <v>136</v>
      </c>
      <c r="CQ68" s="30">
        <v>0</v>
      </c>
      <c r="CR68" s="29" t="s">
        <v>136</v>
      </c>
      <c r="CS68" s="30">
        <v>0</v>
      </c>
      <c r="CT68" s="29" t="s">
        <v>136</v>
      </c>
      <c r="CU68" s="30">
        <v>0</v>
      </c>
      <c r="CV68" s="29" t="s">
        <v>136</v>
      </c>
      <c r="CW68" s="30">
        <v>0</v>
      </c>
      <c r="CX68" s="4">
        <v>0.27360158369999998</v>
      </c>
      <c r="CY68" s="28">
        <v>2.895019E-3</v>
      </c>
      <c r="CZ68" s="4">
        <v>0.60040095319999998</v>
      </c>
      <c r="DA68" s="28">
        <v>5.8247532000000003E-3</v>
      </c>
      <c r="DB68" s="4">
        <v>5.3922677283000002</v>
      </c>
      <c r="DC68" s="28">
        <v>5.83830194E-2</v>
      </c>
      <c r="DD68" s="4">
        <v>49.304689033999999</v>
      </c>
      <c r="DE68" s="28">
        <v>1.1415847510999999</v>
      </c>
      <c r="DF68" s="29" t="s">
        <v>136</v>
      </c>
      <c r="DG68" s="30">
        <v>0</v>
      </c>
      <c r="DH68" s="29" t="s">
        <v>136</v>
      </c>
      <c r="DI68" s="30">
        <v>0</v>
      </c>
      <c r="DJ68" s="4">
        <v>28.927556607</v>
      </c>
      <c r="DK68" s="28">
        <v>0.49780134409999999</v>
      </c>
      <c r="DL68" s="4">
        <v>60.779912066000001</v>
      </c>
      <c r="DM68" s="28">
        <v>2.2935809047000002</v>
      </c>
      <c r="DN68" s="4">
        <v>47.140238842999999</v>
      </c>
      <c r="DO68" s="28">
        <v>0.78987529560000003</v>
      </c>
      <c r="DP68" s="4">
        <v>181.59616872000001</v>
      </c>
      <c r="DQ68" s="28">
        <v>1.402614676</v>
      </c>
      <c r="DR68" s="37">
        <v>4.1086012E-3</v>
      </c>
      <c r="DS68" s="38">
        <v>7.2231802999999997E-3</v>
      </c>
      <c r="DT68" s="38">
        <v>8.1789870000000004E-3</v>
      </c>
      <c r="DU68" s="38">
        <v>8.4238925999999999E-3</v>
      </c>
      <c r="DV68" s="38">
        <v>8.4767754000000008E-3</v>
      </c>
      <c r="DW68" s="38">
        <v>8.5062731999999992E-3</v>
      </c>
      <c r="DX68" s="38">
        <v>8.5229506000000007E-3</v>
      </c>
      <c r="DY68" s="38">
        <v>8.5357457999999994E-3</v>
      </c>
      <c r="DZ68" s="38">
        <v>8.5454817999999991E-3</v>
      </c>
      <c r="EA68" s="39">
        <v>8.5535216000000008E-3</v>
      </c>
      <c r="EB68" s="40">
        <v>99.508041445000003</v>
      </c>
      <c r="EC68" s="30">
        <v>0.69421164769999999</v>
      </c>
      <c r="ED68" s="31">
        <v>53.449665862000003</v>
      </c>
      <c r="EE68" s="30">
        <v>0.38585138559999999</v>
      </c>
      <c r="EF68" s="31">
        <v>28.590778309000001</v>
      </c>
      <c r="EG68" s="30">
        <v>0.21363991099999999</v>
      </c>
      <c r="EH68" s="31">
        <v>15.385449176</v>
      </c>
      <c r="EI68" s="30">
        <v>0.1199535087</v>
      </c>
      <c r="EJ68" s="31">
        <v>8.4909755151000006</v>
      </c>
      <c r="EK68" s="30">
        <v>7.0011919300000003E-2</v>
      </c>
      <c r="EL68" s="31">
        <v>4.863314591</v>
      </c>
      <c r="EM68" s="30">
        <v>4.3116417400000003E-2</v>
      </c>
      <c r="EN68" s="31">
        <v>2.9144137114999999</v>
      </c>
      <c r="EO68" s="30">
        <v>2.8265328700000002E-2</v>
      </c>
      <c r="EP68" s="31">
        <v>1.8351008904999999</v>
      </c>
      <c r="EQ68" s="30">
        <v>1.97589832E-2</v>
      </c>
      <c r="ER68" s="31">
        <v>1.210296737</v>
      </c>
      <c r="ES68" s="30">
        <v>1.4607350999999999E-2</v>
      </c>
      <c r="ET68" s="31">
        <v>0.83571838870000004</v>
      </c>
      <c r="EU68" s="36">
        <v>1.1343832099999999E-2</v>
      </c>
      <c r="EV68" s="31"/>
      <c r="EW68" s="30"/>
      <c r="EX68" s="31"/>
      <c r="EY68" s="30"/>
      <c r="EZ68" s="31"/>
      <c r="FA68" s="30"/>
      <c r="FB68" s="31"/>
      <c r="FC68" s="30"/>
      <c r="FD68" s="31"/>
      <c r="FE68" s="36"/>
    </row>
    <row r="69" spans="1:161" x14ac:dyDescent="0.2">
      <c r="A69" s="12">
        <v>6400</v>
      </c>
      <c r="B69" s="2">
        <v>10528</v>
      </c>
      <c r="C69" s="15">
        <f t="shared" si="0"/>
        <v>2.7087253219248517E-3</v>
      </c>
      <c r="D69" s="15">
        <f t="shared" si="5"/>
        <v>0.80305807061467815</v>
      </c>
      <c r="E69" s="15">
        <f t="shared" si="8"/>
        <v>823.23916759159601</v>
      </c>
      <c r="F69" s="26">
        <v>2634.7280323</v>
      </c>
      <c r="G69" s="4">
        <v>6349.5611363999997</v>
      </c>
      <c r="H69" s="41">
        <f t="shared" si="6"/>
        <v>0.33953353574668943</v>
      </c>
      <c r="I69" s="4">
        <f t="shared" si="1"/>
        <v>488.93717824519996</v>
      </c>
      <c r="J69" s="4">
        <f>(I69*SUM($B$5:$B69)-I68*SUM($B$5:$B68))/$B69</f>
        <v>2155.8889430816594</v>
      </c>
      <c r="K69" s="4">
        <f t="shared" si="2"/>
        <v>1601.5869679286004</v>
      </c>
      <c r="L69" s="4">
        <f>(K69*SUM(B$5:B69)-K68*SUM(B$5:B68))/B69</f>
        <v>6571.9946573084972</v>
      </c>
      <c r="M69" s="41">
        <f t="shared" si="7"/>
        <v>3.5031322028440261E-2</v>
      </c>
      <c r="N69" s="4">
        <v>118.57084369</v>
      </c>
      <c r="O69" s="28">
        <v>0.1038589501</v>
      </c>
      <c r="P69" s="26">
        <v>10.545403278</v>
      </c>
      <c r="Q69" s="28">
        <v>4.233077E-3</v>
      </c>
      <c r="R69" s="4">
        <v>182.64601264999999</v>
      </c>
      <c r="S69" s="28">
        <v>1.2185596798</v>
      </c>
      <c r="T69" s="4">
        <v>108.9451794</v>
      </c>
      <c r="U69" s="28">
        <v>0.68440190280000002</v>
      </c>
      <c r="V69" s="4">
        <v>33.512791169000003</v>
      </c>
      <c r="W69" s="28">
        <v>0.26419069020000002</v>
      </c>
      <c r="X69" s="29" t="s">
        <v>136</v>
      </c>
      <c r="Y69" s="30">
        <v>0</v>
      </c>
      <c r="Z69" s="4">
        <v>51.461586988000001</v>
      </c>
      <c r="AA69" s="28">
        <v>8.0740986099999995E-2</v>
      </c>
      <c r="AB69" s="29" t="s">
        <v>136</v>
      </c>
      <c r="AC69" s="30">
        <v>0</v>
      </c>
      <c r="AD69" s="29" t="s">
        <v>136</v>
      </c>
      <c r="AE69" s="30">
        <v>0</v>
      </c>
      <c r="AF69" s="4">
        <v>0.88820490740000002</v>
      </c>
      <c r="AG69" s="28">
        <v>8.8451828999999999E-3</v>
      </c>
      <c r="AH69" s="4">
        <v>55.404042920000002</v>
      </c>
      <c r="AI69" s="28">
        <v>1.2137188618999999</v>
      </c>
      <c r="AJ69" s="29" t="s">
        <v>136</v>
      </c>
      <c r="AK69" s="30">
        <v>0</v>
      </c>
      <c r="AL69" s="4">
        <v>1.071624E-3</v>
      </c>
      <c r="AM69" s="28">
        <v>5.2176916000000001E-6</v>
      </c>
      <c r="AN69" s="29" t="s">
        <v>136</v>
      </c>
      <c r="AO69" s="30">
        <v>0</v>
      </c>
      <c r="AP69" s="29" t="s">
        <v>136</v>
      </c>
      <c r="AQ69" s="30">
        <v>0</v>
      </c>
      <c r="AR69" s="4">
        <f t="shared" si="3"/>
        <v>1.071624E-3</v>
      </c>
      <c r="AS69" s="28">
        <f t="shared" si="3"/>
        <v>5.2176916000000001E-6</v>
      </c>
      <c r="AT69" s="4">
        <v>145.45257082000001</v>
      </c>
      <c r="AU69" s="28">
        <v>1.8149481397</v>
      </c>
      <c r="AV69" s="29" t="s">
        <v>136</v>
      </c>
      <c r="AW69" s="30">
        <v>0</v>
      </c>
      <c r="AX69" s="29" t="s">
        <v>136</v>
      </c>
      <c r="AY69" s="30">
        <v>0</v>
      </c>
      <c r="AZ69" s="29" t="s">
        <v>136</v>
      </c>
      <c r="BA69" s="30">
        <v>0</v>
      </c>
      <c r="BB69" s="4">
        <v>90.461019673999999</v>
      </c>
      <c r="BC69" s="28">
        <v>2.8074362267000001</v>
      </c>
      <c r="BD69" s="4">
        <v>82.621320218999998</v>
      </c>
      <c r="BE69" s="28">
        <v>0.59104970729999995</v>
      </c>
      <c r="BF69" s="4">
        <v>37.238768135999997</v>
      </c>
      <c r="BG69" s="28">
        <v>0.36295113490000003</v>
      </c>
      <c r="BH69" s="4">
        <v>12.023706681</v>
      </c>
      <c r="BI69" s="28">
        <v>9.7789589699999999E-2</v>
      </c>
      <c r="BJ69" s="31">
        <f t="shared" si="4"/>
        <v>33.358845402</v>
      </c>
      <c r="BK69" s="30">
        <f t="shared" si="4"/>
        <v>0.13030898269999991</v>
      </c>
      <c r="BL69" s="4">
        <v>0</v>
      </c>
      <c r="BM69" s="30">
        <v>0</v>
      </c>
      <c r="BN69" s="4">
        <v>232.13867071999999</v>
      </c>
      <c r="BO69" s="28">
        <v>2.2105731192000002</v>
      </c>
      <c r="BP69" s="28">
        <v>8.8999614999999994E-3</v>
      </c>
      <c r="BQ69" s="28">
        <v>6.8562281000000004E-6</v>
      </c>
      <c r="BR69" s="4">
        <v>151.12958846999999</v>
      </c>
      <c r="BS69" s="28">
        <v>4.6027830284000002</v>
      </c>
      <c r="BT69" s="4">
        <v>278.75756418999998</v>
      </c>
      <c r="BU69" s="28">
        <v>1.8901299146999999</v>
      </c>
      <c r="BV69" s="4">
        <v>58.501301365000003</v>
      </c>
      <c r="BW69" s="28">
        <v>0.25196804010000001</v>
      </c>
      <c r="BX69" s="4">
        <v>0.5487242202</v>
      </c>
      <c r="BY69" s="28">
        <v>1.5775492E-3</v>
      </c>
      <c r="BZ69" s="4">
        <v>0</v>
      </c>
      <c r="CA69" s="33">
        <v>0</v>
      </c>
      <c r="CB69" s="29" t="s">
        <v>136</v>
      </c>
      <c r="CC69" s="30">
        <v>0</v>
      </c>
      <c r="CD69" s="4">
        <v>0.77839444400000002</v>
      </c>
      <c r="CE69" s="28">
        <v>1.00541142E-2</v>
      </c>
      <c r="CF69" s="4">
        <v>32.734396725000003</v>
      </c>
      <c r="CG69" s="28">
        <v>0.254136576</v>
      </c>
      <c r="CH69" s="29" t="s">
        <v>136</v>
      </c>
      <c r="CI69" s="30">
        <v>0</v>
      </c>
      <c r="CJ69" s="29" t="s">
        <v>136</v>
      </c>
      <c r="CK69" s="30">
        <v>0</v>
      </c>
      <c r="CL69" s="4">
        <v>26.397048468000001</v>
      </c>
      <c r="CM69" s="28">
        <v>2.4348788600000001E-2</v>
      </c>
      <c r="CN69" s="4">
        <v>25.064538519999999</v>
      </c>
      <c r="CO69" s="28">
        <v>5.6392197499999998E-2</v>
      </c>
      <c r="CP69" s="29" t="s">
        <v>136</v>
      </c>
      <c r="CQ69" s="30">
        <v>0</v>
      </c>
      <c r="CR69" s="29" t="s">
        <v>136</v>
      </c>
      <c r="CS69" s="30">
        <v>0</v>
      </c>
      <c r="CT69" s="29" t="s">
        <v>136</v>
      </c>
      <c r="CU69" s="30">
        <v>0</v>
      </c>
      <c r="CV69" s="29" t="s">
        <v>136</v>
      </c>
      <c r="CW69" s="30">
        <v>0</v>
      </c>
      <c r="CX69" s="4">
        <v>0.27784798379999998</v>
      </c>
      <c r="CY69" s="28">
        <v>2.9344428000000001E-3</v>
      </c>
      <c r="CZ69" s="4">
        <v>0.61035692370000005</v>
      </c>
      <c r="DA69" s="28">
        <v>5.9107400999999999E-3</v>
      </c>
      <c r="DB69" s="4">
        <v>5.4972529517000002</v>
      </c>
      <c r="DC69" s="28">
        <v>5.9373224699999998E-2</v>
      </c>
      <c r="DD69" s="4">
        <v>49.906789967999998</v>
      </c>
      <c r="DE69" s="28">
        <v>1.1543456372000001</v>
      </c>
      <c r="DF69" s="29" t="s">
        <v>136</v>
      </c>
      <c r="DG69" s="30">
        <v>0</v>
      </c>
      <c r="DH69" s="29" t="s">
        <v>136</v>
      </c>
      <c r="DI69" s="30">
        <v>0</v>
      </c>
      <c r="DJ69" s="4">
        <v>29.232823314000001</v>
      </c>
      <c r="DK69" s="28">
        <v>0.50193611299999996</v>
      </c>
      <c r="DL69" s="4">
        <v>61.228196359999998</v>
      </c>
      <c r="DM69" s="28">
        <v>2.3055001137</v>
      </c>
      <c r="DN69" s="4">
        <v>48.485158667999997</v>
      </c>
      <c r="DO69" s="28">
        <v>0.79863064530000005</v>
      </c>
      <c r="DP69" s="4">
        <v>183.65351204999999</v>
      </c>
      <c r="DQ69" s="28">
        <v>1.4119424739999999</v>
      </c>
      <c r="DR69" s="37">
        <v>4.1774003999999997E-3</v>
      </c>
      <c r="DS69" s="38">
        <v>7.3406354999999996E-3</v>
      </c>
      <c r="DT69" s="38">
        <v>8.3176773999999992E-3</v>
      </c>
      <c r="DU69" s="38">
        <v>8.5706154000000003E-3</v>
      </c>
      <c r="DV69" s="38">
        <v>8.6248942000000002E-3</v>
      </c>
      <c r="DW69" s="38">
        <v>8.6557011999999992E-3</v>
      </c>
      <c r="DX69" s="38">
        <v>8.6724960999999996E-3</v>
      </c>
      <c r="DY69" s="38">
        <v>8.6854163999999998E-3</v>
      </c>
      <c r="DZ69" s="38">
        <v>8.6951259999999992E-3</v>
      </c>
      <c r="EA69" s="39">
        <v>8.7031425000000003E-3</v>
      </c>
      <c r="EB69" s="40">
        <v>100.05460891</v>
      </c>
      <c r="EC69" s="30">
        <v>0.69794326340000001</v>
      </c>
      <c r="ED69" s="31">
        <v>53.854278596</v>
      </c>
      <c r="EE69" s="30">
        <v>0.38866940729999999</v>
      </c>
      <c r="EF69" s="31">
        <v>28.871018356</v>
      </c>
      <c r="EG69" s="30">
        <v>0.2156384385</v>
      </c>
      <c r="EH69" s="31">
        <v>15.572875843</v>
      </c>
      <c r="EI69" s="30">
        <v>0.1213262624</v>
      </c>
      <c r="EJ69" s="31">
        <v>8.6166125199000003</v>
      </c>
      <c r="EK69" s="30">
        <v>7.09604603E-2</v>
      </c>
      <c r="EL69" s="31">
        <v>4.9479169401999998</v>
      </c>
      <c r="EM69" s="30">
        <v>4.3781608499999999E-2</v>
      </c>
      <c r="EN69" s="31">
        <v>2.9719907123999998</v>
      </c>
      <c r="EO69" s="30">
        <v>2.8742775500000001E-2</v>
      </c>
      <c r="EP69" s="31">
        <v>1.8750711808</v>
      </c>
      <c r="EQ69" s="30">
        <v>2.01140912E-2</v>
      </c>
      <c r="ER69" s="31">
        <v>1.2384748725000001</v>
      </c>
      <c r="ES69" s="30">
        <v>1.4879112999999999E-2</v>
      </c>
      <c r="ET69" s="31">
        <v>0.8565414616</v>
      </c>
      <c r="EU69" s="36">
        <v>1.15603136E-2</v>
      </c>
      <c r="EV69" s="31"/>
      <c r="EW69" s="30"/>
      <c r="EX69" s="31"/>
      <c r="EY69" s="30"/>
      <c r="EZ69" s="31"/>
      <c r="FA69" s="30"/>
      <c r="FB69" s="31"/>
      <c r="FC69" s="30"/>
      <c r="FD69" s="31"/>
      <c r="FE69" s="36"/>
    </row>
    <row r="70" spans="1:161" x14ac:dyDescent="0.2">
      <c r="A70" s="12">
        <v>6500</v>
      </c>
      <c r="B70" s="2">
        <v>10629</v>
      </c>
      <c r="C70" s="15">
        <f t="shared" ref="C70:C88" si="9">B70/SUM(B$5:B$88)</f>
        <v>2.7347113836188497E-3</v>
      </c>
      <c r="D70" s="15">
        <f t="shared" si="5"/>
        <v>0.80579278199829696</v>
      </c>
      <c r="E70" s="15">
        <f t="shared" si="8"/>
        <v>831.52652023989936</v>
      </c>
      <c r="F70" s="26">
        <v>2656.3105494000001</v>
      </c>
      <c r="G70" s="4">
        <v>6449.8851083</v>
      </c>
      <c r="H70" s="41">
        <f t="shared" si="6"/>
        <v>0.33101431825943434</v>
      </c>
      <c r="I70" s="4">
        <f t="shared" ref="I70:I88" si="10">BR70+BT70+BV70+BX70</f>
        <v>494.52362510440003</v>
      </c>
      <c r="J70" s="4">
        <f>(I70*SUM($B$5:$B70)-I69*SUM($B$5:$B69))/$B70</f>
        <v>2135.0043219756021</v>
      </c>
      <c r="K70" s="4">
        <f t="shared" ref="K70:K88" si="11">N70+P70+R70+T70+V70+Z70+AF70+AH70+AL70+AR70+AT70+BB70+BD70+BL70+BN70+BR70+BT70+BV70+BX70</f>
        <v>1618.7559465372999</v>
      </c>
      <c r="L70" s="4">
        <f>(K70*SUM(B$5:B70)-K69*SUM(B$5:B69))/B70</f>
        <v>6660.4897538108044</v>
      </c>
      <c r="M70" s="41">
        <f t="shared" si="7"/>
        <v>3.2652464652399613E-2</v>
      </c>
      <c r="N70" s="4">
        <v>120.16512765</v>
      </c>
      <c r="O70" s="28">
        <v>0.1045879936</v>
      </c>
      <c r="P70" s="26">
        <v>10.787810675999999</v>
      </c>
      <c r="Q70" s="28">
        <v>4.2954055999999997E-3</v>
      </c>
      <c r="R70" s="4">
        <v>183.29277891000001</v>
      </c>
      <c r="S70" s="28">
        <v>1.2229310426</v>
      </c>
      <c r="T70" s="4">
        <v>109.72891964999999</v>
      </c>
      <c r="U70" s="28">
        <v>0.68920469620000002</v>
      </c>
      <c r="V70" s="4">
        <v>33.881429357999998</v>
      </c>
      <c r="W70" s="28">
        <v>0.26690433949999998</v>
      </c>
      <c r="X70" s="29" t="s">
        <v>136</v>
      </c>
      <c r="Y70" s="30">
        <v>0</v>
      </c>
      <c r="Z70" s="4">
        <v>52.428620576</v>
      </c>
      <c r="AA70" s="28">
        <v>8.2005848000000006E-2</v>
      </c>
      <c r="AB70" s="29" t="s">
        <v>136</v>
      </c>
      <c r="AC70" s="30">
        <v>0</v>
      </c>
      <c r="AD70" s="29" t="s">
        <v>136</v>
      </c>
      <c r="AE70" s="30">
        <v>0</v>
      </c>
      <c r="AF70" s="4">
        <v>0.91088142989999998</v>
      </c>
      <c r="AG70" s="28">
        <v>9.0772952999999997E-3</v>
      </c>
      <c r="AH70" s="4">
        <v>56.107278172000001</v>
      </c>
      <c r="AI70" s="28">
        <v>1.2274955523</v>
      </c>
      <c r="AJ70" s="29" t="s">
        <v>136</v>
      </c>
      <c r="AK70" s="30">
        <v>0</v>
      </c>
      <c r="AL70" s="4">
        <v>1.0690795000000001E-3</v>
      </c>
      <c r="AM70" s="28">
        <v>5.2050188999999997E-6</v>
      </c>
      <c r="AN70" s="29" t="s">
        <v>136</v>
      </c>
      <c r="AO70" s="30">
        <v>0</v>
      </c>
      <c r="AP70" s="29" t="s">
        <v>136</v>
      </c>
      <c r="AQ70" s="30">
        <v>0</v>
      </c>
      <c r="AR70" s="4">
        <f t="shared" ref="AR70:AS88" si="12">AL70</f>
        <v>1.0690795000000001E-3</v>
      </c>
      <c r="AS70" s="28">
        <f t="shared" si="12"/>
        <v>5.2050188999999997E-6</v>
      </c>
      <c r="AT70" s="4">
        <v>146.40303412</v>
      </c>
      <c r="AU70" s="28">
        <v>1.8220813576999999</v>
      </c>
      <c r="AV70" s="29" t="s">
        <v>136</v>
      </c>
      <c r="AW70" s="30">
        <v>0</v>
      </c>
      <c r="AX70" s="29" t="s">
        <v>136</v>
      </c>
      <c r="AY70" s="30">
        <v>0</v>
      </c>
      <c r="AZ70" s="29" t="s">
        <v>136</v>
      </c>
      <c r="BA70" s="30">
        <v>0</v>
      </c>
      <c r="BB70" s="4">
        <v>91.217242450000001</v>
      </c>
      <c r="BC70" s="28">
        <v>2.8235513490000002</v>
      </c>
      <c r="BD70" s="4">
        <v>83.502937341999996</v>
      </c>
      <c r="BE70" s="28">
        <v>0.59566744940000005</v>
      </c>
      <c r="BF70" s="4">
        <v>37.629773167000003</v>
      </c>
      <c r="BG70" s="28">
        <v>0.36585485919999999</v>
      </c>
      <c r="BH70" s="4">
        <v>12.107680035</v>
      </c>
      <c r="BI70" s="28">
        <v>9.8317676399999998E-2</v>
      </c>
      <c r="BJ70" s="31">
        <f t="shared" ref="BJ70:BK88" si="13">BD70-(BF70+BH70)</f>
        <v>33.765484139999991</v>
      </c>
      <c r="BK70" s="30">
        <f t="shared" si="13"/>
        <v>0.13149491380000006</v>
      </c>
      <c r="BL70" s="4">
        <v>0</v>
      </c>
      <c r="BM70" s="30">
        <v>0</v>
      </c>
      <c r="BN70" s="4">
        <v>235.80412294000001</v>
      </c>
      <c r="BO70" s="28">
        <v>2.2295978538000001</v>
      </c>
      <c r="BP70" s="28">
        <v>9.0506095000000009E-3</v>
      </c>
      <c r="BQ70" s="28">
        <v>6.8129304999999997E-6</v>
      </c>
      <c r="BR70" s="4">
        <v>151.98977167000001</v>
      </c>
      <c r="BS70" s="28">
        <v>4.6202840501000004</v>
      </c>
      <c r="BT70" s="4">
        <v>282.73426201000001</v>
      </c>
      <c r="BU70" s="28">
        <v>1.9134828869</v>
      </c>
      <c r="BV70" s="4">
        <v>59.230247175000002</v>
      </c>
      <c r="BW70" s="28">
        <v>0.25433918379999998</v>
      </c>
      <c r="BX70" s="4">
        <v>0.56934424939999995</v>
      </c>
      <c r="BY70" s="28">
        <v>1.5954449E-3</v>
      </c>
      <c r="BZ70" s="4">
        <v>0</v>
      </c>
      <c r="CA70" s="33">
        <v>0</v>
      </c>
      <c r="CB70" s="29" t="s">
        <v>136</v>
      </c>
      <c r="CC70" s="30">
        <v>0</v>
      </c>
      <c r="CD70" s="4">
        <v>0.78595619409999995</v>
      </c>
      <c r="CE70" s="28">
        <v>1.01513651E-2</v>
      </c>
      <c r="CF70" s="4">
        <v>33.095473163999998</v>
      </c>
      <c r="CG70" s="28">
        <v>0.2567529744</v>
      </c>
      <c r="CH70" s="29" t="s">
        <v>136</v>
      </c>
      <c r="CI70" s="30">
        <v>0</v>
      </c>
      <c r="CJ70" s="29" t="s">
        <v>136</v>
      </c>
      <c r="CK70" s="30">
        <v>0</v>
      </c>
      <c r="CL70" s="4">
        <v>26.969611684</v>
      </c>
      <c r="CM70" s="28">
        <v>2.4774473599999999E-2</v>
      </c>
      <c r="CN70" s="4">
        <v>25.459008892</v>
      </c>
      <c r="CO70" s="28">
        <v>5.7231374299999999E-2</v>
      </c>
      <c r="CP70" s="29" t="s">
        <v>136</v>
      </c>
      <c r="CQ70" s="30">
        <v>0</v>
      </c>
      <c r="CR70" s="29" t="s">
        <v>136</v>
      </c>
      <c r="CS70" s="30">
        <v>0</v>
      </c>
      <c r="CT70" s="29" t="s">
        <v>136</v>
      </c>
      <c r="CU70" s="30">
        <v>0</v>
      </c>
      <c r="CV70" s="29" t="s">
        <v>136</v>
      </c>
      <c r="CW70" s="30">
        <v>0</v>
      </c>
      <c r="CX70" s="4">
        <v>0.28644238459999999</v>
      </c>
      <c r="CY70" s="28">
        <v>3.0383723999999998E-3</v>
      </c>
      <c r="CZ70" s="4">
        <v>0.62443904520000004</v>
      </c>
      <c r="DA70" s="28">
        <v>6.0389229000000003E-3</v>
      </c>
      <c r="DB70" s="4">
        <v>5.5890216293000003</v>
      </c>
      <c r="DC70" s="28">
        <v>6.0397451099999999E-2</v>
      </c>
      <c r="DD70" s="4">
        <v>50.518256543</v>
      </c>
      <c r="DE70" s="28">
        <v>1.1670981011999999</v>
      </c>
      <c r="DF70" s="29" t="s">
        <v>136</v>
      </c>
      <c r="DG70" s="30">
        <v>0</v>
      </c>
      <c r="DH70" s="29" t="s">
        <v>136</v>
      </c>
      <c r="DI70" s="30">
        <v>0</v>
      </c>
      <c r="DJ70" s="4">
        <v>29.519795469999998</v>
      </c>
      <c r="DK70" s="28">
        <v>0.50577346199999995</v>
      </c>
      <c r="DL70" s="4">
        <v>61.697446980999999</v>
      </c>
      <c r="DM70" s="28">
        <v>2.3177778870000001</v>
      </c>
      <c r="DN70" s="4">
        <v>49.926920213999999</v>
      </c>
      <c r="DO70" s="28">
        <v>0.80758200540000002</v>
      </c>
      <c r="DP70" s="4">
        <v>185.87720272000001</v>
      </c>
      <c r="DQ70" s="28">
        <v>1.4220158484000001</v>
      </c>
      <c r="DR70" s="37">
        <v>4.2378140000000003E-3</v>
      </c>
      <c r="DS70" s="38">
        <v>7.4474781E-3</v>
      </c>
      <c r="DT70" s="38">
        <v>8.4480262E-3</v>
      </c>
      <c r="DU70" s="38">
        <v>8.7087569999999993E-3</v>
      </c>
      <c r="DV70" s="38">
        <v>8.7659399000000002E-3</v>
      </c>
      <c r="DW70" s="38">
        <v>8.7990141000000004E-3</v>
      </c>
      <c r="DX70" s="38">
        <v>8.8168251E-3</v>
      </c>
      <c r="DY70" s="38">
        <v>8.8301991E-3</v>
      </c>
      <c r="DZ70" s="38">
        <v>8.8403726999999998E-3</v>
      </c>
      <c r="EA70" s="39">
        <v>8.8488564000000006E-3</v>
      </c>
      <c r="EB70" s="40">
        <v>100.58723895999999</v>
      </c>
      <c r="EC70" s="30">
        <v>0.70159852599999994</v>
      </c>
      <c r="ED70" s="31">
        <v>54.248593689000003</v>
      </c>
      <c r="EE70" s="30">
        <v>0.3914501776</v>
      </c>
      <c r="EF70" s="31">
        <v>29.143942507999999</v>
      </c>
      <c r="EG70" s="30">
        <v>0.21761981129999999</v>
      </c>
      <c r="EH70" s="31">
        <v>15.756045341</v>
      </c>
      <c r="EI70" s="30">
        <v>0.12270458839999999</v>
      </c>
      <c r="EJ70" s="31">
        <v>8.7372719208999996</v>
      </c>
      <c r="EK70" s="30">
        <v>7.1907048099999996E-2</v>
      </c>
      <c r="EL70" s="31">
        <v>5.0266852224000003</v>
      </c>
      <c r="EM70" s="30">
        <v>4.4435409400000001E-2</v>
      </c>
      <c r="EN70" s="31">
        <v>3.0242994851999998</v>
      </c>
      <c r="EO70" s="30">
        <v>2.9206756399999999E-2</v>
      </c>
      <c r="EP70" s="31">
        <v>1.9108623152999999</v>
      </c>
      <c r="EQ70" s="30">
        <v>2.0458081199999999E-2</v>
      </c>
      <c r="ER70" s="31">
        <v>1.2634357661</v>
      </c>
      <c r="ES70" s="30">
        <v>1.51433287E-2</v>
      </c>
      <c r="ET70" s="31">
        <v>0.87441095810000002</v>
      </c>
      <c r="EU70" s="36">
        <v>1.1770768500000001E-2</v>
      </c>
      <c r="EV70" s="31"/>
      <c r="EW70" s="30"/>
      <c r="EX70" s="31"/>
      <c r="EY70" s="30"/>
      <c r="EZ70" s="31"/>
      <c r="FA70" s="30"/>
      <c r="FB70" s="31"/>
      <c r="FC70" s="30"/>
      <c r="FD70" s="31"/>
      <c r="FE70" s="36"/>
    </row>
    <row r="71" spans="1:161" x14ac:dyDescent="0.2">
      <c r="A71" s="12">
        <v>7500</v>
      </c>
      <c r="B71" s="2">
        <v>92600</v>
      </c>
      <c r="C71" s="15">
        <f t="shared" si="9"/>
        <v>2.3824844681823831E-2</v>
      </c>
      <c r="D71" s="15">
        <f t="shared" ref="D71:D88" si="14">D70+C71</f>
        <v>0.82961762668012073</v>
      </c>
      <c r="E71" s="15">
        <f t="shared" si="8"/>
        <v>909.19078719278195</v>
      </c>
      <c r="F71" s="26">
        <v>2857.3648324999999</v>
      </c>
      <c r="G71" s="4">
        <v>6982.1209214</v>
      </c>
      <c r="H71" s="41">
        <f t="shared" ref="H71:H88" si="15">J71/G71</f>
        <v>0.32362482430921713</v>
      </c>
      <c r="I71" s="4">
        <f t="shared" si="10"/>
        <v>545.21249073230001</v>
      </c>
      <c r="J71" s="4">
        <f>(I71*SUM($B$5:$B71)-I70*SUM($B$5:$B70))/$B71</f>
        <v>2259.5876564937844</v>
      </c>
      <c r="K71" s="4">
        <f t="shared" si="11"/>
        <v>1779.11915759</v>
      </c>
      <c r="L71" s="4">
        <f>(K71*SUM(B$5:B71)-K70*SUM(B$5:B70))/B71</f>
        <v>7202.848868739723</v>
      </c>
      <c r="M71" s="41">
        <f t="shared" ref="M71:M88" si="16">(L71-G71)/G71</f>
        <v>3.1613309168450253E-2</v>
      </c>
      <c r="N71" s="4">
        <v>135.11676112000001</v>
      </c>
      <c r="O71" s="28">
        <v>0.111122428</v>
      </c>
      <c r="P71" s="26">
        <v>13.750743697000001</v>
      </c>
      <c r="Q71" s="28">
        <v>4.9433293999999999E-3</v>
      </c>
      <c r="R71" s="4">
        <v>189.00644657000001</v>
      </c>
      <c r="S71" s="28">
        <v>1.2613887856999999</v>
      </c>
      <c r="T71" s="4">
        <v>116.57611316000001</v>
      </c>
      <c r="U71" s="28">
        <v>0.73201005630000004</v>
      </c>
      <c r="V71" s="4">
        <v>37.338141788000001</v>
      </c>
      <c r="W71" s="28">
        <v>0.29206588119999999</v>
      </c>
      <c r="X71" s="29" t="s">
        <v>136</v>
      </c>
      <c r="Y71" s="30">
        <v>0</v>
      </c>
      <c r="Z71" s="4">
        <v>61.769031832000003</v>
      </c>
      <c r="AA71" s="28">
        <v>9.4273488000000003E-2</v>
      </c>
      <c r="AB71" s="29" t="s">
        <v>136</v>
      </c>
      <c r="AC71" s="30">
        <v>0</v>
      </c>
      <c r="AD71" s="29" t="s">
        <v>136</v>
      </c>
      <c r="AE71" s="30">
        <v>0</v>
      </c>
      <c r="AF71" s="4">
        <v>1.0753835049</v>
      </c>
      <c r="AG71" s="28">
        <v>1.04800022E-2</v>
      </c>
      <c r="AH71" s="4">
        <v>62.992160450999997</v>
      </c>
      <c r="AI71" s="28">
        <v>1.3592339909</v>
      </c>
      <c r="AJ71" s="29" t="s">
        <v>136</v>
      </c>
      <c r="AK71" s="30">
        <v>0</v>
      </c>
      <c r="AL71" s="4">
        <v>1.4842854E-3</v>
      </c>
      <c r="AM71" s="28">
        <v>6.6150324999999999E-6</v>
      </c>
      <c r="AN71" s="29" t="s">
        <v>136</v>
      </c>
      <c r="AO71" s="30">
        <v>0</v>
      </c>
      <c r="AP71" s="29" t="s">
        <v>136</v>
      </c>
      <c r="AQ71" s="30">
        <v>0</v>
      </c>
      <c r="AR71" s="4">
        <f t="shared" si="12"/>
        <v>1.4842854E-3</v>
      </c>
      <c r="AS71" s="28">
        <f t="shared" si="12"/>
        <v>6.6150324999999999E-6</v>
      </c>
      <c r="AT71" s="4">
        <v>154.49445566</v>
      </c>
      <c r="AU71" s="28">
        <v>1.8847185122000001</v>
      </c>
      <c r="AV71" s="29" t="s">
        <v>136</v>
      </c>
      <c r="AW71" s="30">
        <v>0</v>
      </c>
      <c r="AX71" s="29" t="s">
        <v>136</v>
      </c>
      <c r="AY71" s="30">
        <v>0</v>
      </c>
      <c r="AZ71" s="29" t="s">
        <v>136</v>
      </c>
      <c r="BA71" s="30">
        <v>0</v>
      </c>
      <c r="BB71" s="4">
        <v>98.206676725999998</v>
      </c>
      <c r="BC71" s="28">
        <v>2.9716389507000001</v>
      </c>
      <c r="BD71" s="4">
        <v>91.686395278000006</v>
      </c>
      <c r="BE71" s="28">
        <v>0.63800129360000002</v>
      </c>
      <c r="BF71" s="4">
        <v>41.065115718999998</v>
      </c>
      <c r="BG71" s="28">
        <v>0.39216877680000001</v>
      </c>
      <c r="BH71" s="4">
        <v>12.908412738999999</v>
      </c>
      <c r="BI71" s="28">
        <v>0.1031233748</v>
      </c>
      <c r="BJ71" s="31">
        <f t="shared" si="13"/>
        <v>37.712866820000009</v>
      </c>
      <c r="BK71" s="30">
        <f t="shared" si="13"/>
        <v>0.14270914200000001</v>
      </c>
      <c r="BL71" s="4">
        <v>0</v>
      </c>
      <c r="BM71" s="30">
        <v>0</v>
      </c>
      <c r="BN71" s="4">
        <v>271.89138850000001</v>
      </c>
      <c r="BO71" s="28">
        <v>2.4053188938000001</v>
      </c>
      <c r="BP71" s="28">
        <v>1.05161908E-2</v>
      </c>
      <c r="BQ71" s="28">
        <v>7.8332743000000004E-6</v>
      </c>
      <c r="BR71" s="4">
        <v>159.09016553999999</v>
      </c>
      <c r="BS71" s="28">
        <v>4.7712578248000002</v>
      </c>
      <c r="BT71" s="4">
        <v>319.58396991000001</v>
      </c>
      <c r="BU71" s="28">
        <v>2.1294075008000002</v>
      </c>
      <c r="BV71" s="4">
        <v>65.736776595999999</v>
      </c>
      <c r="BW71" s="28">
        <v>0.27498787629999999</v>
      </c>
      <c r="BX71" s="4">
        <v>0.80157868629999995</v>
      </c>
      <c r="BY71" s="28">
        <v>1.8851022999999999E-3</v>
      </c>
      <c r="BZ71" s="4">
        <v>0</v>
      </c>
      <c r="CA71" s="33">
        <v>0</v>
      </c>
      <c r="CB71" s="29" t="s">
        <v>136</v>
      </c>
      <c r="CC71" s="30">
        <v>0</v>
      </c>
      <c r="CD71" s="4">
        <v>0.91919507430000003</v>
      </c>
      <c r="CE71" s="28">
        <v>1.13998663E-2</v>
      </c>
      <c r="CF71" s="4">
        <v>36.418946714</v>
      </c>
      <c r="CG71" s="28">
        <v>0.28066601489999998</v>
      </c>
      <c r="CH71" s="29" t="s">
        <v>136</v>
      </c>
      <c r="CI71" s="30">
        <v>0</v>
      </c>
      <c r="CJ71" s="29" t="s">
        <v>136</v>
      </c>
      <c r="CK71" s="30">
        <v>0</v>
      </c>
      <c r="CL71" s="4">
        <v>32.684445255999997</v>
      </c>
      <c r="CM71" s="28">
        <v>2.90005965E-2</v>
      </c>
      <c r="CN71" s="4">
        <v>29.084586577</v>
      </c>
      <c r="CO71" s="28">
        <v>6.5272891499999999E-2</v>
      </c>
      <c r="CP71" s="29" t="s">
        <v>136</v>
      </c>
      <c r="CQ71" s="30">
        <v>0</v>
      </c>
      <c r="CR71" s="29" t="s">
        <v>136</v>
      </c>
      <c r="CS71" s="30">
        <v>0</v>
      </c>
      <c r="CT71" s="29" t="s">
        <v>136</v>
      </c>
      <c r="CU71" s="30">
        <v>0</v>
      </c>
      <c r="CV71" s="29" t="s">
        <v>136</v>
      </c>
      <c r="CW71" s="30">
        <v>0</v>
      </c>
      <c r="CX71" s="4">
        <v>0.33905557219999999</v>
      </c>
      <c r="CY71" s="28">
        <v>3.447037E-3</v>
      </c>
      <c r="CZ71" s="4">
        <v>0.73632793269999997</v>
      </c>
      <c r="DA71" s="28">
        <v>7.0329651999999996E-3</v>
      </c>
      <c r="DB71" s="4">
        <v>6.6697513975999998</v>
      </c>
      <c r="DC71" s="28">
        <v>7.0187180399999993E-2</v>
      </c>
      <c r="DD71" s="4">
        <v>56.322409053999998</v>
      </c>
      <c r="DE71" s="28">
        <v>1.2890468103999999</v>
      </c>
      <c r="DF71" s="29" t="s">
        <v>136</v>
      </c>
      <c r="DG71" s="30">
        <v>0</v>
      </c>
      <c r="DH71" s="29" t="s">
        <v>136</v>
      </c>
      <c r="DI71" s="30">
        <v>0</v>
      </c>
      <c r="DJ71" s="4">
        <v>32.348995408</v>
      </c>
      <c r="DK71" s="28">
        <v>0.54415089100000003</v>
      </c>
      <c r="DL71" s="4">
        <v>65.857681318000004</v>
      </c>
      <c r="DM71" s="28">
        <v>2.4274880596999999</v>
      </c>
      <c r="DN71" s="4">
        <v>64.864659281000002</v>
      </c>
      <c r="DO71" s="28">
        <v>0.89263541469999996</v>
      </c>
      <c r="DP71" s="4">
        <v>207.02672921999999</v>
      </c>
      <c r="DQ71" s="28">
        <v>1.5126834790999999</v>
      </c>
      <c r="DR71" s="37">
        <v>4.8695283999999998E-3</v>
      </c>
      <c r="DS71" s="38">
        <v>8.5128553000000003E-3</v>
      </c>
      <c r="DT71" s="38">
        <v>9.7134157999999998E-3</v>
      </c>
      <c r="DU71" s="38">
        <v>1.00618714E-2</v>
      </c>
      <c r="DV71" s="38">
        <v>1.01486519E-2</v>
      </c>
      <c r="DW71" s="38">
        <v>1.0196288099999999E-2</v>
      </c>
      <c r="DX71" s="38">
        <v>1.0220088699999999E-2</v>
      </c>
      <c r="DY71" s="38">
        <v>1.0237228100000001E-2</v>
      </c>
      <c r="DZ71" s="38">
        <v>1.02494804E-2</v>
      </c>
      <c r="EA71" s="39">
        <v>1.0259910400000001E-2</v>
      </c>
      <c r="EB71" s="40">
        <v>105.34173927000001</v>
      </c>
      <c r="EC71" s="30">
        <v>0.73391879660000003</v>
      </c>
      <c r="ED71" s="31">
        <v>57.800801440999997</v>
      </c>
      <c r="EE71" s="30">
        <v>0.41612543029999999</v>
      </c>
      <c r="EF71" s="31">
        <v>31.627639692999999</v>
      </c>
      <c r="EG71" s="30">
        <v>0.23534770699999999</v>
      </c>
      <c r="EH71" s="31">
        <v>17.432422247000002</v>
      </c>
      <c r="EI71" s="30">
        <v>0.13506415939999999</v>
      </c>
      <c r="EJ71" s="31">
        <v>9.8555341666</v>
      </c>
      <c r="EK71" s="30">
        <v>8.0483398400000003E-2</v>
      </c>
      <c r="EL71" s="31">
        <v>5.7752733754000003</v>
      </c>
      <c r="EM71" s="30">
        <v>5.0464041600000002E-2</v>
      </c>
      <c r="EN71" s="31">
        <v>3.5324508251000002</v>
      </c>
      <c r="EO71" s="30">
        <v>3.35437424E-2</v>
      </c>
      <c r="EP71" s="31">
        <v>2.2653983767999999</v>
      </c>
      <c r="EQ71" s="30">
        <v>2.3691495E-2</v>
      </c>
      <c r="ER71" s="31">
        <v>1.5182438557</v>
      </c>
      <c r="ES71" s="30">
        <v>1.76357244E-2</v>
      </c>
      <c r="ET71" s="31">
        <v>1.0624641046000001</v>
      </c>
      <c r="EU71" s="36">
        <v>1.3745972400000001E-2</v>
      </c>
      <c r="EV71" s="31"/>
      <c r="EW71" s="30"/>
      <c r="EX71" s="31"/>
      <c r="EY71" s="30"/>
      <c r="EZ71" s="31"/>
      <c r="FA71" s="30"/>
      <c r="FB71" s="31"/>
      <c r="FC71" s="30"/>
      <c r="FD71" s="31"/>
      <c r="FE71" s="36"/>
    </row>
    <row r="72" spans="1:161" x14ac:dyDescent="0.2">
      <c r="A72" s="12">
        <v>10000</v>
      </c>
      <c r="B72" s="2">
        <v>163377</v>
      </c>
      <c r="C72" s="15">
        <f t="shared" si="9"/>
        <v>4.2034899023567301E-2</v>
      </c>
      <c r="D72" s="15">
        <f t="shared" si="14"/>
        <v>0.87165252570368801</v>
      </c>
      <c r="E72" s="15">
        <f t="shared" ref="E72:E88" si="17">C72/(1-C$5)*F72+E71</f>
        <v>1065.9108171356431</v>
      </c>
      <c r="F72" s="26">
        <v>3268.0524902000002</v>
      </c>
      <c r="G72" s="4">
        <v>8654.5769748000002</v>
      </c>
      <c r="H72" s="41">
        <f t="shared" si="15"/>
        <v>0.30754159791302699</v>
      </c>
      <c r="I72" s="4">
        <f t="shared" si="10"/>
        <v>647.27600371719996</v>
      </c>
      <c r="J72" s="4">
        <f>(I72*SUM($B$5:$B72)-I71*SUM($B$5:$B71))/$B72</f>
        <v>2661.6424320912834</v>
      </c>
      <c r="K72" s="4">
        <f t="shared" si="11"/>
        <v>2122.8844545918</v>
      </c>
      <c r="L72" s="4">
        <f>(K72*SUM(B$5:B72)-K71*SUM(B$5:B71))/B72</f>
        <v>8907.5742351887147</v>
      </c>
      <c r="M72" s="41">
        <f t="shared" si="16"/>
        <v>2.9232770258486383E-2</v>
      </c>
      <c r="N72" s="4">
        <v>166.89664826999999</v>
      </c>
      <c r="O72" s="28">
        <v>0.1236569049</v>
      </c>
      <c r="P72" s="26">
        <v>26.156515038999999</v>
      </c>
      <c r="Q72" s="28">
        <v>6.9576244000000001E-3</v>
      </c>
      <c r="R72" s="4">
        <v>199.28904237</v>
      </c>
      <c r="S72" s="28">
        <v>1.3309503573000001</v>
      </c>
      <c r="T72" s="4">
        <v>129.86955087999999</v>
      </c>
      <c r="U72" s="28">
        <v>0.81467325779999999</v>
      </c>
      <c r="V72" s="4">
        <v>43.982344667</v>
      </c>
      <c r="W72" s="28">
        <v>0.3397260251</v>
      </c>
      <c r="X72" s="29" t="s">
        <v>136</v>
      </c>
      <c r="Y72" s="30">
        <v>0</v>
      </c>
      <c r="Z72" s="4">
        <v>81.699257001000007</v>
      </c>
      <c r="AA72" s="28">
        <v>0.11969781710000001</v>
      </c>
      <c r="AB72" s="29" t="s">
        <v>136</v>
      </c>
      <c r="AC72" s="30">
        <v>0</v>
      </c>
      <c r="AD72" s="29" t="s">
        <v>136</v>
      </c>
      <c r="AE72" s="30">
        <v>0</v>
      </c>
      <c r="AF72" s="4">
        <v>1.4793123728999999</v>
      </c>
      <c r="AG72" s="28">
        <v>1.39641633E-2</v>
      </c>
      <c r="AH72" s="4">
        <v>76.753499227999995</v>
      </c>
      <c r="AI72" s="28">
        <v>1.6117206597</v>
      </c>
      <c r="AJ72" s="29" t="s">
        <v>136</v>
      </c>
      <c r="AK72" s="30">
        <v>0</v>
      </c>
      <c r="AL72" s="4">
        <v>1.8125003E-3</v>
      </c>
      <c r="AM72" s="28">
        <v>7.4745960000000003E-6</v>
      </c>
      <c r="AN72" s="29" t="s">
        <v>136</v>
      </c>
      <c r="AO72" s="30">
        <v>0</v>
      </c>
      <c r="AP72" s="29" t="s">
        <v>136</v>
      </c>
      <c r="AQ72" s="30">
        <v>0</v>
      </c>
      <c r="AR72" s="4">
        <f t="shared" si="12"/>
        <v>1.8125003E-3</v>
      </c>
      <c r="AS72" s="28">
        <f t="shared" si="12"/>
        <v>7.4745960000000003E-6</v>
      </c>
      <c r="AT72" s="4">
        <v>168.87409316</v>
      </c>
      <c r="AU72" s="28">
        <v>1.9972404508999999</v>
      </c>
      <c r="AV72" s="29" t="s">
        <v>136</v>
      </c>
      <c r="AW72" s="30">
        <v>0</v>
      </c>
      <c r="AX72" s="29" t="s">
        <v>136</v>
      </c>
      <c r="AY72" s="30">
        <v>0</v>
      </c>
      <c r="AZ72" s="29" t="s">
        <v>136</v>
      </c>
      <c r="BA72" s="30">
        <v>0</v>
      </c>
      <c r="BB72" s="4">
        <v>112.51083417</v>
      </c>
      <c r="BC72" s="28">
        <v>3.2625885841</v>
      </c>
      <c r="BD72" s="4">
        <v>108.72808937000001</v>
      </c>
      <c r="BE72" s="28">
        <v>0.72397868659999998</v>
      </c>
      <c r="BF72" s="4">
        <v>48.006336515000001</v>
      </c>
      <c r="BG72" s="28">
        <v>0.4452318126</v>
      </c>
      <c r="BH72" s="4">
        <v>14.398802659999999</v>
      </c>
      <c r="BI72" s="28">
        <v>0.1120783709</v>
      </c>
      <c r="BJ72" s="31">
        <f t="shared" si="13"/>
        <v>46.322950195000004</v>
      </c>
      <c r="BK72" s="30">
        <f t="shared" si="13"/>
        <v>0.16666850309999992</v>
      </c>
      <c r="BL72" s="4">
        <v>1.33097961E-2</v>
      </c>
      <c r="BM72" s="41">
        <v>6.6725251000000001E-6</v>
      </c>
      <c r="BN72" s="4">
        <v>359.35232954999998</v>
      </c>
      <c r="BO72" s="28">
        <v>2.7763221845000001</v>
      </c>
      <c r="BP72" s="28">
        <v>1.48589638E-2</v>
      </c>
      <c r="BQ72" s="28">
        <v>6.54416E-5</v>
      </c>
      <c r="BR72" s="4">
        <v>171.66915281999999</v>
      </c>
      <c r="BS72" s="28">
        <v>5.0422719480999998</v>
      </c>
      <c r="BT72" s="4">
        <v>394.86307677000002</v>
      </c>
      <c r="BU72" s="28">
        <v>2.5498925951000002</v>
      </c>
      <c r="BV72" s="4">
        <v>79.133636674000002</v>
      </c>
      <c r="BW72" s="28">
        <v>0.31498495520000003</v>
      </c>
      <c r="BX72" s="4">
        <v>1.6101374531999999</v>
      </c>
      <c r="BY72" s="28">
        <v>2.6406236000000001E-3</v>
      </c>
      <c r="BZ72" s="4">
        <v>0</v>
      </c>
      <c r="CA72" s="33">
        <v>0</v>
      </c>
      <c r="CB72" s="29" t="s">
        <v>136</v>
      </c>
      <c r="CC72" s="30">
        <v>0</v>
      </c>
      <c r="CD72" s="4">
        <v>1.1842195692999999</v>
      </c>
      <c r="CE72" s="28">
        <v>1.37726598E-2</v>
      </c>
      <c r="CF72" s="4">
        <v>42.798125098</v>
      </c>
      <c r="CG72" s="28">
        <v>0.32595336530000002</v>
      </c>
      <c r="CH72" s="29" t="s">
        <v>136</v>
      </c>
      <c r="CI72" s="30">
        <v>0</v>
      </c>
      <c r="CJ72" s="29" t="s">
        <v>136</v>
      </c>
      <c r="CK72" s="30">
        <v>0</v>
      </c>
      <c r="CL72" s="4">
        <v>45.195793448000003</v>
      </c>
      <c r="CM72" s="28">
        <v>3.7898161499999999E-2</v>
      </c>
      <c r="CN72" s="4">
        <v>36.503463553000003</v>
      </c>
      <c r="CO72" s="28">
        <v>8.1799655600000007E-2</v>
      </c>
      <c r="CP72" s="29" t="s">
        <v>136</v>
      </c>
      <c r="CQ72" s="30">
        <v>0</v>
      </c>
      <c r="CR72" s="29" t="s">
        <v>136</v>
      </c>
      <c r="CS72" s="30">
        <v>0</v>
      </c>
      <c r="CT72" s="29" t="s">
        <v>136</v>
      </c>
      <c r="CU72" s="30">
        <v>0</v>
      </c>
      <c r="CV72" s="29" t="s">
        <v>136</v>
      </c>
      <c r="CW72" s="30">
        <v>0</v>
      </c>
      <c r="CX72" s="4">
        <v>0.47506566779999998</v>
      </c>
      <c r="CY72" s="28">
        <v>4.5832531999999999E-3</v>
      </c>
      <c r="CZ72" s="4">
        <v>1.0042467050999999</v>
      </c>
      <c r="DA72" s="28">
        <v>9.3809101000000006E-3</v>
      </c>
      <c r="DB72" s="4">
        <v>9.0776716492999991</v>
      </c>
      <c r="DC72" s="28">
        <v>9.1750006699999997E-2</v>
      </c>
      <c r="DD72" s="4">
        <v>67.675827579</v>
      </c>
      <c r="DE72" s="28">
        <v>1.5199706529999999</v>
      </c>
      <c r="DF72" s="29" t="s">
        <v>136</v>
      </c>
      <c r="DG72" s="30">
        <v>0</v>
      </c>
      <c r="DH72" s="29" t="s">
        <v>136</v>
      </c>
      <c r="DI72" s="30">
        <v>0</v>
      </c>
      <c r="DJ72" s="4">
        <v>38.343129818999998</v>
      </c>
      <c r="DK72" s="28">
        <v>0.62288033970000001</v>
      </c>
      <c r="DL72" s="4">
        <v>74.167704349000005</v>
      </c>
      <c r="DM72" s="28">
        <v>2.6397082444</v>
      </c>
      <c r="DN72" s="4">
        <v>104.40626008</v>
      </c>
      <c r="DO72" s="28">
        <v>1.0820592197000001</v>
      </c>
      <c r="DP72" s="4">
        <v>254.94606947</v>
      </c>
      <c r="DQ72" s="28">
        <v>1.6942629648</v>
      </c>
      <c r="DR72" s="37">
        <v>6.8246579999999999E-3</v>
      </c>
      <c r="DS72" s="38">
        <v>1.17513823E-2</v>
      </c>
      <c r="DT72" s="38">
        <v>1.34859122E-2</v>
      </c>
      <c r="DU72" s="38">
        <v>1.4075265300000001E-2</v>
      </c>
      <c r="DV72" s="38">
        <v>1.4271918099999999E-2</v>
      </c>
      <c r="DW72" s="38">
        <v>1.43793017E-2</v>
      </c>
      <c r="DX72" s="38">
        <v>1.4436205000000001E-2</v>
      </c>
      <c r="DY72" s="38">
        <v>1.44729991E-2</v>
      </c>
      <c r="DZ72" s="38">
        <v>1.4498373700000001E-2</v>
      </c>
      <c r="EA72" s="39">
        <v>1.45200682E-2</v>
      </c>
      <c r="EB72" s="40">
        <v>114.07966061</v>
      </c>
      <c r="EC72" s="30">
        <v>0.79343925530000003</v>
      </c>
      <c r="ED72" s="31">
        <v>64.509779847999994</v>
      </c>
      <c r="EE72" s="30">
        <v>0.46273464209999998</v>
      </c>
      <c r="EF72" s="31">
        <v>36.448775929999996</v>
      </c>
      <c r="EG72" s="30">
        <v>0.26967839599999999</v>
      </c>
      <c r="EH72" s="31">
        <v>20.771679739</v>
      </c>
      <c r="EI72" s="30">
        <v>0.15956954800000001</v>
      </c>
      <c r="EJ72" s="31">
        <v>12.127078957</v>
      </c>
      <c r="EK72" s="30">
        <v>9.7785992200000005E-2</v>
      </c>
      <c r="EL72" s="31">
        <v>7.3247442750999996</v>
      </c>
      <c r="EM72" s="30">
        <v>6.2812200700000001E-2</v>
      </c>
      <c r="EN72" s="31">
        <v>4.6021425165999998</v>
      </c>
      <c r="EO72" s="30">
        <v>4.2527576099999999E-2</v>
      </c>
      <c r="EP72" s="31">
        <v>3.0202602511999999</v>
      </c>
      <c r="EQ72" s="30">
        <v>3.0417678900000002E-2</v>
      </c>
      <c r="ER72" s="31">
        <v>2.0633386158999998</v>
      </c>
      <c r="ES72" s="30">
        <v>2.2822753599999999E-2</v>
      </c>
      <c r="ET72" s="31">
        <v>1.4658255705000001</v>
      </c>
      <c r="EU72" s="36">
        <v>1.7862945099999999E-2</v>
      </c>
      <c r="EV72" s="31"/>
      <c r="EW72" s="30"/>
      <c r="EX72" s="31"/>
      <c r="EY72" s="30"/>
      <c r="EZ72" s="31"/>
      <c r="FA72" s="30"/>
      <c r="FB72" s="31"/>
      <c r="FC72" s="30"/>
      <c r="FD72" s="31"/>
      <c r="FE72" s="36"/>
    </row>
    <row r="73" spans="1:161" x14ac:dyDescent="0.2">
      <c r="A73" s="12">
        <v>15000</v>
      </c>
      <c r="B73" s="2">
        <v>184400</v>
      </c>
      <c r="C73" s="15">
        <f t="shared" si="9"/>
        <v>4.7443859172012035E-2</v>
      </c>
      <c r="D73" s="15">
        <f t="shared" si="14"/>
        <v>0.9190963848757</v>
      </c>
      <c r="E73" s="15">
        <f t="shared" si="17"/>
        <v>1273.5782678712599</v>
      </c>
      <c r="F73" s="26">
        <v>3836.7451205000002</v>
      </c>
      <c r="G73" s="4">
        <v>12213.66762</v>
      </c>
      <c r="H73" s="41">
        <f t="shared" si="15"/>
        <v>0.26263495594722547</v>
      </c>
      <c r="I73" s="4">
        <f t="shared" si="10"/>
        <v>779.44724081299989</v>
      </c>
      <c r="J73" s="4">
        <f>(I73*SUM($B$5:$B73)-I72*SUM($B$5:$B72))/$B73</f>
        <v>3207.7360573327542</v>
      </c>
      <c r="K73" s="4">
        <f t="shared" si="11"/>
        <v>2661.7198350845001</v>
      </c>
      <c r="L73" s="4">
        <f>(K73*SUM(B$5:B73)-K72*SUM(B$5:B72))/B73</f>
        <v>12561.361823357682</v>
      </c>
      <c r="M73" s="41">
        <f t="shared" si="16"/>
        <v>2.8467632669840211E-2</v>
      </c>
      <c r="N73" s="4">
        <v>211.51148425</v>
      </c>
      <c r="O73" s="28">
        <v>0.13922990099999999</v>
      </c>
      <c r="P73" s="26">
        <v>90.413178078000001</v>
      </c>
      <c r="Q73" s="28">
        <v>1.42193233E-2</v>
      </c>
      <c r="R73" s="4">
        <v>210.41725951000001</v>
      </c>
      <c r="S73" s="28">
        <v>1.4054930159000001</v>
      </c>
      <c r="T73" s="4">
        <v>146.49525642</v>
      </c>
      <c r="U73" s="28">
        <v>0.915772896</v>
      </c>
      <c r="V73" s="4">
        <v>51.909427409999999</v>
      </c>
      <c r="W73" s="28">
        <v>0.39575629490000003</v>
      </c>
      <c r="X73" s="29" t="s">
        <v>136</v>
      </c>
      <c r="Y73" s="30">
        <v>0</v>
      </c>
      <c r="Z73" s="4">
        <v>110.34357074</v>
      </c>
      <c r="AA73" s="28">
        <v>0.1553408272</v>
      </c>
      <c r="AB73" s="29" t="s">
        <v>136</v>
      </c>
      <c r="AC73" s="30">
        <v>0</v>
      </c>
      <c r="AD73" s="29" t="s">
        <v>136</v>
      </c>
      <c r="AE73" s="30">
        <v>0</v>
      </c>
      <c r="AF73" s="4">
        <v>1.9788425192000001</v>
      </c>
      <c r="AG73" s="28">
        <v>1.8195057899999999E-2</v>
      </c>
      <c r="AH73" s="4">
        <v>96.343530239000003</v>
      </c>
      <c r="AI73" s="28">
        <v>1.9439485911000001</v>
      </c>
      <c r="AJ73" s="29" t="s">
        <v>136</v>
      </c>
      <c r="AK73" s="30">
        <v>0</v>
      </c>
      <c r="AL73" s="4">
        <v>2.2768706000000001E-3</v>
      </c>
      <c r="AM73" s="28">
        <v>9.1756537000000003E-6</v>
      </c>
      <c r="AN73" s="29" t="s">
        <v>136</v>
      </c>
      <c r="AO73" s="30">
        <v>0</v>
      </c>
      <c r="AP73" s="29" t="s">
        <v>136</v>
      </c>
      <c r="AQ73" s="30">
        <v>0</v>
      </c>
      <c r="AR73" s="4">
        <f t="shared" si="12"/>
        <v>2.2768706000000001E-3</v>
      </c>
      <c r="AS73" s="28">
        <f t="shared" si="12"/>
        <v>9.1756537000000003E-6</v>
      </c>
      <c r="AT73" s="4">
        <v>184.18898948</v>
      </c>
      <c r="AU73" s="28">
        <v>2.1303601084000001</v>
      </c>
      <c r="AV73" s="29" t="s">
        <v>136</v>
      </c>
      <c r="AW73" s="30">
        <v>0</v>
      </c>
      <c r="AX73" s="29" t="s">
        <v>136</v>
      </c>
      <c r="AY73" s="30">
        <v>0</v>
      </c>
      <c r="AZ73" s="29" t="s">
        <v>136</v>
      </c>
      <c r="BA73" s="30">
        <v>0</v>
      </c>
      <c r="BB73" s="4">
        <v>131.72927547</v>
      </c>
      <c r="BC73" s="28">
        <v>3.6408388411999999</v>
      </c>
      <c r="BD73" s="4">
        <v>133.00995902</v>
      </c>
      <c r="BE73" s="28">
        <v>0.84421941820000002</v>
      </c>
      <c r="BF73" s="4">
        <v>57.548018904999999</v>
      </c>
      <c r="BG73" s="28">
        <v>0.5183553877</v>
      </c>
      <c r="BH73" s="4">
        <v>16.676367172999999</v>
      </c>
      <c r="BI73" s="28">
        <v>0.1251897833</v>
      </c>
      <c r="BJ73" s="31">
        <f t="shared" si="13"/>
        <v>58.785572942000002</v>
      </c>
      <c r="BK73" s="30">
        <f t="shared" si="13"/>
        <v>0.20067424720000004</v>
      </c>
      <c r="BL73" s="4">
        <v>2.64918141E-2</v>
      </c>
      <c r="BM73" s="41">
        <v>9.0534348999999995E-6</v>
      </c>
      <c r="BN73" s="4">
        <v>513.90077557999996</v>
      </c>
      <c r="BO73" s="28">
        <v>3.3221022665</v>
      </c>
      <c r="BP73" s="28">
        <v>3.1855991E-2</v>
      </c>
      <c r="BQ73" s="28">
        <v>7.2199299999999998E-5</v>
      </c>
      <c r="BR73" s="4">
        <v>185.78087635</v>
      </c>
      <c r="BS73" s="28">
        <v>5.3548162077999999</v>
      </c>
      <c r="BT73" s="4">
        <v>493.07419685000002</v>
      </c>
      <c r="BU73" s="28">
        <v>3.0562964844999998</v>
      </c>
      <c r="BV73" s="4">
        <v>96.194796187999998</v>
      </c>
      <c r="BW73" s="28">
        <v>0.36287324230000001</v>
      </c>
      <c r="BX73" s="4">
        <v>4.3973714250000002</v>
      </c>
      <c r="BY73" s="28">
        <v>4.4359717000000002E-3</v>
      </c>
      <c r="BZ73" s="4">
        <v>0</v>
      </c>
      <c r="CA73" s="33">
        <v>0</v>
      </c>
      <c r="CB73" s="29" t="s">
        <v>136</v>
      </c>
      <c r="CC73" s="30">
        <v>0</v>
      </c>
      <c r="CD73" s="4">
        <v>1.7175734783000001</v>
      </c>
      <c r="CE73" s="28">
        <v>1.7609145499999999E-2</v>
      </c>
      <c r="CF73" s="4">
        <v>50.191853932000001</v>
      </c>
      <c r="CG73" s="28">
        <v>0.37814714939999999</v>
      </c>
      <c r="CH73" s="29" t="s">
        <v>136</v>
      </c>
      <c r="CI73" s="30">
        <v>0</v>
      </c>
      <c r="CJ73" s="29" t="s">
        <v>136</v>
      </c>
      <c r="CK73" s="30">
        <v>0</v>
      </c>
      <c r="CL73" s="4">
        <v>63.600802827000003</v>
      </c>
      <c r="CM73" s="28">
        <v>5.04747584E-2</v>
      </c>
      <c r="CN73" s="4">
        <v>46.742767911999998</v>
      </c>
      <c r="CO73" s="28">
        <v>0.1048660688</v>
      </c>
      <c r="CP73" s="29" t="s">
        <v>136</v>
      </c>
      <c r="CQ73" s="30">
        <v>0</v>
      </c>
      <c r="CR73" s="29" t="s">
        <v>136</v>
      </c>
      <c r="CS73" s="30">
        <v>0</v>
      </c>
      <c r="CT73" s="29" t="s">
        <v>136</v>
      </c>
      <c r="CU73" s="30">
        <v>0</v>
      </c>
      <c r="CV73" s="29" t="s">
        <v>136</v>
      </c>
      <c r="CW73" s="30">
        <v>0</v>
      </c>
      <c r="CX73" s="4">
        <v>0.68014359800000002</v>
      </c>
      <c r="CY73" s="28">
        <v>6.1689023999999997E-3</v>
      </c>
      <c r="CZ73" s="4">
        <v>1.2986989212</v>
      </c>
      <c r="DA73" s="28">
        <v>1.20261556E-2</v>
      </c>
      <c r="DB73" s="4">
        <v>13.307033466</v>
      </c>
      <c r="DC73" s="28">
        <v>0.12612969169999999</v>
      </c>
      <c r="DD73" s="4">
        <v>83.036496772999996</v>
      </c>
      <c r="DE73" s="28">
        <v>1.8178188995</v>
      </c>
      <c r="DF73" s="29" t="s">
        <v>136</v>
      </c>
      <c r="DG73" s="30">
        <v>0</v>
      </c>
      <c r="DH73" s="29" t="s">
        <v>136</v>
      </c>
      <c r="DI73" s="30">
        <v>0</v>
      </c>
      <c r="DJ73" s="4">
        <v>46.945704452999998</v>
      </c>
      <c r="DK73" s="28">
        <v>0.73265986540000005</v>
      </c>
      <c r="DL73" s="4">
        <v>84.783571019999997</v>
      </c>
      <c r="DM73" s="28">
        <v>2.9081789758999999</v>
      </c>
      <c r="DN73" s="4">
        <v>181.57112677000001</v>
      </c>
      <c r="DO73" s="28">
        <v>1.3753234348000001</v>
      </c>
      <c r="DP73" s="4">
        <v>332.32964880999998</v>
      </c>
      <c r="DQ73" s="28">
        <v>1.9467788318000001</v>
      </c>
      <c r="DR73" s="37">
        <v>1.3818032100000001E-2</v>
      </c>
      <c r="DS73" s="38">
        <v>2.4072358799999999E-2</v>
      </c>
      <c r="DT73" s="38">
        <v>2.7912598899999998E-2</v>
      </c>
      <c r="DU73" s="38">
        <v>2.9345777E-2</v>
      </c>
      <c r="DV73" s="38">
        <v>2.9962391800000002E-2</v>
      </c>
      <c r="DW73" s="38">
        <v>3.03238633E-2</v>
      </c>
      <c r="DX73" s="38">
        <v>3.0542597300000002E-2</v>
      </c>
      <c r="DY73" s="38">
        <v>3.0695997900000001E-2</v>
      </c>
      <c r="DZ73" s="38">
        <v>3.0809591399999999E-2</v>
      </c>
      <c r="EA73" s="39">
        <v>3.0905801600000001E-2</v>
      </c>
      <c r="EB73" s="40">
        <v>123.77960418000001</v>
      </c>
      <c r="EC73" s="30">
        <v>0.85859789870000003</v>
      </c>
      <c r="ED73" s="31">
        <v>72.227068975999998</v>
      </c>
      <c r="EE73" s="30">
        <v>0.51528429019999999</v>
      </c>
      <c r="EF73" s="31">
        <v>42.210007455000003</v>
      </c>
      <c r="EG73" s="30">
        <v>0.30960832640000002</v>
      </c>
      <c r="EH73" s="31">
        <v>24.919305318999999</v>
      </c>
      <c r="EI73" s="30">
        <v>0.18890094130000001</v>
      </c>
      <c r="EJ73" s="31">
        <v>15.052523335</v>
      </c>
      <c r="EK73" s="30">
        <v>0.11897219959999999</v>
      </c>
      <c r="EL73" s="31">
        <v>9.3786826111000003</v>
      </c>
      <c r="EM73" s="30">
        <v>7.8120403099999999E-2</v>
      </c>
      <c r="EN73" s="31">
        <v>6.0530180640999998</v>
      </c>
      <c r="EO73" s="30">
        <v>5.3731150800000002E-2</v>
      </c>
      <c r="EP73" s="31">
        <v>4.0540533601000002</v>
      </c>
      <c r="EQ73" s="30">
        <v>3.87434875E-2</v>
      </c>
      <c r="ER73" s="31">
        <v>2.815524527</v>
      </c>
      <c r="ES73" s="30">
        <v>2.91680078E-2</v>
      </c>
      <c r="ET73" s="31">
        <v>2.0242731259000002</v>
      </c>
      <c r="EU73" s="36">
        <v>2.2812830400000001E-2</v>
      </c>
      <c r="EV73" s="31"/>
      <c r="EW73" s="30"/>
      <c r="EX73" s="31"/>
      <c r="EY73" s="30"/>
      <c r="EZ73" s="31"/>
      <c r="FA73" s="30"/>
      <c r="FB73" s="31"/>
      <c r="FC73" s="30"/>
      <c r="FD73" s="31"/>
      <c r="FE73" s="36"/>
    </row>
    <row r="74" spans="1:161" x14ac:dyDescent="0.2">
      <c r="A74" s="12">
        <v>20000</v>
      </c>
      <c r="B74" s="2">
        <v>98280</v>
      </c>
      <c r="C74" s="15">
        <f t="shared" si="9"/>
        <v>2.5286239042436782E-2</v>
      </c>
      <c r="D74" s="15">
        <f t="shared" si="14"/>
        <v>0.94438262391813677</v>
      </c>
      <c r="E74" s="15">
        <f t="shared" si="17"/>
        <v>1395.0886872037918</v>
      </c>
      <c r="F74" s="26">
        <v>4212.1497842999997</v>
      </c>
      <c r="G74" s="4">
        <v>17271.077359999999</v>
      </c>
      <c r="H74" s="41">
        <f t="shared" si="15"/>
        <v>0.21414625797265915</v>
      </c>
      <c r="I74" s="4">
        <f t="shared" si="10"/>
        <v>857.60707682089992</v>
      </c>
      <c r="J74" s="4">
        <f>(I74*SUM($B$5:$B74)-I73*SUM($B$5:$B73))/$B74</f>
        <v>3698.5365878003131</v>
      </c>
      <c r="K74" s="4">
        <f t="shared" si="11"/>
        <v>3064.7144999194002</v>
      </c>
      <c r="L74" s="4">
        <f>(K74*SUM(B$5:B74)-K73*SUM(B$5:B73))/B74</f>
        <v>17712.63975888498</v>
      </c>
      <c r="M74" s="41">
        <f t="shared" si="16"/>
        <v>2.5566581034929731E-2</v>
      </c>
      <c r="N74" s="4">
        <v>241.68862673000001</v>
      </c>
      <c r="O74" s="28">
        <v>0.14876360550000001</v>
      </c>
      <c r="P74" s="26">
        <v>174.04224995999999</v>
      </c>
      <c r="Q74" s="28">
        <v>2.1588529200000001E-2</v>
      </c>
      <c r="R74" s="4">
        <v>216.22516525</v>
      </c>
      <c r="S74" s="28">
        <v>1.4441207846999999</v>
      </c>
      <c r="T74" s="4">
        <v>156.28056923</v>
      </c>
      <c r="U74" s="28">
        <v>0.97315726010000003</v>
      </c>
      <c r="V74" s="4">
        <v>56.544033724999998</v>
      </c>
      <c r="W74" s="28">
        <v>0.42747658020000001</v>
      </c>
      <c r="X74" s="29" t="s">
        <v>136</v>
      </c>
      <c r="Y74" s="30">
        <v>0</v>
      </c>
      <c r="Z74" s="4">
        <v>128.79109990000001</v>
      </c>
      <c r="AA74" s="28">
        <v>0.17789148420000001</v>
      </c>
      <c r="AB74" s="29" t="s">
        <v>136</v>
      </c>
      <c r="AC74" s="30">
        <v>0</v>
      </c>
      <c r="AD74" s="29" t="s">
        <v>136</v>
      </c>
      <c r="AE74" s="30">
        <v>0</v>
      </c>
      <c r="AF74" s="4">
        <v>2.3789569302000002</v>
      </c>
      <c r="AG74" s="28">
        <v>2.1336963699999999E-2</v>
      </c>
      <c r="AH74" s="4">
        <v>109.22978088000001</v>
      </c>
      <c r="AI74" s="28">
        <v>2.1397027301999998</v>
      </c>
      <c r="AJ74" s="29" t="s">
        <v>136</v>
      </c>
      <c r="AK74" s="30">
        <v>0</v>
      </c>
      <c r="AL74" s="4">
        <v>2.4679553000000001E-3</v>
      </c>
      <c r="AM74" s="28">
        <v>9.8105811000000002E-6</v>
      </c>
      <c r="AN74" s="29" t="s">
        <v>136</v>
      </c>
      <c r="AO74" s="30">
        <v>0</v>
      </c>
      <c r="AP74" s="29" t="s">
        <v>136</v>
      </c>
      <c r="AQ74" s="30">
        <v>0</v>
      </c>
      <c r="AR74" s="4">
        <f t="shared" si="12"/>
        <v>2.4679553000000001E-3</v>
      </c>
      <c r="AS74" s="28">
        <f t="shared" si="12"/>
        <v>9.8105811000000002E-6</v>
      </c>
      <c r="AT74" s="4">
        <v>191.89290767</v>
      </c>
      <c r="AU74" s="28">
        <v>2.2070245281999998</v>
      </c>
      <c r="AV74" s="29" t="s">
        <v>136</v>
      </c>
      <c r="AW74" s="30">
        <v>0</v>
      </c>
      <c r="AX74" s="29" t="s">
        <v>136</v>
      </c>
      <c r="AY74" s="30">
        <v>0</v>
      </c>
      <c r="AZ74" s="29" t="s">
        <v>136</v>
      </c>
      <c r="BA74" s="30">
        <v>0</v>
      </c>
      <c r="BB74" s="4">
        <v>144.37433437999999</v>
      </c>
      <c r="BC74" s="28">
        <v>3.8827620453999998</v>
      </c>
      <c r="BD74" s="4">
        <v>150.25042121999999</v>
      </c>
      <c r="BE74" s="28">
        <v>0.92588254169999995</v>
      </c>
      <c r="BF74" s="4">
        <v>64.046272834999996</v>
      </c>
      <c r="BG74" s="28">
        <v>0.56687609890000001</v>
      </c>
      <c r="BH74" s="4">
        <v>18.465409635</v>
      </c>
      <c r="BI74" s="28">
        <v>0.13509955949999999</v>
      </c>
      <c r="BJ74" s="31">
        <f t="shared" si="13"/>
        <v>67.738738749999996</v>
      </c>
      <c r="BK74" s="30">
        <f t="shared" si="13"/>
        <v>0.22390688329999997</v>
      </c>
      <c r="BL74" s="4">
        <v>4.7693642699999997E-2</v>
      </c>
      <c r="BM74" s="41">
        <v>1.7020900000000002E-5</v>
      </c>
      <c r="BN74" s="4">
        <v>635.35664767000003</v>
      </c>
      <c r="BO74" s="28">
        <v>3.6890971148</v>
      </c>
      <c r="BP74" s="28">
        <v>5.1285879299999997E-2</v>
      </c>
      <c r="BQ74" s="28">
        <v>1.4732880000000001E-4</v>
      </c>
      <c r="BR74" s="4">
        <v>193.62523228000001</v>
      </c>
      <c r="BS74" s="28">
        <v>5.5340984644000004</v>
      </c>
      <c r="BT74" s="4">
        <v>549.01077026999997</v>
      </c>
      <c r="BU74" s="28">
        <v>3.3219665634000002</v>
      </c>
      <c r="BV74" s="4">
        <v>105.92779997</v>
      </c>
      <c r="BW74" s="28">
        <v>0.38897045019999998</v>
      </c>
      <c r="BX74" s="4">
        <v>9.0432743009000003</v>
      </c>
      <c r="BY74" s="28">
        <v>6.8940277000000003E-3</v>
      </c>
      <c r="BZ74" s="4">
        <v>0</v>
      </c>
      <c r="CA74" s="33">
        <v>0</v>
      </c>
      <c r="CB74" s="29" t="s">
        <v>136</v>
      </c>
      <c r="CC74" s="30">
        <v>0</v>
      </c>
      <c r="CD74" s="4">
        <v>2.2471836884999998</v>
      </c>
      <c r="CE74" s="28">
        <v>2.0557297400000001E-2</v>
      </c>
      <c r="CF74" s="4">
        <v>54.296850036000002</v>
      </c>
      <c r="CG74" s="28">
        <v>0.4069192828</v>
      </c>
      <c r="CH74" s="29" t="s">
        <v>136</v>
      </c>
      <c r="CI74" s="30">
        <v>0</v>
      </c>
      <c r="CJ74" s="29" t="s">
        <v>136</v>
      </c>
      <c r="CK74" s="30">
        <v>0</v>
      </c>
      <c r="CL74" s="4">
        <v>75.608079391999993</v>
      </c>
      <c r="CM74" s="28">
        <v>5.8345003499999999E-2</v>
      </c>
      <c r="CN74" s="4">
        <v>53.183020505999998</v>
      </c>
      <c r="CO74" s="28">
        <v>0.1195464807</v>
      </c>
      <c r="CP74" s="29" t="s">
        <v>136</v>
      </c>
      <c r="CQ74" s="30">
        <v>0</v>
      </c>
      <c r="CR74" s="29" t="s">
        <v>136</v>
      </c>
      <c r="CS74" s="30">
        <v>0</v>
      </c>
      <c r="CT74" s="29" t="s">
        <v>136</v>
      </c>
      <c r="CU74" s="30">
        <v>0</v>
      </c>
      <c r="CV74" s="29" t="s">
        <v>136</v>
      </c>
      <c r="CW74" s="30">
        <v>0</v>
      </c>
      <c r="CX74" s="4">
        <v>0.8801163957</v>
      </c>
      <c r="CY74" s="28">
        <v>7.5287017999999999E-3</v>
      </c>
      <c r="CZ74" s="4">
        <v>1.4988405345</v>
      </c>
      <c r="DA74" s="28">
        <v>1.3808261800000001E-2</v>
      </c>
      <c r="DB74" s="4">
        <v>16.951883697</v>
      </c>
      <c r="DC74" s="28">
        <v>0.1518342187</v>
      </c>
      <c r="DD74" s="4">
        <v>92.277897183999997</v>
      </c>
      <c r="DE74" s="28">
        <v>1.9878685115000001</v>
      </c>
      <c r="DF74" s="29" t="s">
        <v>136</v>
      </c>
      <c r="DG74" s="30">
        <v>0</v>
      </c>
      <c r="DH74" s="29" t="s">
        <v>136</v>
      </c>
      <c r="DI74" s="30">
        <v>0</v>
      </c>
      <c r="DJ74" s="4">
        <v>52.948238824999997</v>
      </c>
      <c r="DK74" s="28">
        <v>0.80646271260000002</v>
      </c>
      <c r="DL74" s="4">
        <v>91.426095556000007</v>
      </c>
      <c r="DM74" s="28">
        <v>3.0762993329000001</v>
      </c>
      <c r="DN74" s="4">
        <v>246.36910358</v>
      </c>
      <c r="DO74" s="28">
        <v>1.5811025856000001</v>
      </c>
      <c r="DP74" s="4">
        <v>388.98754408000002</v>
      </c>
      <c r="DQ74" s="28">
        <v>2.1079945292</v>
      </c>
      <c r="DR74" s="37">
        <v>2.0759474100000001E-2</v>
      </c>
      <c r="DS74" s="38">
        <v>3.6645951699999998E-2</v>
      </c>
      <c r="DT74" s="38">
        <v>4.36131004E-2</v>
      </c>
      <c r="DU74" s="38">
        <v>4.6333214099999999E-2</v>
      </c>
      <c r="DV74" s="38">
        <v>4.7563929099999999E-2</v>
      </c>
      <c r="DW74" s="38">
        <v>4.8298952300000003E-2</v>
      </c>
      <c r="DX74" s="38">
        <v>4.8753006600000003E-2</v>
      </c>
      <c r="DY74" s="38">
        <v>4.9074165000000003E-2</v>
      </c>
      <c r="DZ74" s="38">
        <v>4.9309354999999999E-2</v>
      </c>
      <c r="EA74" s="39">
        <v>4.9505315500000001E-2</v>
      </c>
      <c r="EB74" s="40">
        <v>128.93913074</v>
      </c>
      <c r="EC74" s="30">
        <v>0.8929613596</v>
      </c>
      <c r="ED74" s="31">
        <v>76.445355890000002</v>
      </c>
      <c r="EE74" s="30">
        <v>0.54368255200000004</v>
      </c>
      <c r="EF74" s="31">
        <v>45.472671380000001</v>
      </c>
      <c r="EG74" s="30">
        <v>0.33187748960000002</v>
      </c>
      <c r="EH74" s="31">
        <v>27.355822112999999</v>
      </c>
      <c r="EI74" s="30">
        <v>0.2057896599</v>
      </c>
      <c r="EJ74" s="31">
        <v>16.840513652999999</v>
      </c>
      <c r="EK74" s="30">
        <v>0.13158181729999999</v>
      </c>
      <c r="EL74" s="31">
        <v>10.680788517</v>
      </c>
      <c r="EM74" s="30">
        <v>8.7499421899999999E-2</v>
      </c>
      <c r="EN74" s="31">
        <v>6.9981552676999996</v>
      </c>
      <c r="EO74" s="30">
        <v>6.0713281600000002E-2</v>
      </c>
      <c r="EP74" s="31">
        <v>4.7446188895999999</v>
      </c>
      <c r="EQ74" s="30">
        <v>4.3994585400000001E-2</v>
      </c>
      <c r="ER74" s="31">
        <v>3.3248097044999998</v>
      </c>
      <c r="ES74" s="30">
        <v>3.3169067699999999E-2</v>
      </c>
      <c r="ET74" s="31">
        <v>2.4046931435999999</v>
      </c>
      <c r="EU74" s="36">
        <v>2.5915577400000001E-2</v>
      </c>
      <c r="EV74" s="31"/>
      <c r="EW74" s="30"/>
      <c r="EX74" s="31"/>
      <c r="EY74" s="30"/>
      <c r="EZ74" s="31"/>
      <c r="FA74" s="30"/>
      <c r="FB74" s="31"/>
      <c r="FC74" s="30"/>
      <c r="FD74" s="31"/>
      <c r="FE74" s="36"/>
    </row>
    <row r="75" spans="1:161" x14ac:dyDescent="0.2">
      <c r="A75" s="12">
        <v>25000</v>
      </c>
      <c r="B75" s="2">
        <v>57025</v>
      </c>
      <c r="C75" s="15">
        <f t="shared" si="9"/>
        <v>1.4671833347527041E-2</v>
      </c>
      <c r="D75" s="15">
        <f t="shared" si="14"/>
        <v>0.95905445726566385</v>
      </c>
      <c r="E75" s="15">
        <f t="shared" si="17"/>
        <v>1470.0518166118238</v>
      </c>
      <c r="F75" s="26">
        <v>4478.5543484999998</v>
      </c>
      <c r="G75" s="4">
        <v>22286.980856999999</v>
      </c>
      <c r="H75" s="41">
        <f t="shared" si="15"/>
        <v>0.19651580527579102</v>
      </c>
      <c r="I75" s="4">
        <f t="shared" si="10"/>
        <v>911.48952888600002</v>
      </c>
      <c r="J75" s="4">
        <f>(I75*SUM($B$5:$B75)-I74*SUM($B$5:$B74))/$B75</f>
        <v>4379.743990279494</v>
      </c>
      <c r="K75" s="4">
        <f t="shared" si="11"/>
        <v>3366.2916863205005</v>
      </c>
      <c r="L75" s="4">
        <f>(K75*SUM(B$5:B75)-K74*SUM(B$5:B74))/B75</f>
        <v>22777.925383436075</v>
      </c>
      <c r="M75" s="41">
        <f t="shared" si="16"/>
        <v>2.2028310141518268E-2</v>
      </c>
      <c r="N75" s="4">
        <v>262.95594598999998</v>
      </c>
      <c r="O75" s="28">
        <v>0.15518988119999999</v>
      </c>
      <c r="P75" s="26">
        <v>247.09460300000001</v>
      </c>
      <c r="Q75" s="28">
        <v>2.7085100300000001E-2</v>
      </c>
      <c r="R75" s="4">
        <v>219.81396165000001</v>
      </c>
      <c r="S75" s="28">
        <v>1.4675811717</v>
      </c>
      <c r="T75" s="4">
        <v>162.9317369</v>
      </c>
      <c r="U75" s="28">
        <v>1.0100965128999999</v>
      </c>
      <c r="V75" s="4">
        <v>59.419907569000003</v>
      </c>
      <c r="W75" s="28">
        <v>0.44664039560000002</v>
      </c>
      <c r="X75" s="29" t="s">
        <v>136</v>
      </c>
      <c r="Y75" s="30">
        <v>0</v>
      </c>
      <c r="Z75" s="4">
        <v>141.58994688999999</v>
      </c>
      <c r="AA75" s="28">
        <v>0.1933079935</v>
      </c>
      <c r="AB75" s="29" t="s">
        <v>136</v>
      </c>
      <c r="AC75" s="30">
        <v>0</v>
      </c>
      <c r="AD75" s="29" t="s">
        <v>136</v>
      </c>
      <c r="AE75" s="30">
        <v>0</v>
      </c>
      <c r="AF75" s="4">
        <v>2.6679630178</v>
      </c>
      <c r="AG75" s="28">
        <v>2.3459411999999999E-2</v>
      </c>
      <c r="AH75" s="4">
        <v>118.56482335</v>
      </c>
      <c r="AI75" s="28">
        <v>2.2677030773000002</v>
      </c>
      <c r="AJ75" s="29" t="s">
        <v>136</v>
      </c>
      <c r="AK75" s="30">
        <v>0</v>
      </c>
      <c r="AL75" s="4">
        <v>2.4898715E-3</v>
      </c>
      <c r="AM75" s="28">
        <v>9.9000790999999994E-6</v>
      </c>
      <c r="AN75" s="29" t="s">
        <v>136</v>
      </c>
      <c r="AO75" s="30">
        <v>0</v>
      </c>
      <c r="AP75" s="29" t="s">
        <v>136</v>
      </c>
      <c r="AQ75" s="30">
        <v>0</v>
      </c>
      <c r="AR75" s="4">
        <f t="shared" si="12"/>
        <v>2.4898715E-3</v>
      </c>
      <c r="AS75" s="28">
        <f t="shared" si="12"/>
        <v>9.9000790999999994E-6</v>
      </c>
      <c r="AT75" s="4">
        <v>196.58964417999999</v>
      </c>
      <c r="AU75" s="28">
        <v>2.2544116018999998</v>
      </c>
      <c r="AV75" s="29" t="s">
        <v>136</v>
      </c>
      <c r="AW75" s="30">
        <v>0</v>
      </c>
      <c r="AX75" s="29" t="s">
        <v>136</v>
      </c>
      <c r="AY75" s="30">
        <v>0</v>
      </c>
      <c r="AZ75" s="29" t="s">
        <v>136</v>
      </c>
      <c r="BA75" s="30">
        <v>0</v>
      </c>
      <c r="BB75" s="4">
        <v>153.40953052</v>
      </c>
      <c r="BC75" s="28">
        <v>4.0475001922000002</v>
      </c>
      <c r="BD75" s="4">
        <v>163.11838946</v>
      </c>
      <c r="BE75" s="28">
        <v>0.98367079950000003</v>
      </c>
      <c r="BF75" s="4">
        <v>68.729808761000001</v>
      </c>
      <c r="BG75" s="28">
        <v>0.6012773133</v>
      </c>
      <c r="BH75" s="4">
        <v>19.691802236000001</v>
      </c>
      <c r="BI75" s="28">
        <v>0.14177974700000001</v>
      </c>
      <c r="BJ75" s="31">
        <f t="shared" si="13"/>
        <v>74.696778463000001</v>
      </c>
      <c r="BK75" s="30">
        <f t="shared" si="13"/>
        <v>0.24061373920000007</v>
      </c>
      <c r="BL75" s="4">
        <v>7.2574034699999998E-2</v>
      </c>
      <c r="BM75" s="41">
        <v>2.3158899999999999E-5</v>
      </c>
      <c r="BN75" s="4">
        <v>726.56815113000005</v>
      </c>
      <c r="BO75" s="28">
        <v>3.9417516989000001</v>
      </c>
      <c r="BP75" s="28">
        <v>6.7647219800000005E-2</v>
      </c>
      <c r="BQ75" s="28">
        <v>1.9847469999999999E-4</v>
      </c>
      <c r="BR75" s="4">
        <v>198.81395763</v>
      </c>
      <c r="BS75" s="28">
        <v>5.6532912601999996</v>
      </c>
      <c r="BT75" s="4">
        <v>585.19122381</v>
      </c>
      <c r="BU75" s="28">
        <v>3.4806141964999999</v>
      </c>
      <c r="BV75" s="4">
        <v>112.32018724</v>
      </c>
      <c r="BW75" s="28">
        <v>0.40480157970000002</v>
      </c>
      <c r="BX75" s="4">
        <v>15.164160206</v>
      </c>
      <c r="BY75" s="28">
        <v>9.6632783999999992E-3</v>
      </c>
      <c r="BZ75" s="4">
        <v>0</v>
      </c>
      <c r="CA75" s="33">
        <v>0</v>
      </c>
      <c r="CB75" s="29" t="s">
        <v>136</v>
      </c>
      <c r="CC75" s="30">
        <v>0</v>
      </c>
      <c r="CD75" s="4">
        <v>2.6419858521999999</v>
      </c>
      <c r="CE75" s="28">
        <v>2.26300498E-2</v>
      </c>
      <c r="CF75" s="4">
        <v>56.777921716999998</v>
      </c>
      <c r="CG75" s="28">
        <v>0.42401034589999997</v>
      </c>
      <c r="CH75" s="29" t="s">
        <v>136</v>
      </c>
      <c r="CI75" s="30">
        <v>0</v>
      </c>
      <c r="CJ75" s="29" t="s">
        <v>136</v>
      </c>
      <c r="CK75" s="30">
        <v>0</v>
      </c>
      <c r="CL75" s="4">
        <v>84.097860272000005</v>
      </c>
      <c r="CM75" s="28">
        <v>6.3796022800000005E-2</v>
      </c>
      <c r="CN75" s="4">
        <v>57.492086618000002</v>
      </c>
      <c r="CO75" s="28">
        <v>0.12951197070000001</v>
      </c>
      <c r="CP75" s="29" t="s">
        <v>136</v>
      </c>
      <c r="CQ75" s="30">
        <v>0</v>
      </c>
      <c r="CR75" s="29" t="s">
        <v>136</v>
      </c>
      <c r="CS75" s="30">
        <v>0</v>
      </c>
      <c r="CT75" s="29" t="s">
        <v>136</v>
      </c>
      <c r="CU75" s="30">
        <v>0</v>
      </c>
      <c r="CV75" s="29" t="s">
        <v>136</v>
      </c>
      <c r="CW75" s="30">
        <v>0</v>
      </c>
      <c r="CX75" s="4">
        <v>1.0276563699000001</v>
      </c>
      <c r="CY75" s="28">
        <v>8.3942488999999999E-3</v>
      </c>
      <c r="CZ75" s="4">
        <v>1.6403066477999999</v>
      </c>
      <c r="DA75" s="28">
        <v>1.5065163100000001E-2</v>
      </c>
      <c r="DB75" s="4">
        <v>20.291234285000002</v>
      </c>
      <c r="DC75" s="28">
        <v>0.1729922257</v>
      </c>
      <c r="DD75" s="4">
        <v>98.273589060999996</v>
      </c>
      <c r="DE75" s="28">
        <v>2.0947108515999999</v>
      </c>
      <c r="DF75" s="29" t="s">
        <v>136</v>
      </c>
      <c r="DG75" s="30">
        <v>0</v>
      </c>
      <c r="DH75" s="29" t="s">
        <v>136</v>
      </c>
      <c r="DI75" s="30">
        <v>0</v>
      </c>
      <c r="DJ75" s="4">
        <v>57.398897306000002</v>
      </c>
      <c r="DK75" s="28">
        <v>0.85843543430000002</v>
      </c>
      <c r="DL75" s="4">
        <v>96.010633213999995</v>
      </c>
      <c r="DM75" s="28">
        <v>3.1890647579000002</v>
      </c>
      <c r="DN75" s="4">
        <v>297.25163020000002</v>
      </c>
      <c r="DO75" s="28">
        <v>1.7250373964000001</v>
      </c>
      <c r="DP75" s="4">
        <v>429.31652093000002</v>
      </c>
      <c r="DQ75" s="28">
        <v>2.2167143024999998</v>
      </c>
      <c r="DR75" s="37">
        <v>2.57566184E-2</v>
      </c>
      <c r="DS75" s="38">
        <v>4.5705763699999999E-2</v>
      </c>
      <c r="DT75" s="38">
        <v>5.5353187999999998E-2</v>
      </c>
      <c r="DU75" s="38">
        <v>5.95385893E-2</v>
      </c>
      <c r="DV75" s="38">
        <v>6.1519497499999999E-2</v>
      </c>
      <c r="DW75" s="38">
        <v>6.2727077899999997E-2</v>
      </c>
      <c r="DX75" s="38">
        <v>6.3487226199999997E-2</v>
      </c>
      <c r="DY75" s="38">
        <v>6.4013322900000003E-2</v>
      </c>
      <c r="DZ75" s="38">
        <v>6.4402109099999993E-2</v>
      </c>
      <c r="EA75" s="39">
        <v>6.471905E-2</v>
      </c>
      <c r="EB75" s="40">
        <v>132.14899645</v>
      </c>
      <c r="EC75" s="30">
        <v>0.9140180255</v>
      </c>
      <c r="ED75" s="31">
        <v>79.105375359000007</v>
      </c>
      <c r="EE75" s="30">
        <v>0.56132228539999995</v>
      </c>
      <c r="EF75" s="31">
        <v>47.562838266</v>
      </c>
      <c r="EG75" s="30">
        <v>0.34591571409999999</v>
      </c>
      <c r="EH75" s="31">
        <v>28.943132176999999</v>
      </c>
      <c r="EI75" s="30">
        <v>0.2165887158</v>
      </c>
      <c r="EJ75" s="31">
        <v>18.022368488000001</v>
      </c>
      <c r="EK75" s="30">
        <v>0.13973301730000001</v>
      </c>
      <c r="EL75" s="31">
        <v>11.555202719</v>
      </c>
      <c r="EM75" s="30">
        <v>9.3619339300000007E-2</v>
      </c>
      <c r="EN75" s="31">
        <v>7.6435710025999999</v>
      </c>
      <c r="EO75" s="30">
        <v>6.5306027099999997E-2</v>
      </c>
      <c r="EP75" s="31">
        <v>5.2230273863000001</v>
      </c>
      <c r="EQ75" s="30">
        <v>4.7475909300000001E-2</v>
      </c>
      <c r="ER75" s="31">
        <v>3.6837873922000002</v>
      </c>
      <c r="ES75" s="30">
        <v>3.5842990700000001E-2</v>
      </c>
      <c r="ET75" s="31">
        <v>2.6783062815999998</v>
      </c>
      <c r="EU75" s="36">
        <v>2.8006196899999999E-2</v>
      </c>
      <c r="EV75" s="31"/>
      <c r="EW75" s="30"/>
      <c r="EX75" s="31"/>
      <c r="EY75" s="30"/>
      <c r="EZ75" s="31"/>
      <c r="FA75" s="30"/>
      <c r="FB75" s="31"/>
      <c r="FC75" s="30"/>
      <c r="FD75" s="31"/>
      <c r="FE75" s="36"/>
    </row>
    <row r="76" spans="1:161" x14ac:dyDescent="0.2">
      <c r="A76" s="12">
        <v>30000</v>
      </c>
      <c r="B76" s="2">
        <v>35931</v>
      </c>
      <c r="C76" s="15">
        <f t="shared" si="9"/>
        <v>9.2446057695746448E-3</v>
      </c>
      <c r="D76" s="15">
        <f t="shared" si="14"/>
        <v>0.96829906303523849</v>
      </c>
      <c r="E76" s="15">
        <f t="shared" si="17"/>
        <v>1519.4023619261934</v>
      </c>
      <c r="F76" s="26">
        <v>4679.2697939</v>
      </c>
      <c r="G76" s="4">
        <v>27326.440060000001</v>
      </c>
      <c r="H76" s="41">
        <f t="shared" si="15"/>
        <v>0.20179261864426054</v>
      </c>
      <c r="I76" s="4">
        <f t="shared" si="10"/>
        <v>955.43352156200001</v>
      </c>
      <c r="J76" s="4">
        <f>(I76*SUM($B$5:$B76)-I75*SUM($B$5:$B75))/$B76</f>
        <v>5514.2738979328242</v>
      </c>
      <c r="K76" s="4">
        <f t="shared" si="11"/>
        <v>3600.8542188334</v>
      </c>
      <c r="L76" s="4">
        <f>(K76*SUM(B$5:B76)-K75*SUM(B$5:B75))/B76</f>
        <v>27934.854815634302</v>
      </c>
      <c r="M76" s="41">
        <f t="shared" si="16"/>
        <v>2.2264691423340175E-2</v>
      </c>
      <c r="N76" s="4">
        <v>278.44162532000001</v>
      </c>
      <c r="O76" s="28">
        <v>0.15972614030000001</v>
      </c>
      <c r="P76" s="26">
        <v>308.84480004</v>
      </c>
      <c r="Q76" s="28">
        <v>3.1199180699999999E-2</v>
      </c>
      <c r="R76" s="4">
        <v>222.20271382999999</v>
      </c>
      <c r="S76" s="28">
        <v>1.4827913136999999</v>
      </c>
      <c r="T76" s="4">
        <v>167.75684035</v>
      </c>
      <c r="U76" s="28">
        <v>1.0358433001</v>
      </c>
      <c r="V76" s="4">
        <v>61.470172214000002</v>
      </c>
      <c r="W76" s="28">
        <v>0.45990049160000002</v>
      </c>
      <c r="X76" s="29" t="s">
        <v>136</v>
      </c>
      <c r="Y76" s="30">
        <v>0</v>
      </c>
      <c r="Z76" s="4">
        <v>150.98735914</v>
      </c>
      <c r="AA76" s="28">
        <v>0.20448267419999999</v>
      </c>
      <c r="AB76" s="29" t="s">
        <v>136</v>
      </c>
      <c r="AC76" s="30">
        <v>0</v>
      </c>
      <c r="AD76" s="29" t="s">
        <v>136</v>
      </c>
      <c r="AE76" s="30">
        <v>0</v>
      </c>
      <c r="AF76" s="4">
        <v>2.8775541191</v>
      </c>
      <c r="AG76" s="28">
        <v>2.50236169E-2</v>
      </c>
      <c r="AH76" s="4">
        <v>125.13338890999999</v>
      </c>
      <c r="AI76" s="28">
        <v>2.3514853751999998</v>
      </c>
      <c r="AJ76" s="29" t="s">
        <v>136</v>
      </c>
      <c r="AK76" s="30">
        <v>0</v>
      </c>
      <c r="AL76" s="4">
        <v>2.5207235000000001E-3</v>
      </c>
      <c r="AM76" s="28">
        <v>1.00153E-5</v>
      </c>
      <c r="AN76" s="29" t="s">
        <v>136</v>
      </c>
      <c r="AO76" s="30">
        <v>0</v>
      </c>
      <c r="AP76" s="29" t="s">
        <v>136</v>
      </c>
      <c r="AQ76" s="30">
        <v>0</v>
      </c>
      <c r="AR76" s="4">
        <f t="shared" si="12"/>
        <v>2.5207235000000001E-3</v>
      </c>
      <c r="AS76" s="28">
        <f t="shared" si="12"/>
        <v>1.00153E-5</v>
      </c>
      <c r="AT76" s="4">
        <v>199.54247366999999</v>
      </c>
      <c r="AU76" s="28">
        <v>2.2844050722000002</v>
      </c>
      <c r="AV76" s="29" t="s">
        <v>136</v>
      </c>
      <c r="AW76" s="30">
        <v>0</v>
      </c>
      <c r="AX76" s="29" t="s">
        <v>136</v>
      </c>
      <c r="AY76" s="30">
        <v>0</v>
      </c>
      <c r="AZ76" s="29" t="s">
        <v>136</v>
      </c>
      <c r="BA76" s="30">
        <v>0</v>
      </c>
      <c r="BB76" s="4">
        <v>159.98002399999999</v>
      </c>
      <c r="BC76" s="28">
        <v>4.1642768740999996</v>
      </c>
      <c r="BD76" s="4">
        <v>172.76204494999999</v>
      </c>
      <c r="BE76" s="28">
        <v>1.0251254995000001</v>
      </c>
      <c r="BF76" s="4">
        <v>72.167013342999994</v>
      </c>
      <c r="BG76" s="28">
        <v>0.62621112720000005</v>
      </c>
      <c r="BH76" s="4">
        <v>20.454251524</v>
      </c>
      <c r="BI76" s="28">
        <v>0.14598717</v>
      </c>
      <c r="BJ76" s="31">
        <f t="shared" si="13"/>
        <v>80.140780082999996</v>
      </c>
      <c r="BK76" s="30">
        <f t="shared" si="13"/>
        <v>0.25292720229999999</v>
      </c>
      <c r="BL76" s="4">
        <v>0.1040010713</v>
      </c>
      <c r="BM76" s="41">
        <v>2.9086900000000001E-5</v>
      </c>
      <c r="BN76" s="4">
        <v>795.31265821</v>
      </c>
      <c r="BO76" s="28">
        <v>4.1214178600000002</v>
      </c>
      <c r="BP76" s="28">
        <v>8.0609413500000004E-2</v>
      </c>
      <c r="BQ76" s="28">
        <v>2.623158E-4</v>
      </c>
      <c r="BR76" s="4">
        <v>202.44519327</v>
      </c>
      <c r="BS76" s="28">
        <v>5.7368721529000002</v>
      </c>
      <c r="BT76" s="4">
        <v>612.21581599000001</v>
      </c>
      <c r="BU76" s="28">
        <v>3.5857753808999999</v>
      </c>
      <c r="BV76" s="4">
        <v>117.07580076000001</v>
      </c>
      <c r="BW76" s="28">
        <v>0.41507601979999997</v>
      </c>
      <c r="BX76" s="4">
        <v>23.696711541999999</v>
      </c>
      <c r="BY76" s="28">
        <v>1.32188095E-2</v>
      </c>
      <c r="BZ76" s="4">
        <v>0</v>
      </c>
      <c r="CA76" s="33">
        <v>0</v>
      </c>
      <c r="CB76" s="29" t="s">
        <v>136</v>
      </c>
      <c r="CC76" s="30">
        <v>0</v>
      </c>
      <c r="CD76" s="4">
        <v>2.9760381550999999</v>
      </c>
      <c r="CE76" s="28">
        <v>2.4241240599999998E-2</v>
      </c>
      <c r="CF76" s="4">
        <v>58.494134058999997</v>
      </c>
      <c r="CG76" s="28">
        <v>0.43565925100000003</v>
      </c>
      <c r="CH76" s="29" t="s">
        <v>136</v>
      </c>
      <c r="CI76" s="30">
        <v>0</v>
      </c>
      <c r="CJ76" s="29" t="s">
        <v>136</v>
      </c>
      <c r="CK76" s="30">
        <v>0</v>
      </c>
      <c r="CL76" s="4">
        <v>90.328181208000004</v>
      </c>
      <c r="CM76" s="28">
        <v>6.7699951300000005E-2</v>
      </c>
      <c r="CN76" s="4">
        <v>60.659177933000002</v>
      </c>
      <c r="CO76" s="28">
        <v>0.13678272289999999</v>
      </c>
      <c r="CP76" s="29" t="s">
        <v>136</v>
      </c>
      <c r="CQ76" s="30">
        <v>0</v>
      </c>
      <c r="CR76" s="29" t="s">
        <v>136</v>
      </c>
      <c r="CS76" s="30">
        <v>0</v>
      </c>
      <c r="CT76" s="29" t="s">
        <v>136</v>
      </c>
      <c r="CU76" s="30">
        <v>0</v>
      </c>
      <c r="CV76" s="29" t="s">
        <v>136</v>
      </c>
      <c r="CW76" s="30">
        <v>0</v>
      </c>
      <c r="CX76" s="4">
        <v>1.1318373855999999</v>
      </c>
      <c r="CY76" s="28">
        <v>9.0319046999999993E-3</v>
      </c>
      <c r="CZ76" s="4">
        <v>1.7457167334999999</v>
      </c>
      <c r="DA76" s="28">
        <v>1.5991712200000001E-2</v>
      </c>
      <c r="DB76" s="4">
        <v>22.862521433000001</v>
      </c>
      <c r="DC76" s="28">
        <v>0.18787473709999999</v>
      </c>
      <c r="DD76" s="4">
        <v>102.27086747</v>
      </c>
      <c r="DE76" s="28">
        <v>2.1636106382000002</v>
      </c>
      <c r="DF76" s="29" t="s">
        <v>136</v>
      </c>
      <c r="DG76" s="30">
        <v>0</v>
      </c>
      <c r="DH76" s="29" t="s">
        <v>136</v>
      </c>
      <c r="DI76" s="30">
        <v>0</v>
      </c>
      <c r="DJ76" s="4">
        <v>60.704577487000002</v>
      </c>
      <c r="DK76" s="28">
        <v>0.89643886370000003</v>
      </c>
      <c r="DL76" s="4">
        <v>99.275446508000002</v>
      </c>
      <c r="DM76" s="28">
        <v>3.2678380104000002</v>
      </c>
      <c r="DN76" s="4">
        <v>336.13435321999998</v>
      </c>
      <c r="DO76" s="28">
        <v>1.8266963188000001</v>
      </c>
      <c r="DP76" s="4">
        <v>459.17830499000002</v>
      </c>
      <c r="DQ76" s="28">
        <v>2.2947215411999999</v>
      </c>
      <c r="DR76" s="37">
        <v>2.9381379400000001E-2</v>
      </c>
      <c r="DS76" s="38">
        <v>5.2246413499999998E-2</v>
      </c>
      <c r="DT76" s="38">
        <v>6.3929647899999997E-2</v>
      </c>
      <c r="DU76" s="38">
        <v>6.9356213E-2</v>
      </c>
      <c r="DV76" s="38">
        <v>7.2087120199999993E-2</v>
      </c>
      <c r="DW76" s="38">
        <v>7.3775993299999995E-2</v>
      </c>
      <c r="DX76" s="38">
        <v>7.4849483300000005E-2</v>
      </c>
      <c r="DY76" s="38">
        <v>7.5591831400000004E-2</v>
      </c>
      <c r="DZ76" s="38">
        <v>7.6138083999999995E-2</v>
      </c>
      <c r="EA76" s="39">
        <v>7.6578105100000002E-2</v>
      </c>
      <c r="EB76" s="40">
        <v>134.29976680999999</v>
      </c>
      <c r="EC76" s="30">
        <v>0.9277958315</v>
      </c>
      <c r="ED76" s="31">
        <v>80.910584459000006</v>
      </c>
      <c r="EE76" s="30">
        <v>0.57300449669999998</v>
      </c>
      <c r="EF76" s="31">
        <v>49.005451049000001</v>
      </c>
      <c r="EG76" s="30">
        <v>0.3553533599</v>
      </c>
      <c r="EH76" s="31">
        <v>30.059784617999998</v>
      </c>
      <c r="EI76" s="30">
        <v>0.223964371</v>
      </c>
      <c r="EJ76" s="31">
        <v>18.871578226</v>
      </c>
      <c r="EK76" s="30">
        <v>0.1453899193</v>
      </c>
      <c r="EL76" s="31">
        <v>12.192661288</v>
      </c>
      <c r="EM76" s="30">
        <v>9.7911873100000005E-2</v>
      </c>
      <c r="EN76" s="31">
        <v>8.1213104676000007</v>
      </c>
      <c r="EO76" s="30">
        <v>6.8565286000000003E-2</v>
      </c>
      <c r="EP76" s="31">
        <v>5.5799185448999999</v>
      </c>
      <c r="EQ76" s="30">
        <v>4.9957082299999997E-2</v>
      </c>
      <c r="ER76" s="31">
        <v>3.9526519492999999</v>
      </c>
      <c r="ES76" s="30">
        <v>3.77454916E-2</v>
      </c>
      <c r="ET76" s="31">
        <v>2.8832722840999998</v>
      </c>
      <c r="EU76" s="36">
        <v>2.9478196599999999E-2</v>
      </c>
      <c r="EV76" s="31"/>
      <c r="EW76" s="30"/>
      <c r="EX76" s="31"/>
      <c r="EY76" s="30"/>
      <c r="EZ76" s="31"/>
      <c r="FA76" s="30"/>
      <c r="FB76" s="31"/>
      <c r="FC76" s="30"/>
      <c r="FD76" s="31"/>
      <c r="FE76" s="36"/>
    </row>
    <row r="77" spans="1:161" x14ac:dyDescent="0.2">
      <c r="A77" s="12">
        <v>35000</v>
      </c>
      <c r="B77" s="2">
        <v>24593</v>
      </c>
      <c r="C77" s="15">
        <f t="shared" si="9"/>
        <v>6.3274773786187195E-3</v>
      </c>
      <c r="D77" s="15">
        <f t="shared" si="14"/>
        <v>0.97462654041385721</v>
      </c>
      <c r="E77" s="15">
        <f t="shared" si="17"/>
        <v>1554.3160361862244</v>
      </c>
      <c r="F77" s="26">
        <v>4836.5923032000001</v>
      </c>
      <c r="G77" s="4">
        <v>32359.214279</v>
      </c>
      <c r="H77" s="41">
        <f t="shared" si="15"/>
        <v>0.21347552619888541</v>
      </c>
      <c r="I77" s="4">
        <f t="shared" si="10"/>
        <v>994.07816881700001</v>
      </c>
      <c r="J77" s="4">
        <f>(I77*SUM($B$5:$B77)-I76*SUM($B$5:$B76))/$B77</f>
        <v>6907.9002955920114</v>
      </c>
      <c r="K77" s="4">
        <f t="shared" si="11"/>
        <v>3792.5802771127001</v>
      </c>
      <c r="L77" s="4">
        <f>(K77*SUM(B$5:B77)-K76*SUM(B$5:B76))/B77</f>
        <v>33132.576531957107</v>
      </c>
      <c r="M77" s="41">
        <f t="shared" si="16"/>
        <v>2.389929020801326E-2</v>
      </c>
      <c r="N77" s="4">
        <v>289.78335719</v>
      </c>
      <c r="O77" s="28">
        <v>0.1630262697</v>
      </c>
      <c r="P77" s="26">
        <v>364.00593185000002</v>
      </c>
      <c r="Q77" s="28">
        <v>3.4438914199999997E-2</v>
      </c>
      <c r="R77" s="4">
        <v>223.9626035</v>
      </c>
      <c r="S77" s="28">
        <v>1.4938744081999999</v>
      </c>
      <c r="T77" s="4">
        <v>171.4898407</v>
      </c>
      <c r="U77" s="28">
        <v>1.0543945617999999</v>
      </c>
      <c r="V77" s="4">
        <v>62.961692659000001</v>
      </c>
      <c r="W77" s="28">
        <v>0.46944409619999999</v>
      </c>
      <c r="X77" s="29" t="s">
        <v>136</v>
      </c>
      <c r="Y77" s="30">
        <v>0</v>
      </c>
      <c r="Z77" s="4">
        <v>157.78939654999999</v>
      </c>
      <c r="AA77" s="28">
        <v>0.21253764750000001</v>
      </c>
      <c r="AB77" s="29" t="s">
        <v>136</v>
      </c>
      <c r="AC77" s="30">
        <v>0</v>
      </c>
      <c r="AD77" s="29" t="s">
        <v>136</v>
      </c>
      <c r="AE77" s="30">
        <v>0</v>
      </c>
      <c r="AF77" s="4">
        <v>3.0358884750000001</v>
      </c>
      <c r="AG77" s="28">
        <v>2.62367916E-2</v>
      </c>
      <c r="AH77" s="4">
        <v>130.23982391999999</v>
      </c>
      <c r="AI77" s="28">
        <v>2.4098836648000002</v>
      </c>
      <c r="AJ77" s="29" t="s">
        <v>136</v>
      </c>
      <c r="AK77" s="30">
        <v>0</v>
      </c>
      <c r="AL77" s="4">
        <v>2.5821113999999999E-3</v>
      </c>
      <c r="AM77" s="28">
        <v>1.01335E-5</v>
      </c>
      <c r="AN77" s="29" t="s">
        <v>136</v>
      </c>
      <c r="AO77" s="30">
        <v>0</v>
      </c>
      <c r="AP77" s="29" t="s">
        <v>136</v>
      </c>
      <c r="AQ77" s="30">
        <v>0</v>
      </c>
      <c r="AR77" s="4">
        <f t="shared" si="12"/>
        <v>2.5821113999999999E-3</v>
      </c>
      <c r="AS77" s="28">
        <f t="shared" si="12"/>
        <v>1.01335E-5</v>
      </c>
      <c r="AT77" s="4">
        <v>201.63212018999999</v>
      </c>
      <c r="AU77" s="28">
        <v>2.3054492337000001</v>
      </c>
      <c r="AV77" s="29" t="s">
        <v>136</v>
      </c>
      <c r="AW77" s="30">
        <v>0</v>
      </c>
      <c r="AX77" s="29" t="s">
        <v>136</v>
      </c>
      <c r="AY77" s="30">
        <v>0</v>
      </c>
      <c r="AZ77" s="29" t="s">
        <v>136</v>
      </c>
      <c r="BA77" s="30">
        <v>0</v>
      </c>
      <c r="BB77" s="4">
        <v>165.02258391000001</v>
      </c>
      <c r="BC77" s="28">
        <v>4.2546933921000001</v>
      </c>
      <c r="BD77" s="4">
        <v>180.13515251000001</v>
      </c>
      <c r="BE77" s="28">
        <v>1.0561615944</v>
      </c>
      <c r="BF77" s="4">
        <v>74.908805783999995</v>
      </c>
      <c r="BG77" s="28">
        <v>0.64541912329999995</v>
      </c>
      <c r="BH77" s="4">
        <v>20.908361778</v>
      </c>
      <c r="BI77" s="28">
        <v>0.14852445589999999</v>
      </c>
      <c r="BJ77" s="31">
        <f t="shared" si="13"/>
        <v>84.317984948000017</v>
      </c>
      <c r="BK77" s="30">
        <f t="shared" si="13"/>
        <v>0.2622180152000001</v>
      </c>
      <c r="BL77" s="4">
        <v>0.1586784289</v>
      </c>
      <c r="BM77" s="41">
        <v>4.2110300000000002E-5</v>
      </c>
      <c r="BN77" s="4">
        <v>848.27987418999999</v>
      </c>
      <c r="BO77" s="28">
        <v>4.2543701276999997</v>
      </c>
      <c r="BP77" s="28">
        <v>9.1665941900000006E-2</v>
      </c>
      <c r="BQ77" s="28">
        <v>3.5632989999999999E-4</v>
      </c>
      <c r="BR77" s="4">
        <v>205.14650975999999</v>
      </c>
      <c r="BS77" s="28">
        <v>5.7982295879999999</v>
      </c>
      <c r="BT77" s="4">
        <v>633.15770617999999</v>
      </c>
      <c r="BU77" s="28">
        <v>3.6595251755999998</v>
      </c>
      <c r="BV77" s="4">
        <v>120.61613272</v>
      </c>
      <c r="BW77" s="28">
        <v>0.42206716379999998</v>
      </c>
      <c r="BX77" s="4">
        <v>35.157820157000003</v>
      </c>
      <c r="BY77" s="28">
        <v>1.7636436799999999E-2</v>
      </c>
      <c r="BZ77" s="4">
        <v>0</v>
      </c>
      <c r="CA77" s="33">
        <v>0</v>
      </c>
      <c r="CB77" s="29" t="s">
        <v>136</v>
      </c>
      <c r="CC77" s="30">
        <v>0</v>
      </c>
      <c r="CD77" s="4">
        <v>3.2705964511999999</v>
      </c>
      <c r="CE77" s="28">
        <v>2.5491554199999999E-2</v>
      </c>
      <c r="CF77" s="4">
        <v>59.691096207999998</v>
      </c>
      <c r="CG77" s="28">
        <v>0.4439525419</v>
      </c>
      <c r="CH77" s="29" t="s">
        <v>136</v>
      </c>
      <c r="CI77" s="30">
        <v>0</v>
      </c>
      <c r="CJ77" s="29" t="s">
        <v>136</v>
      </c>
      <c r="CK77" s="30">
        <v>0</v>
      </c>
      <c r="CL77" s="4">
        <v>94.846170165999993</v>
      </c>
      <c r="CM77" s="28">
        <v>7.0523811699999994E-2</v>
      </c>
      <c r="CN77" s="4">
        <v>62.943226383000002</v>
      </c>
      <c r="CO77" s="28">
        <v>0.14201383579999999</v>
      </c>
      <c r="CP77" s="29" t="s">
        <v>136</v>
      </c>
      <c r="CQ77" s="30">
        <v>0</v>
      </c>
      <c r="CR77" s="29" t="s">
        <v>136</v>
      </c>
      <c r="CS77" s="30">
        <v>0</v>
      </c>
      <c r="CT77" s="29" t="s">
        <v>136</v>
      </c>
      <c r="CU77" s="30">
        <v>0</v>
      </c>
      <c r="CV77" s="29" t="s">
        <v>136</v>
      </c>
      <c r="CW77" s="30">
        <v>0</v>
      </c>
      <c r="CX77" s="4">
        <v>1.2415311600000001</v>
      </c>
      <c r="CY77" s="28">
        <v>9.8034477000000005E-3</v>
      </c>
      <c r="CZ77" s="4">
        <v>1.7943573150000001</v>
      </c>
      <c r="DA77" s="28">
        <v>1.6433343900000001E-2</v>
      </c>
      <c r="DB77" s="4">
        <v>25.264178419</v>
      </c>
      <c r="DC77" s="28">
        <v>0.20033637439999999</v>
      </c>
      <c r="DD77" s="4">
        <v>104.9756455</v>
      </c>
      <c r="DE77" s="28">
        <v>2.2095472904000002</v>
      </c>
      <c r="DF77" s="29" t="s">
        <v>136</v>
      </c>
      <c r="DG77" s="30">
        <v>0</v>
      </c>
      <c r="DH77" s="29" t="s">
        <v>136</v>
      </c>
      <c r="DI77" s="30">
        <v>0</v>
      </c>
      <c r="DJ77" s="4">
        <v>63.25504196</v>
      </c>
      <c r="DK77" s="28">
        <v>0.92615210780000001</v>
      </c>
      <c r="DL77" s="4">
        <v>101.76754194999999</v>
      </c>
      <c r="DM77" s="28">
        <v>3.3285412843</v>
      </c>
      <c r="DN77" s="4">
        <v>366.67859549999997</v>
      </c>
      <c r="DO77" s="28">
        <v>1.9020383584</v>
      </c>
      <c r="DP77" s="4">
        <v>481.60127869000002</v>
      </c>
      <c r="DQ77" s="28">
        <v>2.3523317692000001</v>
      </c>
      <c r="DR77" s="37">
        <v>3.2144834800000001E-2</v>
      </c>
      <c r="DS77" s="38">
        <v>5.72639052E-2</v>
      </c>
      <c r="DT77" s="38">
        <v>7.0600554800000007E-2</v>
      </c>
      <c r="DU77" s="38">
        <v>7.7117147100000005E-2</v>
      </c>
      <c r="DV77" s="38">
        <v>8.0565223899999996E-2</v>
      </c>
      <c r="DW77" s="38">
        <v>8.2746746199999999E-2</v>
      </c>
      <c r="DX77" s="38">
        <v>8.4164482799999996E-2</v>
      </c>
      <c r="DY77" s="38">
        <v>8.5158420200000001E-2</v>
      </c>
      <c r="DZ77" s="38">
        <v>8.5892296100000001E-2</v>
      </c>
      <c r="EA77" s="39">
        <v>8.64807836E-2</v>
      </c>
      <c r="EB77" s="40">
        <v>135.89445545999999</v>
      </c>
      <c r="EC77" s="30">
        <v>0.93788034679999999</v>
      </c>
      <c r="ED77" s="31">
        <v>82.264136511000004</v>
      </c>
      <c r="EE77" s="30">
        <v>0.58163568450000003</v>
      </c>
      <c r="EF77" s="31">
        <v>50.103078345999997</v>
      </c>
      <c r="EG77" s="30">
        <v>0.36240667900000001</v>
      </c>
      <c r="EH77" s="31">
        <v>30.923706838000001</v>
      </c>
      <c r="EI77" s="30">
        <v>0.22955596210000001</v>
      </c>
      <c r="EJ77" s="31">
        <v>19.541843532000001</v>
      </c>
      <c r="EK77" s="30">
        <v>0.14975454260000001</v>
      </c>
      <c r="EL77" s="31">
        <v>12.70800562</v>
      </c>
      <c r="EM77" s="30">
        <v>0.10129966510000001</v>
      </c>
      <c r="EN77" s="31">
        <v>8.5159601265999996</v>
      </c>
      <c r="EO77" s="30">
        <v>7.1192751999999998E-2</v>
      </c>
      <c r="EP77" s="31">
        <v>5.8802037827999998</v>
      </c>
      <c r="EQ77" s="30">
        <v>5.1994186900000003E-2</v>
      </c>
      <c r="ER77" s="31">
        <v>4.1792702509000001</v>
      </c>
      <c r="ES77" s="30">
        <v>3.93296853E-2</v>
      </c>
      <c r="ET77" s="31">
        <v>3.0548077694</v>
      </c>
      <c r="EU77" s="36">
        <v>3.0724828100000001E-2</v>
      </c>
      <c r="EV77" s="31"/>
      <c r="EW77" s="30"/>
      <c r="EX77" s="31"/>
      <c r="EY77" s="30"/>
      <c r="EZ77" s="31"/>
      <c r="FA77" s="30"/>
      <c r="FB77" s="31"/>
      <c r="FC77" s="30"/>
      <c r="FD77" s="31"/>
      <c r="FE77" s="36"/>
    </row>
    <row r="78" spans="1:161" x14ac:dyDescent="0.2">
      <c r="A78" s="12">
        <v>40000</v>
      </c>
      <c r="B78" s="2">
        <v>17397</v>
      </c>
      <c r="C78" s="15">
        <f t="shared" si="9"/>
        <v>4.4760348048562548E-3</v>
      </c>
      <c r="D78" s="15">
        <f t="shared" si="14"/>
        <v>0.97910257521871347</v>
      </c>
      <c r="E78" s="15">
        <f t="shared" si="17"/>
        <v>1579.6626520686084</v>
      </c>
      <c r="F78" s="26">
        <v>4963.6488995</v>
      </c>
      <c r="G78" s="4">
        <v>37367.143090999998</v>
      </c>
      <c r="H78" s="41">
        <f t="shared" si="15"/>
        <v>0.20276649511289957</v>
      </c>
      <c r="I78" s="4">
        <f t="shared" si="10"/>
        <v>1024.171555892</v>
      </c>
      <c r="J78" s="4">
        <f>(I78*SUM($B$5:$B78)-I77*SUM($B$5:$B77))/$B78</f>
        <v>7576.80463694427</v>
      </c>
      <c r="K78" s="4">
        <f t="shared" si="11"/>
        <v>3950.3947795316999</v>
      </c>
      <c r="L78" s="4">
        <f>(K78*SUM(B$5:B78)-K77*SUM(B$5:B77))/B78</f>
        <v>38313.443599636681</v>
      </c>
      <c r="M78" s="41">
        <f t="shared" si="16"/>
        <v>2.5324400806670248E-2</v>
      </c>
      <c r="N78" s="4">
        <v>298.39369317000001</v>
      </c>
      <c r="O78" s="28">
        <v>0.16556172350000001</v>
      </c>
      <c r="P78" s="26">
        <v>414.14219465000002</v>
      </c>
      <c r="Q78" s="28">
        <v>3.7075540499999997E-2</v>
      </c>
      <c r="R78" s="4">
        <v>225.32325526</v>
      </c>
      <c r="S78" s="28">
        <v>1.5018646571000001</v>
      </c>
      <c r="T78" s="4">
        <v>174.38149856999999</v>
      </c>
      <c r="U78" s="28">
        <v>1.0681439792</v>
      </c>
      <c r="V78" s="4">
        <v>64.123392773999996</v>
      </c>
      <c r="W78" s="28">
        <v>0.47679218150000002</v>
      </c>
      <c r="X78" s="29" t="s">
        <v>136</v>
      </c>
      <c r="Y78" s="30">
        <v>0</v>
      </c>
      <c r="Z78" s="4">
        <v>163.00943107000001</v>
      </c>
      <c r="AA78" s="28">
        <v>0.21866810349999999</v>
      </c>
      <c r="AB78" s="29" t="s">
        <v>136</v>
      </c>
      <c r="AC78" s="30">
        <v>0</v>
      </c>
      <c r="AD78" s="29" t="s">
        <v>136</v>
      </c>
      <c r="AE78" s="30">
        <v>0</v>
      </c>
      <c r="AF78" s="4">
        <v>3.1363318537999998</v>
      </c>
      <c r="AG78" s="28">
        <v>2.69510749E-2</v>
      </c>
      <c r="AH78" s="4">
        <v>133.97151253999999</v>
      </c>
      <c r="AI78" s="28">
        <v>2.4509464008999999</v>
      </c>
      <c r="AJ78" s="29" t="s">
        <v>136</v>
      </c>
      <c r="AK78" s="30">
        <v>0</v>
      </c>
      <c r="AL78" s="4">
        <v>2.5781822000000001E-3</v>
      </c>
      <c r="AM78" s="28">
        <v>1.01177E-5</v>
      </c>
      <c r="AN78" s="29" t="s">
        <v>136</v>
      </c>
      <c r="AO78" s="30">
        <v>0</v>
      </c>
      <c r="AP78" s="29" t="s">
        <v>136</v>
      </c>
      <c r="AQ78" s="30">
        <v>0</v>
      </c>
      <c r="AR78" s="4">
        <f t="shared" si="12"/>
        <v>2.5781822000000001E-3</v>
      </c>
      <c r="AS78" s="28">
        <f t="shared" si="12"/>
        <v>1.01177E-5</v>
      </c>
      <c r="AT78" s="4">
        <v>203.20863646999999</v>
      </c>
      <c r="AU78" s="28">
        <v>2.3206683343000001</v>
      </c>
      <c r="AV78" s="29" t="s">
        <v>136</v>
      </c>
      <c r="AW78" s="30">
        <v>0</v>
      </c>
      <c r="AX78" s="29" t="s">
        <v>136</v>
      </c>
      <c r="AY78" s="30">
        <v>0</v>
      </c>
      <c r="AZ78" s="29" t="s">
        <v>136</v>
      </c>
      <c r="BA78" s="30">
        <v>0</v>
      </c>
      <c r="BB78" s="4">
        <v>169.00770405</v>
      </c>
      <c r="BC78" s="28">
        <v>4.3227750005000001</v>
      </c>
      <c r="BD78" s="4">
        <v>185.85068931000001</v>
      </c>
      <c r="BE78" s="28">
        <v>1.0798740596</v>
      </c>
      <c r="BF78" s="4">
        <v>76.984819677999994</v>
      </c>
      <c r="BG78" s="28">
        <v>0.65997455579999997</v>
      </c>
      <c r="BH78" s="4">
        <v>21.248406553999999</v>
      </c>
      <c r="BI78" s="28">
        <v>0.15046165919999999</v>
      </c>
      <c r="BJ78" s="31">
        <f t="shared" si="13"/>
        <v>87.617463078000014</v>
      </c>
      <c r="BK78" s="30">
        <f t="shared" si="13"/>
        <v>0.26943784460000009</v>
      </c>
      <c r="BL78" s="4">
        <v>0.24454486750000001</v>
      </c>
      <c r="BM78" s="41">
        <v>5.6808899999999997E-5</v>
      </c>
      <c r="BN78" s="4">
        <v>891.42518269000004</v>
      </c>
      <c r="BO78" s="28">
        <v>4.3576137226</v>
      </c>
      <c r="BP78" s="28">
        <v>0.10102962829999999</v>
      </c>
      <c r="BQ78" s="28">
        <v>5.2067740000000002E-4</v>
      </c>
      <c r="BR78" s="4">
        <v>207.19481461000001</v>
      </c>
      <c r="BS78" s="28">
        <v>5.8453169238999996</v>
      </c>
      <c r="BT78" s="4">
        <v>648.64096434999999</v>
      </c>
      <c r="BU78" s="28">
        <v>3.7136741400000002</v>
      </c>
      <c r="BV78" s="4">
        <v>123.45644023</v>
      </c>
      <c r="BW78" s="28">
        <v>0.42710918390000002</v>
      </c>
      <c r="BX78" s="4">
        <v>44.879336702000003</v>
      </c>
      <c r="BY78" s="28">
        <v>2.1178863999999999E-2</v>
      </c>
      <c r="BZ78" s="4">
        <v>0</v>
      </c>
      <c r="CA78" s="33">
        <v>0</v>
      </c>
      <c r="CB78" s="29" t="s">
        <v>136</v>
      </c>
      <c r="CC78" s="30">
        <v>0</v>
      </c>
      <c r="CD78" s="4">
        <v>3.5171475891999999</v>
      </c>
      <c r="CE78" s="28">
        <v>2.6625193599999999E-2</v>
      </c>
      <c r="CF78" s="4">
        <v>60.606245184999999</v>
      </c>
      <c r="CG78" s="28">
        <v>0.45016698799999999</v>
      </c>
      <c r="CH78" s="29" t="s">
        <v>136</v>
      </c>
      <c r="CI78" s="30">
        <v>0</v>
      </c>
      <c r="CJ78" s="29" t="s">
        <v>136</v>
      </c>
      <c r="CK78" s="30">
        <v>0</v>
      </c>
      <c r="CL78" s="4">
        <v>98.33546226</v>
      </c>
      <c r="CM78" s="28">
        <v>7.2691519100000004E-2</v>
      </c>
      <c r="CN78" s="4">
        <v>64.673968806000005</v>
      </c>
      <c r="CO78" s="28">
        <v>0.1459765844</v>
      </c>
      <c r="CP78" s="29" t="s">
        <v>136</v>
      </c>
      <c r="CQ78" s="30">
        <v>0</v>
      </c>
      <c r="CR78" s="29" t="s">
        <v>136</v>
      </c>
      <c r="CS78" s="30">
        <v>0</v>
      </c>
      <c r="CT78" s="29" t="s">
        <v>136</v>
      </c>
      <c r="CU78" s="30">
        <v>0</v>
      </c>
      <c r="CV78" s="29" t="s">
        <v>136</v>
      </c>
      <c r="CW78" s="30">
        <v>0</v>
      </c>
      <c r="CX78" s="4">
        <v>1.3007809949</v>
      </c>
      <c r="CY78" s="28">
        <v>1.01709785E-2</v>
      </c>
      <c r="CZ78" s="4">
        <v>1.8355508588</v>
      </c>
      <c r="DA78" s="28">
        <v>1.6780096299999998E-2</v>
      </c>
      <c r="DB78" s="4">
        <v>27.038613653999999</v>
      </c>
      <c r="DC78" s="28">
        <v>0.20945505610000001</v>
      </c>
      <c r="DD78" s="4">
        <v>106.93289888</v>
      </c>
      <c r="DE78" s="28">
        <v>2.2414913448</v>
      </c>
      <c r="DF78" s="29" t="s">
        <v>136</v>
      </c>
      <c r="DG78" s="30">
        <v>0</v>
      </c>
      <c r="DH78" s="29" t="s">
        <v>136</v>
      </c>
      <c r="DI78" s="30">
        <v>0</v>
      </c>
      <c r="DJ78" s="4">
        <v>65.341565940999999</v>
      </c>
      <c r="DK78" s="28">
        <v>0.94959755469999996</v>
      </c>
      <c r="DL78" s="4">
        <v>103.66613811000001</v>
      </c>
      <c r="DM78" s="28">
        <v>3.3731774458000001</v>
      </c>
      <c r="DN78" s="4">
        <v>391.44957108</v>
      </c>
      <c r="DO78" s="28">
        <v>1.9604872432</v>
      </c>
      <c r="DP78" s="4">
        <v>499.97561160999999</v>
      </c>
      <c r="DQ78" s="28">
        <v>2.3971264793999998</v>
      </c>
      <c r="DR78" s="37">
        <v>3.4306628700000001E-2</v>
      </c>
      <c r="DS78" s="38">
        <v>6.1221717000000002E-2</v>
      </c>
      <c r="DT78" s="38">
        <v>7.5913742899999997E-2</v>
      </c>
      <c r="DU78" s="38">
        <v>8.3346786399999997E-2</v>
      </c>
      <c r="DV78" s="38">
        <v>8.7440142299999996E-2</v>
      </c>
      <c r="DW78" s="38">
        <v>9.0095610000000007E-2</v>
      </c>
      <c r="DX78" s="38">
        <v>9.1860833899999994E-2</v>
      </c>
      <c r="DY78" s="38">
        <v>9.3117737699999995E-2</v>
      </c>
      <c r="DZ78" s="38">
        <v>9.4045946500000005E-2</v>
      </c>
      <c r="EA78" s="39">
        <v>9.4789395700000001E-2</v>
      </c>
      <c r="EB78" s="40">
        <v>137.12494129999999</v>
      </c>
      <c r="EC78" s="30">
        <v>0.94514887879999998</v>
      </c>
      <c r="ED78" s="31">
        <v>83.311792827000005</v>
      </c>
      <c r="EE78" s="30">
        <v>0.58786972289999995</v>
      </c>
      <c r="EF78" s="31">
        <v>50.956320568999999</v>
      </c>
      <c r="EG78" s="30">
        <v>0.36750511920000001</v>
      </c>
      <c r="EH78" s="31">
        <v>31.600233573000001</v>
      </c>
      <c r="EI78" s="30">
        <v>0.2336103447</v>
      </c>
      <c r="EJ78" s="31">
        <v>20.069406248</v>
      </c>
      <c r="EK78" s="30">
        <v>0.15292020649999999</v>
      </c>
      <c r="EL78" s="31">
        <v>13.115253125000001</v>
      </c>
      <c r="EM78" s="30">
        <v>0.1037483522</v>
      </c>
      <c r="EN78" s="31">
        <v>8.8290575105000002</v>
      </c>
      <c r="EO78" s="30">
        <v>7.3093800700000003E-2</v>
      </c>
      <c r="EP78" s="31">
        <v>6.1225370523000002</v>
      </c>
      <c r="EQ78" s="30">
        <v>5.3473887300000002E-2</v>
      </c>
      <c r="ER78" s="31">
        <v>4.3671308270000004</v>
      </c>
      <c r="ES78" s="30">
        <v>4.04880663E-2</v>
      </c>
      <c r="ET78" s="31">
        <v>3.2034592428000002</v>
      </c>
      <c r="EU78" s="36">
        <v>3.1644902199999998E-2</v>
      </c>
      <c r="EV78" s="31"/>
      <c r="EW78" s="30"/>
      <c r="EX78" s="31"/>
      <c r="EY78" s="30"/>
      <c r="EZ78" s="31"/>
      <c r="FA78" s="30"/>
      <c r="FB78" s="31"/>
      <c r="FC78" s="30"/>
      <c r="FD78" s="31"/>
      <c r="FE78" s="36"/>
    </row>
    <row r="79" spans="1:161" x14ac:dyDescent="0.2">
      <c r="A79" s="12">
        <v>45000</v>
      </c>
      <c r="B79" s="2">
        <v>12776</v>
      </c>
      <c r="C79" s="15">
        <f t="shared" si="9"/>
        <v>3.2871081604209638E-3</v>
      </c>
      <c r="D79" s="15">
        <f t="shared" si="14"/>
        <v>0.98238968337913446</v>
      </c>
      <c r="E79" s="15">
        <f t="shared" si="17"/>
        <v>1598.6727168983409</v>
      </c>
      <c r="F79" s="26">
        <v>5069.2548963999998</v>
      </c>
      <c r="G79" s="4">
        <v>42376.995106000002</v>
      </c>
      <c r="H79" s="41">
        <f t="shared" si="15"/>
        <v>0.18792924998060853</v>
      </c>
      <c r="I79" s="4">
        <f t="shared" si="10"/>
        <v>1047.3920380239999</v>
      </c>
      <c r="J79" s="4">
        <f>(I79*SUM($B$5:$B79)-I78*SUM($B$5:$B78))/$B79</f>
        <v>7963.8769067024987</v>
      </c>
      <c r="K79" s="4">
        <f t="shared" si="11"/>
        <v>4082.6401314688005</v>
      </c>
      <c r="L79" s="4">
        <f>(K79*SUM(B$5:B79)-K78*SUM(B$5:B78))/B79</f>
        <v>43473.423252441018</v>
      </c>
      <c r="M79" s="41">
        <f t="shared" si="16"/>
        <v>2.5873192370021933E-2</v>
      </c>
      <c r="N79" s="4">
        <v>305.41252581999998</v>
      </c>
      <c r="O79" s="28">
        <v>0.1676011724</v>
      </c>
      <c r="P79" s="26">
        <v>460.66589286999999</v>
      </c>
      <c r="Q79" s="28">
        <v>3.9303823699999997E-2</v>
      </c>
      <c r="R79" s="4">
        <v>226.42186783</v>
      </c>
      <c r="S79" s="28">
        <v>1.5080481945999999</v>
      </c>
      <c r="T79" s="4">
        <v>176.77086767</v>
      </c>
      <c r="U79" s="28">
        <v>1.0787650002</v>
      </c>
      <c r="V79" s="4">
        <v>64.978317098999995</v>
      </c>
      <c r="W79" s="28">
        <v>0.48198765570000002</v>
      </c>
      <c r="X79" s="29" t="s">
        <v>136</v>
      </c>
      <c r="Y79" s="30">
        <v>0</v>
      </c>
      <c r="Z79" s="4">
        <v>167.2074911</v>
      </c>
      <c r="AA79" s="28">
        <v>0.2236744621</v>
      </c>
      <c r="AB79" s="29" t="s">
        <v>136</v>
      </c>
      <c r="AC79" s="30">
        <v>0</v>
      </c>
      <c r="AD79" s="29" t="s">
        <v>136</v>
      </c>
      <c r="AE79" s="30">
        <v>0</v>
      </c>
      <c r="AF79" s="4">
        <v>3.2310135597</v>
      </c>
      <c r="AG79" s="28">
        <v>2.76262387E-2</v>
      </c>
      <c r="AH79" s="4">
        <v>137.02024718000001</v>
      </c>
      <c r="AI79" s="28">
        <v>2.4821337016</v>
      </c>
      <c r="AJ79" s="29" t="s">
        <v>136</v>
      </c>
      <c r="AK79" s="30">
        <v>0</v>
      </c>
      <c r="AL79" s="4">
        <v>2.5752974E-3</v>
      </c>
      <c r="AM79" s="28">
        <v>1.01062E-5</v>
      </c>
      <c r="AN79" s="29" t="s">
        <v>136</v>
      </c>
      <c r="AO79" s="30">
        <v>0</v>
      </c>
      <c r="AP79" s="29" t="s">
        <v>136</v>
      </c>
      <c r="AQ79" s="30">
        <v>0</v>
      </c>
      <c r="AR79" s="4">
        <f t="shared" si="12"/>
        <v>2.5752974E-3</v>
      </c>
      <c r="AS79" s="28">
        <f t="shared" si="12"/>
        <v>1.01062E-5</v>
      </c>
      <c r="AT79" s="4">
        <v>204.34330564999999</v>
      </c>
      <c r="AU79" s="28">
        <v>2.3323277915</v>
      </c>
      <c r="AV79" s="29" t="s">
        <v>136</v>
      </c>
      <c r="AW79" s="30">
        <v>0</v>
      </c>
      <c r="AX79" s="29" t="s">
        <v>136</v>
      </c>
      <c r="AY79" s="30">
        <v>0</v>
      </c>
      <c r="AZ79" s="29" t="s">
        <v>136</v>
      </c>
      <c r="BA79" s="30">
        <v>0</v>
      </c>
      <c r="BB79" s="4">
        <v>172.05749505</v>
      </c>
      <c r="BC79" s="28">
        <v>4.3756060055999999</v>
      </c>
      <c r="BD79" s="4">
        <v>190.67956887</v>
      </c>
      <c r="BE79" s="28">
        <v>1.0988973228000001</v>
      </c>
      <c r="BF79" s="4">
        <v>78.776944830000005</v>
      </c>
      <c r="BG79" s="28">
        <v>0.67178907219999995</v>
      </c>
      <c r="BH79" s="4">
        <v>21.457760908000001</v>
      </c>
      <c r="BI79" s="28">
        <v>0.15171185670000001</v>
      </c>
      <c r="BJ79" s="31">
        <f t="shared" si="13"/>
        <v>90.444863131999995</v>
      </c>
      <c r="BK79" s="30">
        <f t="shared" si="13"/>
        <v>0.27539639390000015</v>
      </c>
      <c r="BL79" s="4">
        <v>0.3531020413</v>
      </c>
      <c r="BM79" s="41">
        <v>7.7333800000000001E-5</v>
      </c>
      <c r="BN79" s="4">
        <v>926.10124811000003</v>
      </c>
      <c r="BO79" s="28">
        <v>4.4386294046000003</v>
      </c>
      <c r="BP79" s="28">
        <v>0.1092278071</v>
      </c>
      <c r="BQ79" s="28">
        <v>7.6791890000000001E-4</v>
      </c>
      <c r="BR79" s="4">
        <v>208.75920292000001</v>
      </c>
      <c r="BS79" s="28">
        <v>5.8808052099000001</v>
      </c>
      <c r="BT79" s="4">
        <v>660.26714575999995</v>
      </c>
      <c r="BU79" s="28">
        <v>3.7548514216000002</v>
      </c>
      <c r="BV79" s="4">
        <v>125.59380563000001</v>
      </c>
      <c r="BW79" s="28">
        <v>0.4309063736</v>
      </c>
      <c r="BX79" s="4">
        <v>52.771883713999998</v>
      </c>
      <c r="BY79" s="28">
        <v>2.38694323E-2</v>
      </c>
      <c r="BZ79" s="4">
        <v>0</v>
      </c>
      <c r="CA79" s="33">
        <v>0</v>
      </c>
      <c r="CB79" s="29" t="s">
        <v>136</v>
      </c>
      <c r="CC79" s="30">
        <v>0</v>
      </c>
      <c r="CD79" s="4">
        <v>3.7234597052999998</v>
      </c>
      <c r="CE79" s="28">
        <v>2.74826206E-2</v>
      </c>
      <c r="CF79" s="4">
        <v>61.254857393999998</v>
      </c>
      <c r="CG79" s="28">
        <v>0.45450503510000001</v>
      </c>
      <c r="CH79" s="29" t="s">
        <v>136</v>
      </c>
      <c r="CI79" s="30">
        <v>0</v>
      </c>
      <c r="CJ79" s="29" t="s">
        <v>136</v>
      </c>
      <c r="CK79" s="30">
        <v>0</v>
      </c>
      <c r="CL79" s="4">
        <v>101.07332959</v>
      </c>
      <c r="CM79" s="28">
        <v>7.4395673800000006E-2</v>
      </c>
      <c r="CN79" s="4">
        <v>66.134161517999999</v>
      </c>
      <c r="CO79" s="28">
        <v>0.14927878829999999</v>
      </c>
      <c r="CP79" s="29" t="s">
        <v>136</v>
      </c>
      <c r="CQ79" s="30">
        <v>0</v>
      </c>
      <c r="CR79" s="29" t="s">
        <v>136</v>
      </c>
      <c r="CS79" s="30">
        <v>0</v>
      </c>
      <c r="CT79" s="29" t="s">
        <v>136</v>
      </c>
      <c r="CU79" s="30">
        <v>0</v>
      </c>
      <c r="CV79" s="29" t="s">
        <v>136</v>
      </c>
      <c r="CW79" s="30">
        <v>0</v>
      </c>
      <c r="CX79" s="4">
        <v>1.3589844733000001</v>
      </c>
      <c r="CY79" s="28">
        <v>1.05023342E-2</v>
      </c>
      <c r="CZ79" s="4">
        <v>1.8720290865</v>
      </c>
      <c r="DA79" s="28">
        <v>1.7123904499999999E-2</v>
      </c>
      <c r="DB79" s="4">
        <v>28.615153986999999</v>
      </c>
      <c r="DC79" s="28">
        <v>0.21723726979999999</v>
      </c>
      <c r="DD79" s="4">
        <v>108.4050932</v>
      </c>
      <c r="DE79" s="28">
        <v>2.2648964318</v>
      </c>
      <c r="DF79" s="29" t="s">
        <v>136</v>
      </c>
      <c r="DG79" s="30">
        <v>0</v>
      </c>
      <c r="DH79" s="29" t="s">
        <v>136</v>
      </c>
      <c r="DI79" s="30">
        <v>0</v>
      </c>
      <c r="DJ79" s="4">
        <v>66.972408153999993</v>
      </c>
      <c r="DK79" s="28">
        <v>0.96865490379999997</v>
      </c>
      <c r="DL79" s="4">
        <v>105.08508689999999</v>
      </c>
      <c r="DM79" s="28">
        <v>3.4069511017999998</v>
      </c>
      <c r="DN79" s="4">
        <v>411.22374786</v>
      </c>
      <c r="DO79" s="28">
        <v>2.0065841947999998</v>
      </c>
      <c r="DP79" s="4">
        <v>514.87750025000003</v>
      </c>
      <c r="DQ79" s="28">
        <v>2.4320452098000001</v>
      </c>
      <c r="DR79" s="37">
        <v>3.6091849699999998E-2</v>
      </c>
      <c r="DS79" s="38">
        <v>6.4510384599999998E-2</v>
      </c>
      <c r="DT79" s="38">
        <v>8.0344038699999995E-2</v>
      </c>
      <c r="DU79" s="38">
        <v>8.8556188999999993E-2</v>
      </c>
      <c r="DV79" s="38">
        <v>9.3222868599999995E-2</v>
      </c>
      <c r="DW79" s="38">
        <v>9.6312486899999994E-2</v>
      </c>
      <c r="DX79" s="38">
        <v>9.8407754799999997E-2</v>
      </c>
      <c r="DY79" s="38">
        <v>9.9916051199999995E-2</v>
      </c>
      <c r="DZ79" s="38">
        <v>0.10103792139999999</v>
      </c>
      <c r="EA79" s="39">
        <v>0.1019308111</v>
      </c>
      <c r="EB79" s="40">
        <v>138.11935448</v>
      </c>
      <c r="EC79" s="30">
        <v>0.95079194899999997</v>
      </c>
      <c r="ED79" s="31">
        <v>84.160863649000007</v>
      </c>
      <c r="EE79" s="30">
        <v>0.59272649990000004</v>
      </c>
      <c r="EF79" s="31">
        <v>51.653112645999997</v>
      </c>
      <c r="EG79" s="30">
        <v>0.37150712670000002</v>
      </c>
      <c r="EH79" s="31">
        <v>32.156649023</v>
      </c>
      <c r="EI79" s="30">
        <v>0.236814362</v>
      </c>
      <c r="EJ79" s="31">
        <v>20.503652976000001</v>
      </c>
      <c r="EK79" s="30">
        <v>0.15543094830000001</v>
      </c>
      <c r="EL79" s="31">
        <v>13.453206167999999</v>
      </c>
      <c r="EM79" s="30">
        <v>0.1057091543</v>
      </c>
      <c r="EN79" s="31">
        <v>9.0902893371999998</v>
      </c>
      <c r="EO79" s="30">
        <v>7.4623815199999999E-2</v>
      </c>
      <c r="EP79" s="31">
        <v>6.3257219146999999</v>
      </c>
      <c r="EQ79" s="30">
        <v>5.4669896000000003E-2</v>
      </c>
      <c r="ER79" s="31">
        <v>4.5249948705999996</v>
      </c>
      <c r="ES79" s="30">
        <v>4.1422011600000003E-2</v>
      </c>
      <c r="ET79" s="31">
        <v>3.3262987976999998</v>
      </c>
      <c r="EU79" s="36">
        <v>3.2378709700000001E-2</v>
      </c>
      <c r="EV79" s="31"/>
      <c r="EW79" s="30"/>
      <c r="EX79" s="31"/>
      <c r="EY79" s="30"/>
      <c r="EZ79" s="31"/>
      <c r="FA79" s="30"/>
      <c r="FB79" s="31"/>
      <c r="FC79" s="30"/>
      <c r="FD79" s="31"/>
      <c r="FE79" s="36"/>
    </row>
    <row r="80" spans="1:161" x14ac:dyDescent="0.2">
      <c r="A80" s="12">
        <v>50000</v>
      </c>
      <c r="B80" s="2">
        <v>10116</v>
      </c>
      <c r="C80" s="15">
        <f t="shared" si="9"/>
        <v>2.6027227732325041E-3</v>
      </c>
      <c r="D80" s="15">
        <f t="shared" si="14"/>
        <v>0.98499240615236694</v>
      </c>
      <c r="E80" s="15">
        <f t="shared" si="17"/>
        <v>1613.9890856073928</v>
      </c>
      <c r="F80" s="26">
        <v>5158.2504693000001</v>
      </c>
      <c r="G80" s="4">
        <v>47409.342155999999</v>
      </c>
      <c r="H80" s="41">
        <f t="shared" si="15"/>
        <v>0.18440341508686472</v>
      </c>
      <c r="I80" s="4">
        <f t="shared" si="10"/>
        <v>1067.725279601</v>
      </c>
      <c r="J80" s="4">
        <f>(I80*SUM($B$5:$B80)-I79*SUM($B$5:$B79))/$B80</f>
        <v>8742.4446005880618</v>
      </c>
      <c r="K80" s="4">
        <f t="shared" si="11"/>
        <v>4200.6215254366007</v>
      </c>
      <c r="L80" s="4">
        <f>(K80*SUM(B$5:B80)-K79*SUM(B$5:B79))/B80</f>
        <v>48732.334797652358</v>
      </c>
      <c r="M80" s="41">
        <f t="shared" si="16"/>
        <v>2.7905737170936997E-2</v>
      </c>
      <c r="N80" s="4">
        <v>310.80625777</v>
      </c>
      <c r="O80" s="28">
        <v>0.1691504939</v>
      </c>
      <c r="P80" s="26">
        <v>504.98899767</v>
      </c>
      <c r="Q80" s="28">
        <v>4.1246825899999999E-2</v>
      </c>
      <c r="R80" s="4">
        <v>227.22971985000001</v>
      </c>
      <c r="S80" s="28">
        <v>1.5126025628999999</v>
      </c>
      <c r="T80" s="4">
        <v>178.84339686999999</v>
      </c>
      <c r="U80" s="28">
        <v>1.0875684564000001</v>
      </c>
      <c r="V80" s="4">
        <v>65.597798591</v>
      </c>
      <c r="W80" s="28">
        <v>0.48583796899999998</v>
      </c>
      <c r="X80" s="29" t="s">
        <v>136</v>
      </c>
      <c r="Y80" s="30">
        <v>0</v>
      </c>
      <c r="Z80" s="4">
        <v>170.82738732000001</v>
      </c>
      <c r="AA80" s="28">
        <v>0.22800890569999999</v>
      </c>
      <c r="AB80" s="29" t="s">
        <v>136</v>
      </c>
      <c r="AC80" s="30">
        <v>0</v>
      </c>
      <c r="AD80" s="29" t="s">
        <v>136</v>
      </c>
      <c r="AE80" s="30">
        <v>0</v>
      </c>
      <c r="AF80" s="4">
        <v>3.3405382668999999</v>
      </c>
      <c r="AG80" s="28">
        <v>2.8284952200000001E-2</v>
      </c>
      <c r="AH80" s="4">
        <v>139.63054285000001</v>
      </c>
      <c r="AI80" s="28">
        <v>2.5067900165000001</v>
      </c>
      <c r="AJ80" s="29" t="s">
        <v>136</v>
      </c>
      <c r="AK80" s="30">
        <v>0</v>
      </c>
      <c r="AL80" s="4">
        <v>2.5727187000000001E-3</v>
      </c>
      <c r="AM80" s="28">
        <v>1.0096E-5</v>
      </c>
      <c r="AN80" s="29" t="s">
        <v>136</v>
      </c>
      <c r="AO80" s="30">
        <v>0</v>
      </c>
      <c r="AP80" s="29" t="s">
        <v>136</v>
      </c>
      <c r="AQ80" s="30">
        <v>0</v>
      </c>
      <c r="AR80" s="4">
        <f t="shared" si="12"/>
        <v>2.5727187000000001E-3</v>
      </c>
      <c r="AS80" s="28">
        <f t="shared" si="12"/>
        <v>1.0096E-5</v>
      </c>
      <c r="AT80" s="4">
        <v>205.24979705000001</v>
      </c>
      <c r="AU80" s="28">
        <v>2.3412793299999999</v>
      </c>
      <c r="AV80" s="29" t="s">
        <v>136</v>
      </c>
      <c r="AW80" s="30">
        <v>0</v>
      </c>
      <c r="AX80" s="29" t="s">
        <v>136</v>
      </c>
      <c r="AY80" s="30">
        <v>0</v>
      </c>
      <c r="AZ80" s="29" t="s">
        <v>136</v>
      </c>
      <c r="BA80" s="30">
        <v>0</v>
      </c>
      <c r="BB80" s="4">
        <v>174.6981476</v>
      </c>
      <c r="BC80" s="28">
        <v>4.4200672224000002</v>
      </c>
      <c r="BD80" s="4">
        <v>194.91896277999999</v>
      </c>
      <c r="BE80" s="28">
        <v>1.1153331957999999</v>
      </c>
      <c r="BF80" s="4">
        <v>80.396757007999994</v>
      </c>
      <c r="BG80" s="28">
        <v>0.68212158810000001</v>
      </c>
      <c r="BH80" s="4">
        <v>21.625880013</v>
      </c>
      <c r="BI80" s="28">
        <v>0.15268115390000001</v>
      </c>
      <c r="BJ80" s="31">
        <f t="shared" si="13"/>
        <v>92.896325758999993</v>
      </c>
      <c r="BK80" s="30">
        <f t="shared" si="13"/>
        <v>0.28053045379999986</v>
      </c>
      <c r="BL80" s="4">
        <v>0.5112699503</v>
      </c>
      <c r="BM80" s="41">
        <v>1.045643E-4</v>
      </c>
      <c r="BN80" s="4">
        <v>956.24828382999999</v>
      </c>
      <c r="BO80" s="28">
        <v>4.5074472459999999</v>
      </c>
      <c r="BP80" s="28">
        <v>0.1167512703</v>
      </c>
      <c r="BQ80" s="28">
        <v>1.0511960999999999E-3</v>
      </c>
      <c r="BR80" s="4">
        <v>210.15558636</v>
      </c>
      <c r="BS80" s="28">
        <v>5.9106325856000002</v>
      </c>
      <c r="BT80" s="4">
        <v>669.83533662000002</v>
      </c>
      <c r="BU80" s="28">
        <v>3.7876783851</v>
      </c>
      <c r="BV80" s="4">
        <v>127.16798009999999</v>
      </c>
      <c r="BW80" s="28">
        <v>0.43381509480000002</v>
      </c>
      <c r="BX80" s="4">
        <v>60.566376521000002</v>
      </c>
      <c r="BY80" s="28">
        <v>2.6246976299999999E-2</v>
      </c>
      <c r="BZ80" s="4">
        <v>0</v>
      </c>
      <c r="CA80" s="33">
        <v>0</v>
      </c>
      <c r="CB80" s="29" t="s">
        <v>136</v>
      </c>
      <c r="CC80" s="30">
        <v>0</v>
      </c>
      <c r="CD80" s="4">
        <v>3.8894905315999999</v>
      </c>
      <c r="CE80" s="28">
        <v>2.8183307800000001E-2</v>
      </c>
      <c r="CF80" s="4">
        <v>61.708308058999997</v>
      </c>
      <c r="CG80" s="28">
        <v>0.45765466119999998</v>
      </c>
      <c r="CH80" s="29" t="s">
        <v>136</v>
      </c>
      <c r="CI80" s="30">
        <v>0</v>
      </c>
      <c r="CJ80" s="29" t="s">
        <v>136</v>
      </c>
      <c r="CK80" s="30">
        <v>0</v>
      </c>
      <c r="CL80" s="4">
        <v>103.47344631999999</v>
      </c>
      <c r="CM80" s="28">
        <v>7.5883856999999999E-2</v>
      </c>
      <c r="CN80" s="4">
        <v>67.353940995000002</v>
      </c>
      <c r="CO80" s="28">
        <v>0.15212504869999999</v>
      </c>
      <c r="CP80" s="29" t="s">
        <v>136</v>
      </c>
      <c r="CQ80" s="30">
        <v>0</v>
      </c>
      <c r="CR80" s="29" t="s">
        <v>136</v>
      </c>
      <c r="CS80" s="30">
        <v>0</v>
      </c>
      <c r="CT80" s="29" t="s">
        <v>136</v>
      </c>
      <c r="CU80" s="30">
        <v>0</v>
      </c>
      <c r="CV80" s="29" t="s">
        <v>136</v>
      </c>
      <c r="CW80" s="30">
        <v>0</v>
      </c>
      <c r="CX80" s="4">
        <v>1.4286667485</v>
      </c>
      <c r="CY80" s="28">
        <v>1.08213934E-2</v>
      </c>
      <c r="CZ80" s="4">
        <v>1.9118715183999999</v>
      </c>
      <c r="DA80" s="28">
        <v>1.7463558800000001E-2</v>
      </c>
      <c r="DB80" s="4">
        <v>30.029581747999998</v>
      </c>
      <c r="DC80" s="28">
        <v>0.2237218792</v>
      </c>
      <c r="DD80" s="4">
        <v>109.60096111</v>
      </c>
      <c r="DE80" s="28">
        <v>2.2830681372999999</v>
      </c>
      <c r="DF80" s="29" t="s">
        <v>136</v>
      </c>
      <c r="DG80" s="30">
        <v>0</v>
      </c>
      <c r="DH80" s="29" t="s">
        <v>136</v>
      </c>
      <c r="DI80" s="30">
        <v>0</v>
      </c>
      <c r="DJ80" s="4">
        <v>68.421626325999995</v>
      </c>
      <c r="DK80" s="28">
        <v>0.98515395979999998</v>
      </c>
      <c r="DL80" s="4">
        <v>106.27652128</v>
      </c>
      <c r="DM80" s="28">
        <v>3.4349132626999999</v>
      </c>
      <c r="DN80" s="4">
        <v>428.44881520000001</v>
      </c>
      <c r="DO80" s="28">
        <v>2.0451186525999998</v>
      </c>
      <c r="DP80" s="4">
        <v>527.79946862999998</v>
      </c>
      <c r="DQ80" s="28">
        <v>2.4623285933000001</v>
      </c>
      <c r="DR80" s="37">
        <v>3.75916445E-2</v>
      </c>
      <c r="DS80" s="38">
        <v>6.7286293600000005E-2</v>
      </c>
      <c r="DT80" s="38">
        <v>8.41156505E-2</v>
      </c>
      <c r="DU80" s="38">
        <v>9.3035349399999995E-2</v>
      </c>
      <c r="DV80" s="38">
        <v>9.8245262E-2</v>
      </c>
      <c r="DW80" s="38">
        <v>0.1017622554</v>
      </c>
      <c r="DX80" s="38">
        <v>0.1041902834</v>
      </c>
      <c r="DY80" s="38">
        <v>0.1059581995</v>
      </c>
      <c r="DZ80" s="38">
        <v>0.1072846343</v>
      </c>
      <c r="EA80" s="39">
        <v>0.1083416005</v>
      </c>
      <c r="EB80" s="40">
        <v>138.85171543000001</v>
      </c>
      <c r="EC80" s="30">
        <v>0.95494955400000003</v>
      </c>
      <c r="ED80" s="31">
        <v>84.782756262000007</v>
      </c>
      <c r="EE80" s="30">
        <v>0.59628532329999995</v>
      </c>
      <c r="EF80" s="31">
        <v>52.159725868999999</v>
      </c>
      <c r="EG80" s="30">
        <v>0.37442516180000002</v>
      </c>
      <c r="EH80" s="31">
        <v>32.556949347</v>
      </c>
      <c r="EI80" s="30">
        <v>0.23912739659999999</v>
      </c>
      <c r="EJ80" s="31">
        <v>20.814680772999999</v>
      </c>
      <c r="EK80" s="30">
        <v>0.15722621070000001</v>
      </c>
      <c r="EL80" s="31">
        <v>13.694518278</v>
      </c>
      <c r="EM80" s="30">
        <v>0.1070973836</v>
      </c>
      <c r="EN80" s="31">
        <v>9.2760218541999997</v>
      </c>
      <c r="EO80" s="30">
        <v>7.5691502699999996E-2</v>
      </c>
      <c r="EP80" s="31">
        <v>6.4694568701000001</v>
      </c>
      <c r="EQ80" s="30">
        <v>5.5495510800000002E-2</v>
      </c>
      <c r="ER80" s="31">
        <v>4.6367233991000001</v>
      </c>
      <c r="ES80" s="30">
        <v>4.20668633E-2</v>
      </c>
      <c r="ET80" s="31">
        <v>3.4128121494000001</v>
      </c>
      <c r="EU80" s="36">
        <v>3.2884495999999999E-2</v>
      </c>
      <c r="EV80" s="31"/>
      <c r="EW80" s="30"/>
      <c r="EX80" s="31"/>
      <c r="EY80" s="30"/>
      <c r="EZ80" s="31"/>
      <c r="FA80" s="30"/>
      <c r="FB80" s="31"/>
      <c r="FC80" s="30"/>
      <c r="FD80" s="31"/>
      <c r="FE80" s="36"/>
    </row>
    <row r="81" spans="1:161" x14ac:dyDescent="0.2">
      <c r="A81" s="12">
        <v>100000</v>
      </c>
      <c r="B81" s="2">
        <v>39747</v>
      </c>
      <c r="C81" s="15">
        <f t="shared" si="9"/>
        <v>1.0226415783676585E-2</v>
      </c>
      <c r="D81" s="15">
        <f t="shared" si="14"/>
        <v>0.9952188219360435</v>
      </c>
      <c r="E81" s="15">
        <f t="shared" si="17"/>
        <v>1679.4819137172144</v>
      </c>
      <c r="F81" s="26">
        <v>5613.6434399999998</v>
      </c>
      <c r="G81" s="4">
        <v>67790.064784000002</v>
      </c>
      <c r="H81" s="41">
        <f t="shared" si="15"/>
        <v>0.15423071230073288</v>
      </c>
      <c r="I81" s="4">
        <f t="shared" si="10"/>
        <v>1164.1878285600001</v>
      </c>
      <c r="J81" s="4">
        <f>(I81*SUM($B$5:$B81)-I80*SUM($B$5:$B80))/$B81</f>
        <v>10455.309978549147</v>
      </c>
      <c r="K81" s="4">
        <f t="shared" si="11"/>
        <v>4871.2849030312</v>
      </c>
      <c r="L81" s="4">
        <f>(K81*SUM(B$5:B81)-K80*SUM(B$5:B80))/B81</f>
        <v>69468.534612907664</v>
      </c>
      <c r="M81" s="41">
        <f t="shared" si="16"/>
        <v>2.4759820399283927E-2</v>
      </c>
      <c r="N81" s="4">
        <v>334.94991321999998</v>
      </c>
      <c r="O81" s="28">
        <v>0.1759186653</v>
      </c>
      <c r="P81" s="26">
        <v>793.17297378000001</v>
      </c>
      <c r="Q81" s="28">
        <v>5.1165402399999997E-2</v>
      </c>
      <c r="R81" s="4">
        <v>230.88202032000001</v>
      </c>
      <c r="S81" s="28">
        <v>1.5319037930999999</v>
      </c>
      <c r="T81" s="4">
        <v>190.7562398</v>
      </c>
      <c r="U81" s="28">
        <v>1.1275575153999999</v>
      </c>
      <c r="V81" s="4">
        <v>68.397085004000004</v>
      </c>
      <c r="W81" s="28">
        <v>0.50160614410000004</v>
      </c>
      <c r="X81" s="29" t="s">
        <v>136</v>
      </c>
      <c r="Y81" s="30">
        <v>0</v>
      </c>
      <c r="Z81" s="4">
        <v>190.78702727000001</v>
      </c>
      <c r="AA81" s="28">
        <v>0.25162504600000002</v>
      </c>
      <c r="AB81" s="29" t="s">
        <v>136</v>
      </c>
      <c r="AC81" s="30">
        <v>0</v>
      </c>
      <c r="AD81" s="29" t="s">
        <v>136</v>
      </c>
      <c r="AE81" s="30">
        <v>0</v>
      </c>
      <c r="AF81" s="4">
        <v>3.7564053692999999</v>
      </c>
      <c r="AG81" s="28">
        <v>3.1008733199999999E-2</v>
      </c>
      <c r="AH81" s="4">
        <v>150.85773298000001</v>
      </c>
      <c r="AI81" s="28">
        <v>2.6066523649</v>
      </c>
      <c r="AJ81" s="29" t="s">
        <v>136</v>
      </c>
      <c r="AK81" s="30">
        <v>0</v>
      </c>
      <c r="AL81" s="4">
        <v>2.5929525000000001E-3</v>
      </c>
      <c r="AM81" s="28">
        <v>1.01904E-5</v>
      </c>
      <c r="AN81" s="29" t="s">
        <v>136</v>
      </c>
      <c r="AO81" s="30">
        <v>0</v>
      </c>
      <c r="AP81" s="29" t="s">
        <v>136</v>
      </c>
      <c r="AQ81" s="30">
        <v>0</v>
      </c>
      <c r="AR81" s="4">
        <f t="shared" si="12"/>
        <v>2.5929525000000001E-3</v>
      </c>
      <c r="AS81" s="28">
        <f t="shared" si="12"/>
        <v>1.01904E-5</v>
      </c>
      <c r="AT81" s="4">
        <v>208.9801343</v>
      </c>
      <c r="AU81" s="28">
        <v>2.3785669505000002</v>
      </c>
      <c r="AV81" s="29" t="s">
        <v>136</v>
      </c>
      <c r="AW81" s="30">
        <v>0</v>
      </c>
      <c r="AX81" s="29" t="s">
        <v>136</v>
      </c>
      <c r="AY81" s="30">
        <v>0</v>
      </c>
      <c r="AZ81" s="29" t="s">
        <v>136</v>
      </c>
      <c r="BA81" s="30">
        <v>0</v>
      </c>
      <c r="BB81" s="4">
        <v>186.94082381000001</v>
      </c>
      <c r="BC81" s="28">
        <v>4.6256878592000001</v>
      </c>
      <c r="BD81" s="4">
        <v>224.92146473</v>
      </c>
      <c r="BE81" s="28">
        <v>1.2051886131</v>
      </c>
      <c r="BF81" s="4">
        <v>92.671338735999996</v>
      </c>
      <c r="BG81" s="28">
        <v>0.73884768300000003</v>
      </c>
      <c r="BH81" s="4">
        <v>22.260968822999999</v>
      </c>
      <c r="BI81" s="28">
        <v>0.15605416820000001</v>
      </c>
      <c r="BJ81" s="31">
        <f t="shared" si="13"/>
        <v>109.989157171</v>
      </c>
      <c r="BK81" s="30">
        <f t="shared" si="13"/>
        <v>0.31028676190000004</v>
      </c>
      <c r="BL81" s="4">
        <v>1.9051891829000001</v>
      </c>
      <c r="BM81" s="41">
        <v>3.200934E-4</v>
      </c>
      <c r="BN81" s="4">
        <v>1120.7848787999999</v>
      </c>
      <c r="BO81" s="28">
        <v>4.8611409685</v>
      </c>
      <c r="BP81" s="28">
        <v>0.1632696193</v>
      </c>
      <c r="BQ81" s="28">
        <v>3.6578794999999999E-3</v>
      </c>
      <c r="BR81" s="4">
        <v>216.40368071</v>
      </c>
      <c r="BS81" s="28">
        <v>6.0381211925000002</v>
      </c>
      <c r="BT81" s="4">
        <v>707.59422497000003</v>
      </c>
      <c r="BU81" s="28">
        <v>3.9186228841999999</v>
      </c>
      <c r="BV81" s="4">
        <v>134.80829964</v>
      </c>
      <c r="BW81" s="28">
        <v>0.44571649569999999</v>
      </c>
      <c r="BX81" s="4">
        <v>105.38162324</v>
      </c>
      <c r="BY81" s="28">
        <v>3.7455901600000001E-2</v>
      </c>
      <c r="BZ81" s="4">
        <v>0</v>
      </c>
      <c r="CA81" s="33">
        <v>0</v>
      </c>
      <c r="CB81" s="29" t="s">
        <v>136</v>
      </c>
      <c r="CC81" s="30">
        <v>0</v>
      </c>
      <c r="CD81" s="4">
        <v>4.6865338812999999</v>
      </c>
      <c r="CE81" s="28">
        <v>3.1086318299999999E-2</v>
      </c>
      <c r="CF81" s="4">
        <v>63.710551123000002</v>
      </c>
      <c r="CG81" s="28">
        <v>0.47051982580000001</v>
      </c>
      <c r="CH81" s="29" t="s">
        <v>136</v>
      </c>
      <c r="CI81" s="30">
        <v>0</v>
      </c>
      <c r="CJ81" s="29" t="s">
        <v>136</v>
      </c>
      <c r="CK81" s="30">
        <v>0</v>
      </c>
      <c r="CL81" s="4">
        <v>116.40367895</v>
      </c>
      <c r="CM81" s="28">
        <v>8.3845018399999999E-2</v>
      </c>
      <c r="CN81" s="4">
        <v>74.383348327999997</v>
      </c>
      <c r="CO81" s="28">
        <v>0.16778002750000001</v>
      </c>
      <c r="CP81" s="29" t="s">
        <v>136</v>
      </c>
      <c r="CQ81" s="30">
        <v>0</v>
      </c>
      <c r="CR81" s="29" t="s">
        <v>136</v>
      </c>
      <c r="CS81" s="30">
        <v>0</v>
      </c>
      <c r="CT81" s="29" t="s">
        <v>136</v>
      </c>
      <c r="CU81" s="30">
        <v>0</v>
      </c>
      <c r="CV81" s="29" t="s">
        <v>136</v>
      </c>
      <c r="CW81" s="30">
        <v>0</v>
      </c>
      <c r="CX81" s="4">
        <v>1.7574095947999999</v>
      </c>
      <c r="CY81" s="28">
        <v>1.27787327E-2</v>
      </c>
      <c r="CZ81" s="4">
        <v>1.9989957745</v>
      </c>
      <c r="DA81" s="28">
        <v>1.8230000499999999E-2</v>
      </c>
      <c r="DB81" s="4">
        <v>36.599734003000002</v>
      </c>
      <c r="DC81" s="28">
        <v>0.25333028320000001</v>
      </c>
      <c r="DD81" s="4">
        <v>114.25799898</v>
      </c>
      <c r="DE81" s="28">
        <v>2.3533220817</v>
      </c>
      <c r="DF81" s="29" t="s">
        <v>136</v>
      </c>
      <c r="DG81" s="30">
        <v>0</v>
      </c>
      <c r="DH81" s="29" t="s">
        <v>136</v>
      </c>
      <c r="DI81" s="30">
        <v>0</v>
      </c>
      <c r="DJ81" s="4">
        <v>75.263140789999994</v>
      </c>
      <c r="DK81" s="28">
        <v>1.0648591621000001</v>
      </c>
      <c r="DL81" s="4">
        <v>111.67768302</v>
      </c>
      <c r="DM81" s="28">
        <v>3.5608286971999998</v>
      </c>
      <c r="DN81" s="4">
        <v>520.32556756999998</v>
      </c>
      <c r="DO81" s="28">
        <v>2.2412882555000002</v>
      </c>
      <c r="DP81" s="4">
        <v>600.45931125000004</v>
      </c>
      <c r="DQ81" s="28">
        <v>2.6198527130000002</v>
      </c>
      <c r="DR81" s="37">
        <v>4.4156362900000003E-2</v>
      </c>
      <c r="DS81" s="38">
        <v>7.9760762900000004E-2</v>
      </c>
      <c r="DT81" s="38">
        <v>0.10156971369999999</v>
      </c>
      <c r="DU81" s="38">
        <v>0.114390778</v>
      </c>
      <c r="DV81" s="38">
        <v>0.1227596339</v>
      </c>
      <c r="DW81" s="38">
        <v>0.12889458479999999</v>
      </c>
      <c r="DX81" s="38">
        <v>0.13351178550000001</v>
      </c>
      <c r="DY81" s="38">
        <v>0.13713108230000001</v>
      </c>
      <c r="DZ81" s="38">
        <v>0.1400279405</v>
      </c>
      <c r="EA81" s="39">
        <v>0.14240638980000001</v>
      </c>
      <c r="EB81" s="40">
        <v>142.17976899999999</v>
      </c>
      <c r="EC81" s="30">
        <v>0.97271172689999996</v>
      </c>
      <c r="ED81" s="31">
        <v>87.665673147999996</v>
      </c>
      <c r="EE81" s="30">
        <v>0.61177074109999996</v>
      </c>
      <c r="EF81" s="31">
        <v>54.564803456999996</v>
      </c>
      <c r="EG81" s="30">
        <v>0.38736453710000002</v>
      </c>
      <c r="EH81" s="31">
        <v>34.518974647999997</v>
      </c>
      <c r="EI81" s="30">
        <v>0.2496197758</v>
      </c>
      <c r="EJ81" s="31">
        <v>22.390879786999999</v>
      </c>
      <c r="EK81" s="30">
        <v>0.1655913259</v>
      </c>
      <c r="EL81" s="31">
        <v>14.951391445000001</v>
      </c>
      <c r="EM81" s="30">
        <v>0.1137227516</v>
      </c>
      <c r="EN81" s="31">
        <v>10.268728253999999</v>
      </c>
      <c r="EO81" s="30">
        <v>8.0910384200000005E-2</v>
      </c>
      <c r="EP81" s="31">
        <v>7.2482858508000003</v>
      </c>
      <c r="EQ81" s="30">
        <v>5.9608890599999999E-2</v>
      </c>
      <c r="ER81" s="31">
        <v>5.2450811554000003</v>
      </c>
      <c r="ES81" s="30">
        <v>4.5316480100000001E-2</v>
      </c>
      <c r="ET81" s="31">
        <v>3.8870925203</v>
      </c>
      <c r="EU81" s="36">
        <v>3.54633642E-2</v>
      </c>
      <c r="EV81" s="31"/>
      <c r="EW81" s="30"/>
      <c r="EX81" s="31"/>
      <c r="EY81" s="30"/>
      <c r="EZ81" s="31"/>
      <c r="FA81" s="30"/>
      <c r="FB81" s="31"/>
      <c r="FC81" s="30"/>
      <c r="FD81" s="31"/>
      <c r="FE81" s="36"/>
    </row>
    <row r="82" spans="1:161" x14ac:dyDescent="0.2">
      <c r="A82" s="12">
        <v>200000</v>
      </c>
      <c r="B82" s="2">
        <v>13300</v>
      </c>
      <c r="C82" s="15">
        <f t="shared" si="9"/>
        <v>3.4219269359422998E-3</v>
      </c>
      <c r="D82" s="15">
        <f t="shared" si="14"/>
        <v>0.99864074887198584</v>
      </c>
      <c r="E82" s="15">
        <f t="shared" si="17"/>
        <v>1702.4554418564385</v>
      </c>
      <c r="F82" s="26">
        <v>5884.7970555000002</v>
      </c>
      <c r="G82" s="4">
        <v>135528.84332000001</v>
      </c>
      <c r="H82" s="41">
        <f t="shared" si="15"/>
        <v>8.1190295408644794E-2</v>
      </c>
      <c r="I82" s="4">
        <f t="shared" si="10"/>
        <v>1197.9034979600001</v>
      </c>
      <c r="J82" s="4">
        <f>(I82*SUM($B$5:$B82)-I81*SUM($B$5:$B81))/$B82</f>
        <v>11003.626825542737</v>
      </c>
      <c r="K82" s="4">
        <f t="shared" si="11"/>
        <v>5329.3655220546998</v>
      </c>
      <c r="L82" s="4">
        <f>(K82*SUM(B$5:B82)-K81*SUM(B$5:B81))/B82</f>
        <v>138555.60399834826</v>
      </c>
      <c r="M82" s="41">
        <f t="shared" si="16"/>
        <v>2.2332963258615727E-2</v>
      </c>
      <c r="N82" s="4">
        <v>345.76776985999999</v>
      </c>
      <c r="O82" s="28">
        <v>0.178882447</v>
      </c>
      <c r="P82" s="26">
        <v>1017.7220692</v>
      </c>
      <c r="Q82" s="28">
        <v>5.6609350900000001E-2</v>
      </c>
      <c r="R82" s="4">
        <v>232.90223591</v>
      </c>
      <c r="S82" s="28">
        <v>1.5391029570000001</v>
      </c>
      <c r="T82" s="4">
        <v>201.00930975</v>
      </c>
      <c r="U82" s="28">
        <v>1.1464679287999999</v>
      </c>
      <c r="V82" s="4">
        <v>69.238151631999997</v>
      </c>
      <c r="W82" s="28">
        <v>0.50589821940000002</v>
      </c>
      <c r="X82" s="29" t="s">
        <v>136</v>
      </c>
      <c r="Y82" s="30">
        <v>0</v>
      </c>
      <c r="Z82" s="4">
        <v>204.47602789000001</v>
      </c>
      <c r="AA82" s="28">
        <v>0.26778286849999999</v>
      </c>
      <c r="AB82" s="29" t="s">
        <v>136</v>
      </c>
      <c r="AC82" s="30">
        <v>0</v>
      </c>
      <c r="AD82" s="29" t="s">
        <v>136</v>
      </c>
      <c r="AE82" s="30">
        <v>0</v>
      </c>
      <c r="AF82" s="4">
        <v>4.0536711507999996</v>
      </c>
      <c r="AG82" s="28">
        <v>3.27377638E-2</v>
      </c>
      <c r="AH82" s="4">
        <v>154.62009280999999</v>
      </c>
      <c r="AI82" s="28">
        <v>2.6341683977999999</v>
      </c>
      <c r="AJ82" s="29" t="s">
        <v>136</v>
      </c>
      <c r="AK82" s="30">
        <v>0</v>
      </c>
      <c r="AL82" s="4">
        <v>2.7823866000000002E-3</v>
      </c>
      <c r="AM82" s="28">
        <v>1.07198E-5</v>
      </c>
      <c r="AN82" s="29" t="s">
        <v>136</v>
      </c>
      <c r="AO82" s="30">
        <v>0</v>
      </c>
      <c r="AP82" s="29" t="s">
        <v>136</v>
      </c>
      <c r="AQ82" s="30">
        <v>0</v>
      </c>
      <c r="AR82" s="4">
        <f t="shared" si="12"/>
        <v>2.7823866000000002E-3</v>
      </c>
      <c r="AS82" s="28">
        <f t="shared" si="12"/>
        <v>1.07198E-5</v>
      </c>
      <c r="AT82" s="4">
        <v>210.48110918</v>
      </c>
      <c r="AU82" s="28">
        <v>2.3953192474999998</v>
      </c>
      <c r="AV82" s="29" t="s">
        <v>136</v>
      </c>
      <c r="AW82" s="30">
        <v>0</v>
      </c>
      <c r="AX82" s="29" t="s">
        <v>136</v>
      </c>
      <c r="AY82" s="30">
        <v>0</v>
      </c>
      <c r="AZ82" s="29" t="s">
        <v>136</v>
      </c>
      <c r="BA82" s="30">
        <v>0</v>
      </c>
      <c r="BB82" s="4">
        <v>194.66330249000001</v>
      </c>
      <c r="BC82" s="28">
        <v>4.7530804608999997</v>
      </c>
      <c r="BD82" s="4">
        <v>251.43232943999999</v>
      </c>
      <c r="BE82" s="28">
        <v>1.2610710341</v>
      </c>
      <c r="BF82" s="4">
        <v>101.68978824</v>
      </c>
      <c r="BG82" s="28">
        <v>0.77147569319999998</v>
      </c>
      <c r="BH82" s="4">
        <v>22.551904575999998</v>
      </c>
      <c r="BI82" s="28">
        <v>0.15726665279999999</v>
      </c>
      <c r="BJ82" s="31">
        <f t="shared" si="13"/>
        <v>127.19063662399999</v>
      </c>
      <c r="BK82" s="30">
        <f t="shared" si="13"/>
        <v>0.33232868810000005</v>
      </c>
      <c r="BL82" s="4">
        <v>3.4746558087000001</v>
      </c>
      <c r="BM82" s="41">
        <v>5.0302680000000001E-4</v>
      </c>
      <c r="BN82" s="4">
        <v>1241.6157341999999</v>
      </c>
      <c r="BO82" s="28">
        <v>5.1090338000999997</v>
      </c>
      <c r="BP82" s="28">
        <v>0.19877499239999999</v>
      </c>
      <c r="BQ82" s="28">
        <v>6.7364167999999997E-3</v>
      </c>
      <c r="BR82" s="4">
        <v>219.31773537999999</v>
      </c>
      <c r="BS82" s="28">
        <v>6.0911971683999999</v>
      </c>
      <c r="BT82" s="4">
        <v>721.09195390000002</v>
      </c>
      <c r="BU82" s="28">
        <v>3.9632587457000001</v>
      </c>
      <c r="BV82" s="4">
        <v>137.34492327000001</v>
      </c>
      <c r="BW82" s="28">
        <v>0.44922466849999998</v>
      </c>
      <c r="BX82" s="4">
        <v>120.14888541000001</v>
      </c>
      <c r="BY82" s="28">
        <v>4.0269342299999997E-2</v>
      </c>
      <c r="BZ82" s="4">
        <v>0</v>
      </c>
      <c r="CA82" s="33">
        <v>0</v>
      </c>
      <c r="CB82" s="29" t="s">
        <v>136</v>
      </c>
      <c r="CC82" s="30">
        <v>0</v>
      </c>
      <c r="CD82" s="4">
        <v>4.9784525071000001</v>
      </c>
      <c r="CE82" s="28">
        <v>3.2068556599999999E-2</v>
      </c>
      <c r="CF82" s="4">
        <v>64.259699124999997</v>
      </c>
      <c r="CG82" s="28">
        <v>0.4738296628</v>
      </c>
      <c r="CH82" s="29" t="s">
        <v>136</v>
      </c>
      <c r="CI82" s="30">
        <v>0</v>
      </c>
      <c r="CJ82" s="29" t="s">
        <v>136</v>
      </c>
      <c r="CK82" s="30">
        <v>0</v>
      </c>
      <c r="CL82" s="4">
        <v>125.68708735</v>
      </c>
      <c r="CM82" s="28">
        <v>8.9791809200000003E-2</v>
      </c>
      <c r="CN82" s="4">
        <v>78.788940541000002</v>
      </c>
      <c r="CO82" s="28">
        <v>0.1779910593</v>
      </c>
      <c r="CP82" s="29" t="s">
        <v>136</v>
      </c>
      <c r="CQ82" s="30">
        <v>0</v>
      </c>
      <c r="CR82" s="29" t="s">
        <v>136</v>
      </c>
      <c r="CS82" s="30">
        <v>0</v>
      </c>
      <c r="CT82" s="29" t="s">
        <v>136</v>
      </c>
      <c r="CU82" s="30">
        <v>0</v>
      </c>
      <c r="CV82" s="29" t="s">
        <v>136</v>
      </c>
      <c r="CW82" s="30">
        <v>0</v>
      </c>
      <c r="CX82" s="4">
        <v>2.0266898757999998</v>
      </c>
      <c r="CY82" s="28">
        <v>1.4255394899999999E-2</v>
      </c>
      <c r="CZ82" s="4">
        <v>2.0269812749999998</v>
      </c>
      <c r="DA82" s="28">
        <v>1.8482368799999999E-2</v>
      </c>
      <c r="DB82" s="4">
        <v>39.265867948</v>
      </c>
      <c r="DC82" s="28">
        <v>0.26573639389999998</v>
      </c>
      <c r="DD82" s="4">
        <v>115.35422486</v>
      </c>
      <c r="DE82" s="28">
        <v>2.3684320039000002</v>
      </c>
      <c r="DF82" s="29" t="s">
        <v>136</v>
      </c>
      <c r="DG82" s="30">
        <v>0</v>
      </c>
      <c r="DH82" s="29" t="s">
        <v>136</v>
      </c>
      <c r="DI82" s="30">
        <v>0</v>
      </c>
      <c r="DJ82" s="4">
        <v>79.915286940000001</v>
      </c>
      <c r="DK82" s="28">
        <v>1.1188347858000001</v>
      </c>
      <c r="DL82" s="4">
        <v>114.74801555000001</v>
      </c>
      <c r="DM82" s="28">
        <v>3.6342456750999999</v>
      </c>
      <c r="DN82" s="4">
        <v>587.57061838000004</v>
      </c>
      <c r="DO82" s="28">
        <v>2.3805512182999999</v>
      </c>
      <c r="DP82" s="4">
        <v>654.04511587000002</v>
      </c>
      <c r="DQ82" s="28">
        <v>2.7284825817999998</v>
      </c>
      <c r="DR82" s="37">
        <v>4.67322129E-2</v>
      </c>
      <c r="DS82" s="38">
        <v>8.4812255200000006E-2</v>
      </c>
      <c r="DT82" s="38">
        <v>0.1089325102</v>
      </c>
      <c r="DU82" s="38">
        <v>0.12387585330000001</v>
      </c>
      <c r="DV82" s="38">
        <v>0.13416920630000001</v>
      </c>
      <c r="DW82" s="38">
        <v>0.1420422771</v>
      </c>
      <c r="DX82" s="38">
        <v>0.14822966539999999</v>
      </c>
      <c r="DY82" s="38">
        <v>0.15327429279999999</v>
      </c>
      <c r="DZ82" s="38">
        <v>0.15746244409999999</v>
      </c>
      <c r="EA82" s="39">
        <v>0.1610255947</v>
      </c>
      <c r="EB82" s="40">
        <v>144.04944388000001</v>
      </c>
      <c r="EC82" s="30">
        <v>0.97942404130000005</v>
      </c>
      <c r="ED82" s="31">
        <v>89.338405550999994</v>
      </c>
      <c r="EE82" s="30">
        <v>0.61772981530000004</v>
      </c>
      <c r="EF82" s="31">
        <v>56.028033553</v>
      </c>
      <c r="EG82" s="30">
        <v>0.39246789630000001</v>
      </c>
      <c r="EH82" s="31">
        <v>35.781636657</v>
      </c>
      <c r="EI82" s="30">
        <v>0.2539011913</v>
      </c>
      <c r="EJ82" s="31">
        <v>23.46858619</v>
      </c>
      <c r="EK82" s="30">
        <v>0.1691171309</v>
      </c>
      <c r="EL82" s="31">
        <v>15.864618177000001</v>
      </c>
      <c r="EM82" s="30">
        <v>0.1166063608</v>
      </c>
      <c r="EN82" s="31">
        <v>11.042929328</v>
      </c>
      <c r="EO82" s="30">
        <v>8.3275167100000005E-2</v>
      </c>
      <c r="EP82" s="31">
        <v>7.9005321571999998</v>
      </c>
      <c r="EQ82" s="30">
        <v>6.1547840499999999E-2</v>
      </c>
      <c r="ER82" s="31">
        <v>5.7938219950000001</v>
      </c>
      <c r="ES82" s="30">
        <v>4.6911481499999998E-2</v>
      </c>
      <c r="ET82" s="31">
        <v>4.3507523555000001</v>
      </c>
      <c r="EU82" s="36">
        <v>3.6774931400000002E-2</v>
      </c>
      <c r="EV82" s="31"/>
      <c r="EW82" s="30"/>
      <c r="EX82" s="31"/>
      <c r="EY82" s="30"/>
      <c r="EZ82" s="31"/>
      <c r="FA82" s="30"/>
      <c r="FB82" s="31"/>
      <c r="FC82" s="30"/>
      <c r="FD82" s="31"/>
      <c r="FE82" s="36"/>
    </row>
    <row r="83" spans="1:161" x14ac:dyDescent="0.2">
      <c r="A83" s="12">
        <v>300000</v>
      </c>
      <c r="B83" s="2">
        <v>3069</v>
      </c>
      <c r="C83" s="15">
        <f t="shared" si="9"/>
        <v>7.8961607266217428E-4</v>
      </c>
      <c r="D83" s="15">
        <f t="shared" si="14"/>
        <v>0.99943036494464799</v>
      </c>
      <c r="E83" s="15">
        <f t="shared" si="17"/>
        <v>1707.8383106903914</v>
      </c>
      <c r="F83" s="26">
        <v>5975.4737574000001</v>
      </c>
      <c r="G83" s="4">
        <v>239942.79032</v>
      </c>
      <c r="H83" s="41">
        <f t="shared" si="15"/>
        <v>5.8876438742977606E-2</v>
      </c>
      <c r="I83" s="4">
        <f t="shared" si="10"/>
        <v>1208.1183209200001</v>
      </c>
      <c r="J83" s="4">
        <f>(I83*SUM($B$5:$B83)-I82*SUM($B$5:$B82))/$B83</f>
        <v>14126.9769960946</v>
      </c>
      <c r="K83" s="4">
        <f t="shared" si="11"/>
        <v>5516.9887908200999</v>
      </c>
      <c r="L83" s="4">
        <f>(K83*SUM(B$5:B83)-K82*SUM(B$5:B82))/B83</f>
        <v>242807.29747714169</v>
      </c>
      <c r="M83" s="41">
        <f t="shared" si="16"/>
        <v>1.1938292262590756E-2</v>
      </c>
      <c r="N83" s="4">
        <v>349.20209621999999</v>
      </c>
      <c r="O83" s="28">
        <v>0.179748983</v>
      </c>
      <c r="P83" s="26">
        <v>1111.7173404</v>
      </c>
      <c r="Q83" s="28">
        <v>5.8401314500000003E-2</v>
      </c>
      <c r="R83" s="4">
        <v>233.67656848999999</v>
      </c>
      <c r="S83" s="28">
        <v>1.5408719366999999</v>
      </c>
      <c r="T83" s="4">
        <v>205.67259884000001</v>
      </c>
      <c r="U83" s="28">
        <v>1.1520977344000001</v>
      </c>
      <c r="V83" s="4">
        <v>69.330801192999999</v>
      </c>
      <c r="W83" s="28">
        <v>0.50645146129999996</v>
      </c>
      <c r="X83" s="29" t="s">
        <v>136</v>
      </c>
      <c r="Y83" s="30">
        <v>0</v>
      </c>
      <c r="Z83" s="4">
        <v>209.83020163</v>
      </c>
      <c r="AA83" s="28">
        <v>0.2736416948</v>
      </c>
      <c r="AB83" s="29" t="s">
        <v>136</v>
      </c>
      <c r="AC83" s="30">
        <v>0</v>
      </c>
      <c r="AD83" s="29" t="s">
        <v>136</v>
      </c>
      <c r="AE83" s="30">
        <v>0</v>
      </c>
      <c r="AF83" s="4">
        <v>4.2181145375</v>
      </c>
      <c r="AG83" s="28">
        <v>3.3574812099999997E-2</v>
      </c>
      <c r="AH83" s="4">
        <v>155.36655046000001</v>
      </c>
      <c r="AI83" s="28">
        <v>2.6389458286999998</v>
      </c>
      <c r="AJ83" s="29" t="s">
        <v>136</v>
      </c>
      <c r="AK83" s="30">
        <v>0</v>
      </c>
      <c r="AL83" s="4">
        <v>2.8220209E-3</v>
      </c>
      <c r="AM83" s="28">
        <v>1.0987300000000001E-5</v>
      </c>
      <c r="AN83" s="29" t="s">
        <v>136</v>
      </c>
      <c r="AO83" s="30">
        <v>0</v>
      </c>
      <c r="AP83" s="29" t="s">
        <v>136</v>
      </c>
      <c r="AQ83" s="30">
        <v>0</v>
      </c>
      <c r="AR83" s="4">
        <f t="shared" si="12"/>
        <v>2.8220209E-3</v>
      </c>
      <c r="AS83" s="28">
        <f t="shared" si="12"/>
        <v>1.0987300000000001E-5</v>
      </c>
      <c r="AT83" s="4">
        <v>210.93365542999999</v>
      </c>
      <c r="AU83" s="28">
        <v>2.4008872834999999</v>
      </c>
      <c r="AV83" s="29" t="s">
        <v>136</v>
      </c>
      <c r="AW83" s="30">
        <v>0</v>
      </c>
      <c r="AX83" s="29" t="s">
        <v>136</v>
      </c>
      <c r="AY83" s="30">
        <v>0</v>
      </c>
      <c r="AZ83" s="29" t="s">
        <v>136</v>
      </c>
      <c r="BA83" s="30">
        <v>0</v>
      </c>
      <c r="BB83" s="4">
        <v>197.84119193000001</v>
      </c>
      <c r="BC83" s="28">
        <v>4.8039175769</v>
      </c>
      <c r="BD83" s="4">
        <v>260.10112621000002</v>
      </c>
      <c r="BE83" s="28">
        <v>1.2768018467</v>
      </c>
      <c r="BF83" s="4">
        <v>104.10645236000001</v>
      </c>
      <c r="BG83" s="28">
        <v>0.77998753170000001</v>
      </c>
      <c r="BH83" s="4">
        <v>22.611665179999999</v>
      </c>
      <c r="BI83" s="28">
        <v>0.15752100569999999</v>
      </c>
      <c r="BJ83" s="31">
        <f t="shared" si="13"/>
        <v>133.38300867000001</v>
      </c>
      <c r="BK83" s="30">
        <f t="shared" si="13"/>
        <v>0.3392933092999999</v>
      </c>
      <c r="BL83" s="4">
        <v>4.2791148178</v>
      </c>
      <c r="BM83" s="41">
        <v>5.8787360000000003E-4</v>
      </c>
      <c r="BN83" s="4">
        <v>1296.6954657000001</v>
      </c>
      <c r="BO83" s="28">
        <v>5.2085940107999997</v>
      </c>
      <c r="BP83" s="28">
        <v>0.21437072500000001</v>
      </c>
      <c r="BQ83" s="28">
        <v>8.1417217E-3</v>
      </c>
      <c r="BR83" s="4">
        <v>220.2368654</v>
      </c>
      <c r="BS83" s="28">
        <v>6.1053168813000003</v>
      </c>
      <c r="BT83" s="4">
        <v>724.72823837999999</v>
      </c>
      <c r="BU83" s="28">
        <v>3.9740154432999999</v>
      </c>
      <c r="BV83" s="4">
        <v>138.26482985000001</v>
      </c>
      <c r="BW83" s="28">
        <v>0.45027228689999999</v>
      </c>
      <c r="BX83" s="4">
        <v>124.88838729</v>
      </c>
      <c r="BY83" s="28">
        <v>4.1129464300000002E-2</v>
      </c>
      <c r="BZ83" s="4">
        <v>0</v>
      </c>
      <c r="CA83" s="33">
        <v>0</v>
      </c>
      <c r="CB83" s="29" t="s">
        <v>136</v>
      </c>
      <c r="CC83" s="30">
        <v>0</v>
      </c>
      <c r="CD83" s="4">
        <v>5.0005805033000001</v>
      </c>
      <c r="CE83" s="28">
        <v>3.2187416699999999E-2</v>
      </c>
      <c r="CF83" s="4">
        <v>64.330220689000001</v>
      </c>
      <c r="CG83" s="28">
        <v>0.47426404459999999</v>
      </c>
      <c r="CH83" s="29" t="s">
        <v>136</v>
      </c>
      <c r="CI83" s="30">
        <v>0</v>
      </c>
      <c r="CJ83" s="29" t="s">
        <v>136</v>
      </c>
      <c r="CK83" s="30">
        <v>0</v>
      </c>
      <c r="CL83" s="4">
        <v>129.65025775000001</v>
      </c>
      <c r="CM83" s="28">
        <v>9.2068121000000003E-2</v>
      </c>
      <c r="CN83" s="4">
        <v>80.179943879000007</v>
      </c>
      <c r="CO83" s="28">
        <v>0.18157357369999999</v>
      </c>
      <c r="CP83" s="29" t="s">
        <v>136</v>
      </c>
      <c r="CQ83" s="30">
        <v>0</v>
      </c>
      <c r="CR83" s="29" t="s">
        <v>136</v>
      </c>
      <c r="CS83" s="30">
        <v>0</v>
      </c>
      <c r="CT83" s="29" t="s">
        <v>136</v>
      </c>
      <c r="CU83" s="30">
        <v>0</v>
      </c>
      <c r="CV83" s="29" t="s">
        <v>136</v>
      </c>
      <c r="CW83" s="30">
        <v>0</v>
      </c>
      <c r="CX83" s="4">
        <v>2.1885185961000002</v>
      </c>
      <c r="CY83" s="28">
        <v>1.5069272099999999E-2</v>
      </c>
      <c r="CZ83" s="4">
        <v>2.0295959414000002</v>
      </c>
      <c r="DA83" s="28">
        <v>1.85055399E-2</v>
      </c>
      <c r="DB83" s="4">
        <v>39.870478122000002</v>
      </c>
      <c r="DC83" s="28">
        <v>0.26892900689999999</v>
      </c>
      <c r="DD83" s="4">
        <v>115.49607233</v>
      </c>
      <c r="DE83" s="28">
        <v>2.3700168218000002</v>
      </c>
      <c r="DF83" s="29" t="s">
        <v>136</v>
      </c>
      <c r="DG83" s="30">
        <v>0</v>
      </c>
      <c r="DH83" s="29" t="s">
        <v>136</v>
      </c>
      <c r="DI83" s="30">
        <v>0</v>
      </c>
      <c r="DJ83" s="4">
        <v>82.091072109999999</v>
      </c>
      <c r="DK83" s="28">
        <v>1.1424818267000001</v>
      </c>
      <c r="DL83" s="4">
        <v>115.75011981999999</v>
      </c>
      <c r="DM83" s="28">
        <v>3.6614357502999999</v>
      </c>
      <c r="DN83" s="4">
        <v>619.43665010999996</v>
      </c>
      <c r="DO83" s="28">
        <v>2.4401170445</v>
      </c>
      <c r="DP83" s="4">
        <v>677.25881561999995</v>
      </c>
      <c r="DQ83" s="28">
        <v>2.7684769663000002</v>
      </c>
      <c r="DR83" s="37">
        <v>4.7363523099999999E-2</v>
      </c>
      <c r="DS83" s="38">
        <v>8.60682948E-2</v>
      </c>
      <c r="DT83" s="38">
        <v>0.110799619</v>
      </c>
      <c r="DU83" s="38">
        <v>0.1263310339</v>
      </c>
      <c r="DV83" s="38">
        <v>0.13719445450000001</v>
      </c>
      <c r="DW83" s="38">
        <v>0.14561020729999999</v>
      </c>
      <c r="DX83" s="38">
        <v>0.15231673670000001</v>
      </c>
      <c r="DY83" s="38">
        <v>0.15785770800000001</v>
      </c>
      <c r="DZ83" s="38">
        <v>0.16251805250000001</v>
      </c>
      <c r="EA83" s="39">
        <v>0.16653297889999999</v>
      </c>
      <c r="EB83" s="40">
        <v>144.77122080999999</v>
      </c>
      <c r="EC83" s="30">
        <v>0.98108394740000004</v>
      </c>
      <c r="ED83" s="31">
        <v>90.000538753000001</v>
      </c>
      <c r="EE83" s="30">
        <v>0.61923495299999998</v>
      </c>
      <c r="EF83" s="31">
        <v>56.627846486000003</v>
      </c>
      <c r="EG83" s="30">
        <v>0.3937983746</v>
      </c>
      <c r="EH83" s="31">
        <v>36.322018434999997</v>
      </c>
      <c r="EI83" s="30">
        <v>0.25505686129999999</v>
      </c>
      <c r="EJ83" s="31">
        <v>23.953101400000001</v>
      </c>
      <c r="EK83" s="30">
        <v>0.1701167308</v>
      </c>
      <c r="EL83" s="31">
        <v>16.296585735000001</v>
      </c>
      <c r="EM83" s="30">
        <v>0.1174625368</v>
      </c>
      <c r="EN83" s="31">
        <v>11.42577558</v>
      </c>
      <c r="EO83" s="30">
        <v>8.4005072E-2</v>
      </c>
      <c r="EP83" s="31">
        <v>8.2399252292000007</v>
      </c>
      <c r="EQ83" s="30">
        <v>6.2170702899999999E-2</v>
      </c>
      <c r="ER83" s="31">
        <v>6.0936820187</v>
      </c>
      <c r="ES83" s="30">
        <v>4.7443889599999997E-2</v>
      </c>
      <c r="ET83" s="31">
        <v>4.6136959812000002</v>
      </c>
      <c r="EU83" s="36">
        <v>3.7232316799999998E-2</v>
      </c>
      <c r="EV83" s="31"/>
      <c r="EW83" s="30"/>
      <c r="EX83" s="31"/>
      <c r="EY83" s="30"/>
      <c r="EZ83" s="31"/>
      <c r="FA83" s="30"/>
      <c r="FB83" s="31"/>
      <c r="FC83" s="30"/>
      <c r="FD83" s="31"/>
      <c r="FE83" s="36"/>
    </row>
    <row r="84" spans="1:161" x14ac:dyDescent="0.2">
      <c r="A84" s="12">
        <v>400000</v>
      </c>
      <c r="B84" s="2">
        <v>1021</v>
      </c>
      <c r="C84" s="15">
        <f t="shared" si="9"/>
        <v>2.6269078207496902E-4</v>
      </c>
      <c r="D84" s="15">
        <f t="shared" si="14"/>
        <v>0.99969305572672296</v>
      </c>
      <c r="E84" s="15">
        <f t="shared" si="17"/>
        <v>1709.6416493340741</v>
      </c>
      <c r="F84" s="26">
        <v>6017.3736744999997</v>
      </c>
      <c r="G84" s="4">
        <v>342869.84759000002</v>
      </c>
      <c r="H84" s="41">
        <f t="shared" si="15"/>
        <v>4.2561390372921455E-2</v>
      </c>
      <c r="I84" s="4">
        <f t="shared" si="10"/>
        <v>1211.6354901100001</v>
      </c>
      <c r="J84" s="4">
        <f>(I84*SUM($B$5:$B84)-I83*SUM($B$5:$B83))/$B84</f>
        <v>14593.017430382073</v>
      </c>
      <c r="K84" s="4">
        <f t="shared" si="11"/>
        <v>5605.2511425098</v>
      </c>
      <c r="L84" s="4">
        <f>(K84*SUM(B$5:B84)-K83*SUM(B$5:B83))/B84</f>
        <v>341407.19159634598</v>
      </c>
      <c r="M84" s="41">
        <f t="shared" si="16"/>
        <v>-4.2659219057462044E-3</v>
      </c>
      <c r="N84" s="4">
        <v>350.43878659000001</v>
      </c>
      <c r="O84" s="28">
        <v>0.18001778369999999</v>
      </c>
      <c r="P84" s="26">
        <v>1160.1108712</v>
      </c>
      <c r="Q84" s="28">
        <v>5.9153542699999999E-2</v>
      </c>
      <c r="R84" s="4">
        <v>233.90382149999999</v>
      </c>
      <c r="S84" s="28">
        <v>1.5414016364000001</v>
      </c>
      <c r="T84" s="4">
        <v>206.88909201000001</v>
      </c>
      <c r="U84" s="28">
        <v>1.1539731318999999</v>
      </c>
      <c r="V84" s="4">
        <v>69.359186966999999</v>
      </c>
      <c r="W84" s="28">
        <v>0.50659937440000002</v>
      </c>
      <c r="X84" s="29" t="s">
        <v>136</v>
      </c>
      <c r="Y84" s="30">
        <v>0</v>
      </c>
      <c r="Z84" s="4">
        <v>211.90646203</v>
      </c>
      <c r="AA84" s="28">
        <v>0.27572623740000002</v>
      </c>
      <c r="AB84" s="29" t="s">
        <v>136</v>
      </c>
      <c r="AC84" s="30">
        <v>0</v>
      </c>
      <c r="AD84" s="29" t="s">
        <v>136</v>
      </c>
      <c r="AE84" s="30">
        <v>0</v>
      </c>
      <c r="AF84" s="4">
        <v>4.2633959724999997</v>
      </c>
      <c r="AG84" s="28">
        <v>3.3978245900000002E-2</v>
      </c>
      <c r="AH84" s="4">
        <v>155.60645083</v>
      </c>
      <c r="AI84" s="28">
        <v>2.6402939846</v>
      </c>
      <c r="AJ84" s="29" t="s">
        <v>136</v>
      </c>
      <c r="AK84" s="30">
        <v>0</v>
      </c>
      <c r="AL84" s="4">
        <v>2.8209009000000002E-3</v>
      </c>
      <c r="AM84" s="28">
        <v>1.0982899999999999E-5</v>
      </c>
      <c r="AN84" s="29" t="s">
        <v>136</v>
      </c>
      <c r="AO84" s="30">
        <v>0</v>
      </c>
      <c r="AP84" s="29" t="s">
        <v>136</v>
      </c>
      <c r="AQ84" s="30">
        <v>0</v>
      </c>
      <c r="AR84" s="4">
        <f t="shared" si="12"/>
        <v>2.8209009000000002E-3</v>
      </c>
      <c r="AS84" s="28">
        <f t="shared" si="12"/>
        <v>1.0982899999999999E-5</v>
      </c>
      <c r="AT84" s="4">
        <v>211.10271785</v>
      </c>
      <c r="AU84" s="28">
        <v>2.4031286164000001</v>
      </c>
      <c r="AV84" s="29" t="s">
        <v>136</v>
      </c>
      <c r="AW84" s="30">
        <v>0</v>
      </c>
      <c r="AX84" s="29" t="s">
        <v>136</v>
      </c>
      <c r="AY84" s="30">
        <v>0</v>
      </c>
      <c r="AZ84" s="29" t="s">
        <v>136</v>
      </c>
      <c r="BA84" s="30">
        <v>0</v>
      </c>
      <c r="BB84" s="4">
        <v>199.30716774999999</v>
      </c>
      <c r="BC84" s="28">
        <v>4.8264165425999996</v>
      </c>
      <c r="BD84" s="4">
        <v>263.10182257000002</v>
      </c>
      <c r="BE84" s="28">
        <v>1.2818914103000001</v>
      </c>
      <c r="BF84" s="4">
        <v>104.96578854000001</v>
      </c>
      <c r="BG84" s="28">
        <v>0.78279812680000005</v>
      </c>
      <c r="BH84" s="4">
        <v>22.642749341999998</v>
      </c>
      <c r="BI84" s="28">
        <v>0.15763235989999999</v>
      </c>
      <c r="BJ84" s="31">
        <f t="shared" si="13"/>
        <v>135.49328468800002</v>
      </c>
      <c r="BK84" s="30">
        <f t="shared" si="13"/>
        <v>0.34146092360000002</v>
      </c>
      <c r="BL84" s="4">
        <v>4.5659377284999998</v>
      </c>
      <c r="BM84" s="41">
        <v>6.2094690000000002E-4</v>
      </c>
      <c r="BN84" s="4">
        <v>1323.0542975999999</v>
      </c>
      <c r="BO84" s="28">
        <v>5.2486753439999996</v>
      </c>
      <c r="BP84" s="28">
        <v>0.22264872490000001</v>
      </c>
      <c r="BQ84" s="28">
        <v>8.6632131000000008E-3</v>
      </c>
      <c r="BR84" s="4">
        <v>220.50258217999999</v>
      </c>
      <c r="BS84" s="28">
        <v>6.1096035915</v>
      </c>
      <c r="BT84" s="4">
        <v>726.19454954000003</v>
      </c>
      <c r="BU84" s="28">
        <v>3.9776924608000002</v>
      </c>
      <c r="BV84" s="4">
        <v>138.48496548</v>
      </c>
      <c r="BW84" s="28">
        <v>0.45054433589999998</v>
      </c>
      <c r="BX84" s="4">
        <v>126.45339291000001</v>
      </c>
      <c r="BY84" s="28">
        <v>4.1399734600000002E-2</v>
      </c>
      <c r="BZ84" s="4">
        <v>0</v>
      </c>
      <c r="CA84" s="33">
        <v>0</v>
      </c>
      <c r="CB84" s="29" t="s">
        <v>136</v>
      </c>
      <c r="CC84" s="30">
        <v>0</v>
      </c>
      <c r="CD84" s="4">
        <v>5.0115660443000003</v>
      </c>
      <c r="CE84" s="28">
        <v>3.2231786700000001E-2</v>
      </c>
      <c r="CF84" s="4">
        <v>64.347620922999994</v>
      </c>
      <c r="CG84" s="28">
        <v>0.47436758769999998</v>
      </c>
      <c r="CH84" s="29" t="s">
        <v>136</v>
      </c>
      <c r="CI84" s="30">
        <v>0</v>
      </c>
      <c r="CJ84" s="29" t="s">
        <v>136</v>
      </c>
      <c r="CK84" s="30">
        <v>0</v>
      </c>
      <c r="CL84" s="4">
        <v>131.26982792000001</v>
      </c>
      <c r="CM84" s="28">
        <v>9.29506945E-2</v>
      </c>
      <c r="CN84" s="4">
        <v>80.636634111999996</v>
      </c>
      <c r="CO84" s="28">
        <v>0.1827755429</v>
      </c>
      <c r="CP84" s="29" t="s">
        <v>136</v>
      </c>
      <c r="CQ84" s="30">
        <v>0</v>
      </c>
      <c r="CR84" s="29" t="s">
        <v>136</v>
      </c>
      <c r="CS84" s="30">
        <v>0</v>
      </c>
      <c r="CT84" s="29" t="s">
        <v>136</v>
      </c>
      <c r="CU84" s="30">
        <v>0</v>
      </c>
      <c r="CV84" s="29" t="s">
        <v>136</v>
      </c>
      <c r="CW84" s="30">
        <v>0</v>
      </c>
      <c r="CX84" s="4">
        <v>2.2319746664000002</v>
      </c>
      <c r="CY84" s="28">
        <v>1.5452082000000001E-2</v>
      </c>
      <c r="CZ84" s="4">
        <v>2.0314213059999999</v>
      </c>
      <c r="DA84" s="28">
        <v>1.85261639E-2</v>
      </c>
      <c r="DB84" s="4">
        <v>40.087014717999999</v>
      </c>
      <c r="DC84" s="28">
        <v>0.27019059670000001</v>
      </c>
      <c r="DD84" s="4">
        <v>115.51943611</v>
      </c>
      <c r="DE84" s="28">
        <v>2.3701033879</v>
      </c>
      <c r="DF84" s="29" t="s">
        <v>136</v>
      </c>
      <c r="DG84" s="30">
        <v>0</v>
      </c>
      <c r="DH84" s="29" t="s">
        <v>136</v>
      </c>
      <c r="DI84" s="30">
        <v>0</v>
      </c>
      <c r="DJ84" s="4">
        <v>83.219809658000003</v>
      </c>
      <c r="DK84" s="28">
        <v>1.1548561472000001</v>
      </c>
      <c r="DL84" s="4">
        <v>116.0873581</v>
      </c>
      <c r="DM84" s="28">
        <v>3.6715603954999998</v>
      </c>
      <c r="DN84" s="4">
        <v>637.44435914999997</v>
      </c>
      <c r="DO84" s="28">
        <v>2.4669604348999998</v>
      </c>
      <c r="DP84" s="4">
        <v>685.60993844999996</v>
      </c>
      <c r="DQ84" s="28">
        <v>2.7817149091000002</v>
      </c>
      <c r="DR84" s="37">
        <v>4.7575043999999997E-2</v>
      </c>
      <c r="DS84" s="38">
        <v>8.6490817400000003E-2</v>
      </c>
      <c r="DT84" s="38">
        <v>0.1114316801</v>
      </c>
      <c r="DU84" s="38">
        <v>0.12716958480000001</v>
      </c>
      <c r="DV84" s="38">
        <v>0.13823376600000001</v>
      </c>
      <c r="DW84" s="38">
        <v>0.1468456944</v>
      </c>
      <c r="DX84" s="38">
        <v>0.1537438149</v>
      </c>
      <c r="DY84" s="38">
        <v>0.1594704774</v>
      </c>
      <c r="DZ84" s="38">
        <v>0.164313248</v>
      </c>
      <c r="EA84" s="39">
        <v>0.16850839749999999</v>
      </c>
      <c r="EB84" s="40">
        <v>144.98190754999999</v>
      </c>
      <c r="EC84" s="30">
        <v>0.981592201</v>
      </c>
      <c r="ED84" s="31">
        <v>90.191502919000001</v>
      </c>
      <c r="EE84" s="30">
        <v>0.61970125580000002</v>
      </c>
      <c r="EF84" s="31">
        <v>56.801349756999997</v>
      </c>
      <c r="EG84" s="30">
        <v>0.39421742780000002</v>
      </c>
      <c r="EH84" s="31">
        <v>36.478444027999998</v>
      </c>
      <c r="EI84" s="30">
        <v>0.25542500670000001</v>
      </c>
      <c r="EJ84" s="31">
        <v>24.092492661000001</v>
      </c>
      <c r="EK84" s="30">
        <v>0.17043326989999999</v>
      </c>
      <c r="EL84" s="31">
        <v>16.420302942999999</v>
      </c>
      <c r="EM84" s="30">
        <v>0.1177331658</v>
      </c>
      <c r="EN84" s="31">
        <v>11.535379547</v>
      </c>
      <c r="EO84" s="30">
        <v>8.4236783400000001E-2</v>
      </c>
      <c r="EP84" s="31">
        <v>8.3363471133000004</v>
      </c>
      <c r="EQ84" s="30">
        <v>6.23690654E-2</v>
      </c>
      <c r="ER84" s="31">
        <v>6.1781946249999997</v>
      </c>
      <c r="ES84" s="30">
        <v>4.7614580300000001E-2</v>
      </c>
      <c r="ET84" s="31">
        <v>4.6870968269000004</v>
      </c>
      <c r="EU84" s="36">
        <v>3.7379623200000003E-2</v>
      </c>
      <c r="EV84" s="31"/>
      <c r="EW84" s="30"/>
      <c r="EX84" s="31"/>
      <c r="EY84" s="30"/>
      <c r="EZ84" s="31"/>
      <c r="FA84" s="30"/>
      <c r="FB84" s="31"/>
      <c r="FC84" s="30"/>
      <c r="FD84" s="31"/>
      <c r="FE84" s="36"/>
    </row>
    <row r="85" spans="1:161" x14ac:dyDescent="0.2">
      <c r="A85" s="12">
        <v>500000</v>
      </c>
      <c r="B85" s="2">
        <v>478</v>
      </c>
      <c r="C85" s="15">
        <f t="shared" si="9"/>
        <v>1.2298353950228715E-4</v>
      </c>
      <c r="D85" s="15">
        <f t="shared" si="14"/>
        <v>0.9998160392662252</v>
      </c>
      <c r="E85" s="15">
        <f t="shared" si="17"/>
        <v>1710.4891807611034</v>
      </c>
      <c r="F85" s="26">
        <v>6040.6454922000003</v>
      </c>
      <c r="G85" s="4">
        <v>443571.48762999999</v>
      </c>
      <c r="H85" s="41">
        <f t="shared" si="15"/>
        <v>5.2150854702684324E-2</v>
      </c>
      <c r="I85" s="4">
        <f t="shared" si="10"/>
        <v>1214.3319079099999</v>
      </c>
      <c r="J85" s="4">
        <f>(I85*SUM($B$5:$B85)-I84*SUM($B$5:$B84))/$B85</f>
        <v>23132.632201645665</v>
      </c>
      <c r="K85" s="4">
        <f t="shared" si="11"/>
        <v>5658.4933138334</v>
      </c>
      <c r="L85" s="4">
        <f>(K85*SUM(B$5:B85)-K84*SUM(B$5:B84))/B85</f>
        <v>438446.727897253</v>
      </c>
      <c r="M85" s="41">
        <f t="shared" si="16"/>
        <v>-1.1553402046034446E-2</v>
      </c>
      <c r="N85" s="4">
        <v>351.13660176000002</v>
      </c>
      <c r="O85" s="28">
        <v>0.18015875949999999</v>
      </c>
      <c r="P85" s="26">
        <v>1190.11447</v>
      </c>
      <c r="Q85" s="28">
        <v>5.9546431099999998E-2</v>
      </c>
      <c r="R85" s="4">
        <v>233.99612528</v>
      </c>
      <c r="S85" s="28">
        <v>1.5416610893</v>
      </c>
      <c r="T85" s="4">
        <v>207.27964183</v>
      </c>
      <c r="U85" s="28">
        <v>1.1549418056</v>
      </c>
      <c r="V85" s="4">
        <v>69.374171895000003</v>
      </c>
      <c r="W85" s="28">
        <v>0.50667795849999997</v>
      </c>
      <c r="X85" s="29" t="s">
        <v>136</v>
      </c>
      <c r="Y85" s="30">
        <v>0</v>
      </c>
      <c r="Z85" s="4">
        <v>212.76562017000001</v>
      </c>
      <c r="AA85" s="28">
        <v>0.27659765990000001</v>
      </c>
      <c r="AB85" s="29" t="s">
        <v>136</v>
      </c>
      <c r="AC85" s="30">
        <v>0</v>
      </c>
      <c r="AD85" s="29" t="s">
        <v>136</v>
      </c>
      <c r="AE85" s="30">
        <v>0</v>
      </c>
      <c r="AF85" s="4">
        <v>4.3145972750999997</v>
      </c>
      <c r="AG85" s="28">
        <v>3.4215242700000002E-2</v>
      </c>
      <c r="AH85" s="4">
        <v>155.78090007</v>
      </c>
      <c r="AI85" s="28">
        <v>2.6412491143999999</v>
      </c>
      <c r="AJ85" s="29" t="s">
        <v>136</v>
      </c>
      <c r="AK85" s="30">
        <v>0</v>
      </c>
      <c r="AL85" s="4">
        <v>2.8801679999999998E-3</v>
      </c>
      <c r="AM85" s="28">
        <v>1.11247E-5</v>
      </c>
      <c r="AN85" s="29" t="s">
        <v>136</v>
      </c>
      <c r="AO85" s="30">
        <v>0</v>
      </c>
      <c r="AP85" s="29" t="s">
        <v>136</v>
      </c>
      <c r="AQ85" s="30">
        <v>0</v>
      </c>
      <c r="AR85" s="4">
        <f t="shared" si="12"/>
        <v>2.8801679999999998E-3</v>
      </c>
      <c r="AS85" s="28">
        <f t="shared" si="12"/>
        <v>1.11247E-5</v>
      </c>
      <c r="AT85" s="4">
        <v>211.20004766</v>
      </c>
      <c r="AU85" s="28">
        <v>2.4043581612999998</v>
      </c>
      <c r="AV85" s="29" t="s">
        <v>136</v>
      </c>
      <c r="AW85" s="30">
        <v>0</v>
      </c>
      <c r="AX85" s="29" t="s">
        <v>136</v>
      </c>
      <c r="AY85" s="30">
        <v>0</v>
      </c>
      <c r="AZ85" s="29" t="s">
        <v>136</v>
      </c>
      <c r="BA85" s="30">
        <v>0</v>
      </c>
      <c r="BB85" s="4">
        <v>200.24569031999999</v>
      </c>
      <c r="BC85" s="28">
        <v>4.8395468224</v>
      </c>
      <c r="BD85" s="4">
        <v>264.03361596000002</v>
      </c>
      <c r="BE85" s="28">
        <v>1.2838133767</v>
      </c>
      <c r="BF85" s="4">
        <v>105.19907399</v>
      </c>
      <c r="BG85" s="28">
        <v>0.78387189859999995</v>
      </c>
      <c r="BH85" s="4">
        <v>22.662553462999998</v>
      </c>
      <c r="BI85" s="28">
        <v>0.15768289639999999</v>
      </c>
      <c r="BJ85" s="31">
        <f t="shared" si="13"/>
        <v>136.17198850700004</v>
      </c>
      <c r="BK85" s="30">
        <f t="shared" si="13"/>
        <v>0.34225858170000001</v>
      </c>
      <c r="BL85" s="4">
        <v>4.7202627673000004</v>
      </c>
      <c r="BM85" s="41">
        <v>6.3499960000000001E-4</v>
      </c>
      <c r="BN85" s="4">
        <v>1339.1939006</v>
      </c>
      <c r="BO85" s="28">
        <v>5.2736057455000003</v>
      </c>
      <c r="BP85" s="28">
        <v>0.22727913890000001</v>
      </c>
      <c r="BQ85" s="28">
        <v>8.9358308000000008E-3</v>
      </c>
      <c r="BR85" s="4">
        <v>220.69021905</v>
      </c>
      <c r="BS85" s="28">
        <v>6.1119653890999999</v>
      </c>
      <c r="BT85" s="4">
        <v>727.13716608000004</v>
      </c>
      <c r="BU85" s="28">
        <v>3.9795191096</v>
      </c>
      <c r="BV85" s="4">
        <v>138.86323851</v>
      </c>
      <c r="BW85" s="28">
        <v>0.4506825558</v>
      </c>
      <c r="BX85" s="4">
        <v>127.64128427</v>
      </c>
      <c r="BY85" s="28">
        <v>4.1611877899999997E-2</v>
      </c>
      <c r="BZ85" s="4">
        <v>0</v>
      </c>
      <c r="CA85" s="33">
        <v>0</v>
      </c>
      <c r="CB85" s="29" t="s">
        <v>136</v>
      </c>
      <c r="CC85" s="30">
        <v>0</v>
      </c>
      <c r="CD85" s="4">
        <v>5.0145676208000003</v>
      </c>
      <c r="CE85" s="28">
        <v>3.2244166400000003E-2</v>
      </c>
      <c r="CF85" s="4">
        <v>64.359604274000006</v>
      </c>
      <c r="CG85" s="28">
        <v>0.47443379209999997</v>
      </c>
      <c r="CH85" s="29" t="s">
        <v>136</v>
      </c>
      <c r="CI85" s="30">
        <v>0</v>
      </c>
      <c r="CJ85" s="29" t="s">
        <v>136</v>
      </c>
      <c r="CK85" s="30">
        <v>0</v>
      </c>
      <c r="CL85" s="4">
        <v>131.87167923999999</v>
      </c>
      <c r="CM85" s="28">
        <v>9.3285721200000005E-2</v>
      </c>
      <c r="CN85" s="4">
        <v>80.893940932999996</v>
      </c>
      <c r="CO85" s="28">
        <v>0.18331193870000001</v>
      </c>
      <c r="CP85" s="29" t="s">
        <v>136</v>
      </c>
      <c r="CQ85" s="30">
        <v>0</v>
      </c>
      <c r="CR85" s="29" t="s">
        <v>136</v>
      </c>
      <c r="CS85" s="30">
        <v>0</v>
      </c>
      <c r="CT85" s="29" t="s">
        <v>136</v>
      </c>
      <c r="CU85" s="30">
        <v>0</v>
      </c>
      <c r="CV85" s="29" t="s">
        <v>136</v>
      </c>
      <c r="CW85" s="30">
        <v>0</v>
      </c>
      <c r="CX85" s="4">
        <v>2.2823533455999998</v>
      </c>
      <c r="CY85" s="28">
        <v>1.5683058600000001E-2</v>
      </c>
      <c r="CZ85" s="4">
        <v>2.0322439295999999</v>
      </c>
      <c r="DA85" s="28">
        <v>1.8532184100000001E-2</v>
      </c>
      <c r="DB85" s="4">
        <v>40.240006712000003</v>
      </c>
      <c r="DC85" s="28">
        <v>0.27093809749999997</v>
      </c>
      <c r="DD85" s="4">
        <v>115.54089336</v>
      </c>
      <c r="DE85" s="28">
        <v>2.3703110169000001</v>
      </c>
      <c r="DF85" s="29" t="s">
        <v>136</v>
      </c>
      <c r="DG85" s="30">
        <v>0</v>
      </c>
      <c r="DH85" s="29" t="s">
        <v>136</v>
      </c>
      <c r="DI85" s="30">
        <v>0</v>
      </c>
      <c r="DJ85" s="4">
        <v>83.936161553999995</v>
      </c>
      <c r="DK85" s="28">
        <v>1.1621831588</v>
      </c>
      <c r="DL85" s="4">
        <v>116.30952877</v>
      </c>
      <c r="DM85" s="28">
        <v>3.6773636636</v>
      </c>
      <c r="DN85" s="4">
        <v>648.83904192</v>
      </c>
      <c r="DO85" s="28">
        <v>2.4847546826000002</v>
      </c>
      <c r="DP85" s="4">
        <v>690.35485872000004</v>
      </c>
      <c r="DQ85" s="28">
        <v>2.7888510629000001</v>
      </c>
      <c r="DR85" s="37">
        <v>4.76739448E-2</v>
      </c>
      <c r="DS85" s="38">
        <v>8.6689356699999998E-2</v>
      </c>
      <c r="DT85" s="38">
        <v>0.1117295743</v>
      </c>
      <c r="DU85" s="38">
        <v>0.1275656604</v>
      </c>
      <c r="DV85" s="38">
        <v>0.13872668160000001</v>
      </c>
      <c r="DW85" s="38">
        <v>0.14743510230000001</v>
      </c>
      <c r="DX85" s="38">
        <v>0.15442842870000001</v>
      </c>
      <c r="DY85" s="38">
        <v>0.16024970059999999</v>
      </c>
      <c r="DZ85" s="38">
        <v>0.1651853996</v>
      </c>
      <c r="EA85" s="39">
        <v>0.1694729431</v>
      </c>
      <c r="EB85" s="40">
        <v>145.06728362000001</v>
      </c>
      <c r="EC85" s="30">
        <v>0.98184073949999995</v>
      </c>
      <c r="ED85" s="31">
        <v>90.268197653000001</v>
      </c>
      <c r="EE85" s="30">
        <v>0.61992791989999996</v>
      </c>
      <c r="EF85" s="31">
        <v>56.868856020000003</v>
      </c>
      <c r="EG85" s="30">
        <v>0.39441819439999998</v>
      </c>
      <c r="EH85" s="31">
        <v>36.537077437000001</v>
      </c>
      <c r="EI85" s="30">
        <v>0.25560055910000001</v>
      </c>
      <c r="EJ85" s="31">
        <v>24.144242380000001</v>
      </c>
      <c r="EK85" s="30">
        <v>0.170585717</v>
      </c>
      <c r="EL85" s="31">
        <v>16.465410932000001</v>
      </c>
      <c r="EM85" s="30">
        <v>0.1178634402</v>
      </c>
      <c r="EN85" s="31">
        <v>11.574350553</v>
      </c>
      <c r="EO85" s="30">
        <v>8.4348062299999998E-2</v>
      </c>
      <c r="EP85" s="31">
        <v>8.3700898329999998</v>
      </c>
      <c r="EQ85" s="30">
        <v>6.24645297E-2</v>
      </c>
      <c r="ER85" s="31">
        <v>6.2074036302</v>
      </c>
      <c r="ES85" s="30">
        <v>4.7698521200000003E-2</v>
      </c>
      <c r="ET85" s="31">
        <v>4.7118855296</v>
      </c>
      <c r="EU85" s="36">
        <v>3.7452720199999998E-2</v>
      </c>
      <c r="EV85" s="31"/>
      <c r="EW85" s="30"/>
      <c r="EX85" s="31"/>
      <c r="EY85" s="30"/>
      <c r="EZ85" s="31"/>
      <c r="FA85" s="30"/>
      <c r="FB85" s="31"/>
      <c r="FC85" s="30"/>
      <c r="FD85" s="31"/>
      <c r="FE85" s="36"/>
    </row>
    <row r="86" spans="1:161" x14ac:dyDescent="0.2">
      <c r="A86" s="12">
        <v>1000000</v>
      </c>
      <c r="B86" s="2">
        <v>598</v>
      </c>
      <c r="C86" s="15">
        <f t="shared" si="9"/>
        <v>1.5385806824763122E-4</v>
      </c>
      <c r="D86" s="15">
        <f t="shared" si="14"/>
        <v>0.99996989733447283</v>
      </c>
      <c r="E86" s="15">
        <f t="shared" si="17"/>
        <v>1711.5556865082108</v>
      </c>
      <c r="F86" s="26">
        <v>6075.9955989</v>
      </c>
      <c r="G86" s="4">
        <v>648500.43969000003</v>
      </c>
      <c r="H86" s="41">
        <f t="shared" si="15"/>
        <v>3.4848884955969016E-2</v>
      </c>
      <c r="I86" s="4">
        <f t="shared" si="10"/>
        <v>1217.62229026</v>
      </c>
      <c r="J86" s="4">
        <f>(I86*SUM($B$5:$B86)-I85*SUM($B$5:$B85))/$B86</f>
        <v>22599.517216652133</v>
      </c>
      <c r="K86" s="4">
        <f t="shared" si="11"/>
        <v>5752.6201656380999</v>
      </c>
      <c r="L86" s="4">
        <f>(K86*SUM(B$5:B86)-K85*SUM(B$5:B85))/B86</f>
        <v>617417.23568977555</v>
      </c>
      <c r="M86" s="41">
        <f t="shared" si="16"/>
        <v>-4.7930891172692267E-2</v>
      </c>
      <c r="N86" s="4">
        <v>351.79545115000002</v>
      </c>
      <c r="O86" s="28">
        <v>0.18029897140000001</v>
      </c>
      <c r="P86" s="26">
        <v>1249.0572724000001</v>
      </c>
      <c r="Q86" s="28">
        <v>6.0158562899999997E-2</v>
      </c>
      <c r="R86" s="4">
        <v>234.12776224999999</v>
      </c>
      <c r="S86" s="28">
        <v>1.5419379177000001</v>
      </c>
      <c r="T86" s="4">
        <v>207.74026445999999</v>
      </c>
      <c r="U86" s="28">
        <v>1.1559750598</v>
      </c>
      <c r="V86" s="4">
        <v>69.398155055999993</v>
      </c>
      <c r="W86" s="28">
        <v>0.50677366609999996</v>
      </c>
      <c r="X86" s="29" t="s">
        <v>136</v>
      </c>
      <c r="Y86" s="30">
        <v>0</v>
      </c>
      <c r="Z86" s="4">
        <v>213.72471716999999</v>
      </c>
      <c r="AA86" s="28">
        <v>0.27752773809999998</v>
      </c>
      <c r="AB86" s="29" t="s">
        <v>136</v>
      </c>
      <c r="AC86" s="30">
        <v>0</v>
      </c>
      <c r="AD86" s="29" t="s">
        <v>136</v>
      </c>
      <c r="AE86" s="30">
        <v>0</v>
      </c>
      <c r="AF86" s="4">
        <v>4.3714070330999997</v>
      </c>
      <c r="AG86" s="28">
        <v>3.4510077700000003E-2</v>
      </c>
      <c r="AH86" s="4">
        <v>156.12768801999999</v>
      </c>
      <c r="AI86" s="28">
        <v>2.6426743489</v>
      </c>
      <c r="AJ86" s="29" t="s">
        <v>136</v>
      </c>
      <c r="AK86" s="30">
        <v>0</v>
      </c>
      <c r="AL86" s="4">
        <v>2.8791884000000001E-3</v>
      </c>
      <c r="AM86" s="28">
        <v>1.11208E-5</v>
      </c>
      <c r="AN86" s="29" t="s">
        <v>136</v>
      </c>
      <c r="AO86" s="30">
        <v>0</v>
      </c>
      <c r="AP86" s="29" t="s">
        <v>136</v>
      </c>
      <c r="AQ86" s="30">
        <v>0</v>
      </c>
      <c r="AR86" s="4">
        <f t="shared" si="12"/>
        <v>2.8791884000000001E-3</v>
      </c>
      <c r="AS86" s="28">
        <f t="shared" si="12"/>
        <v>1.11208E-5</v>
      </c>
      <c r="AT86" s="4">
        <v>211.33086584</v>
      </c>
      <c r="AU86" s="28">
        <v>2.4060867791999998</v>
      </c>
      <c r="AV86" s="29" t="s">
        <v>136</v>
      </c>
      <c r="AW86" s="30">
        <v>0</v>
      </c>
      <c r="AX86" s="29" t="s">
        <v>136</v>
      </c>
      <c r="AY86" s="30">
        <v>0</v>
      </c>
      <c r="AZ86" s="29" t="s">
        <v>136</v>
      </c>
      <c r="BA86" s="30">
        <v>0</v>
      </c>
      <c r="BB86" s="4">
        <v>201.71134806000001</v>
      </c>
      <c r="BC86" s="28">
        <v>4.8565943153999998</v>
      </c>
      <c r="BD86" s="4">
        <v>265.16069467</v>
      </c>
      <c r="BE86" s="28">
        <v>1.2862360434</v>
      </c>
      <c r="BF86" s="4">
        <v>105.44028742</v>
      </c>
      <c r="BG86" s="28">
        <v>0.78529586409999996</v>
      </c>
      <c r="BH86" s="4">
        <v>22.676365513</v>
      </c>
      <c r="BI86" s="28">
        <v>0.1577646365</v>
      </c>
      <c r="BJ86" s="31">
        <f t="shared" si="13"/>
        <v>137.04404173699999</v>
      </c>
      <c r="BK86" s="30">
        <f t="shared" si="13"/>
        <v>0.34317554280000007</v>
      </c>
      <c r="BL86" s="4">
        <v>5.1543103922000002</v>
      </c>
      <c r="BM86" s="41">
        <v>6.745516E-4</v>
      </c>
      <c r="BN86" s="4">
        <v>1365.2921805000001</v>
      </c>
      <c r="BO86" s="28">
        <v>5.3051130712000001</v>
      </c>
      <c r="BP86" s="28">
        <v>0.2359682018</v>
      </c>
      <c r="BQ86" s="28">
        <v>9.7826452000000005E-3</v>
      </c>
      <c r="BR86" s="4">
        <v>220.90595105</v>
      </c>
      <c r="BS86" s="28">
        <v>6.114625964</v>
      </c>
      <c r="BT86" s="4">
        <v>728.20367867000004</v>
      </c>
      <c r="BU86" s="28">
        <v>3.9816274534999998</v>
      </c>
      <c r="BV86" s="4">
        <v>139.02277698</v>
      </c>
      <c r="BW86" s="28">
        <v>0.45083395450000002</v>
      </c>
      <c r="BX86" s="4">
        <v>129.48988356000001</v>
      </c>
      <c r="BY86" s="28">
        <v>4.1815005099999997E-2</v>
      </c>
      <c r="BZ86" s="4">
        <v>0</v>
      </c>
      <c r="CA86" s="33">
        <v>0</v>
      </c>
      <c r="CB86" s="29" t="s">
        <v>136</v>
      </c>
      <c r="CC86" s="30">
        <v>0</v>
      </c>
      <c r="CD86" s="4">
        <v>5.0247156939000002</v>
      </c>
      <c r="CE86" s="28">
        <v>3.2262541899999997E-2</v>
      </c>
      <c r="CF86" s="4">
        <v>64.373439361999999</v>
      </c>
      <c r="CG86" s="28">
        <v>0.47451112429999998</v>
      </c>
      <c r="CH86" s="29" t="s">
        <v>136</v>
      </c>
      <c r="CI86" s="30">
        <v>0</v>
      </c>
      <c r="CJ86" s="29" t="s">
        <v>136</v>
      </c>
      <c r="CK86" s="30">
        <v>0</v>
      </c>
      <c r="CL86" s="4">
        <v>132.60208498</v>
      </c>
      <c r="CM86" s="28">
        <v>9.3634347000000007E-2</v>
      </c>
      <c r="CN86" s="4">
        <v>81.122632183999997</v>
      </c>
      <c r="CO86" s="28">
        <v>0.1838933911</v>
      </c>
      <c r="CP86" s="29" t="s">
        <v>136</v>
      </c>
      <c r="CQ86" s="30">
        <v>0</v>
      </c>
      <c r="CR86" s="29" t="s">
        <v>136</v>
      </c>
      <c r="CS86" s="30">
        <v>0</v>
      </c>
      <c r="CT86" s="29" t="s">
        <v>136</v>
      </c>
      <c r="CU86" s="30">
        <v>0</v>
      </c>
      <c r="CV86" s="29" t="s">
        <v>136</v>
      </c>
      <c r="CW86" s="30">
        <v>0</v>
      </c>
      <c r="CX86" s="4">
        <v>2.3362911396000001</v>
      </c>
      <c r="CY86" s="28">
        <v>1.5957133299999999E-2</v>
      </c>
      <c r="CZ86" s="4">
        <v>2.0351158935</v>
      </c>
      <c r="DA86" s="28">
        <v>1.85529444E-2</v>
      </c>
      <c r="DB86" s="4">
        <v>40.540514932999997</v>
      </c>
      <c r="DC86" s="28">
        <v>0.27199345959999999</v>
      </c>
      <c r="DD86" s="4">
        <v>115.58717308999999</v>
      </c>
      <c r="DE86" s="28">
        <v>2.3706808893</v>
      </c>
      <c r="DF86" s="29" t="s">
        <v>136</v>
      </c>
      <c r="DG86" s="30">
        <v>0</v>
      </c>
      <c r="DH86" s="29" t="s">
        <v>136</v>
      </c>
      <c r="DI86" s="30">
        <v>0</v>
      </c>
      <c r="DJ86" s="4">
        <v>85.139591304000007</v>
      </c>
      <c r="DK86" s="28">
        <v>1.1718311101000001</v>
      </c>
      <c r="DL86" s="4">
        <v>116.57175675000001</v>
      </c>
      <c r="DM86" s="28">
        <v>3.6847632052999999</v>
      </c>
      <c r="DN86" s="4">
        <v>666.53009582000004</v>
      </c>
      <c r="DO86" s="28">
        <v>2.5063647117999999</v>
      </c>
      <c r="DP86" s="4">
        <v>698.76208465000002</v>
      </c>
      <c r="DQ86" s="28">
        <v>2.7987483594000002</v>
      </c>
      <c r="DR86" s="37">
        <v>4.7794375100000001E-2</v>
      </c>
      <c r="DS86" s="38">
        <v>8.6930517200000001E-2</v>
      </c>
      <c r="DT86" s="38">
        <v>0.11209138389999999</v>
      </c>
      <c r="DU86" s="38">
        <v>0.12804782009999999</v>
      </c>
      <c r="DV86" s="38">
        <v>0.13932858270000001</v>
      </c>
      <c r="DW86" s="38">
        <v>0.1481563763</v>
      </c>
      <c r="DX86" s="38">
        <v>0.1552672266</v>
      </c>
      <c r="DY86" s="38">
        <v>0.16120477699999999</v>
      </c>
      <c r="DZ86" s="38">
        <v>0.16625376889999999</v>
      </c>
      <c r="EA86" s="39">
        <v>0.17065441789999999</v>
      </c>
      <c r="EB86" s="40">
        <v>145.18717022999999</v>
      </c>
      <c r="EC86" s="30">
        <v>0.98210464490000005</v>
      </c>
      <c r="ED86" s="31">
        <v>90.375936753999994</v>
      </c>
      <c r="EE86" s="30">
        <v>0.62017327489999996</v>
      </c>
      <c r="EF86" s="31">
        <v>56.964003517000002</v>
      </c>
      <c r="EG86" s="30">
        <v>0.39464120450000001</v>
      </c>
      <c r="EH86" s="31">
        <v>36.619467593000003</v>
      </c>
      <c r="EI86" s="30">
        <v>0.25579856090000003</v>
      </c>
      <c r="EJ86" s="31">
        <v>24.214162713</v>
      </c>
      <c r="EK86" s="30">
        <v>0.17075963829999999</v>
      </c>
      <c r="EL86" s="31">
        <v>16.523998023000001</v>
      </c>
      <c r="EM86" s="30">
        <v>0.11801526010000001</v>
      </c>
      <c r="EN86" s="31">
        <v>11.627171058</v>
      </c>
      <c r="EO86" s="30">
        <v>8.4481261500000002E-2</v>
      </c>
      <c r="EP86" s="31">
        <v>8.4174094575999998</v>
      </c>
      <c r="EQ86" s="30">
        <v>6.2580181600000007E-2</v>
      </c>
      <c r="ER86" s="31">
        <v>6.2503954102000003</v>
      </c>
      <c r="ES86" s="30">
        <v>4.7799466700000001E-2</v>
      </c>
      <c r="ET86" s="31">
        <v>4.7509244075000003</v>
      </c>
      <c r="EU86" s="36">
        <v>3.7540726900000002E-2</v>
      </c>
      <c r="EV86" s="31"/>
      <c r="EW86" s="30"/>
      <c r="EX86" s="31"/>
      <c r="EY86" s="30"/>
      <c r="EZ86" s="31"/>
      <c r="FA86" s="30"/>
      <c r="FB86" s="31"/>
      <c r="FC86" s="30"/>
      <c r="FD86" s="31"/>
      <c r="FE86" s="36"/>
    </row>
    <row r="87" spans="1:161" x14ac:dyDescent="0.2">
      <c r="A87" s="12">
        <v>2000000</v>
      </c>
      <c r="B87" s="2">
        <v>105</v>
      </c>
      <c r="C87" s="15">
        <f t="shared" si="9"/>
        <v>2.7015212652176048E-5</v>
      </c>
      <c r="D87" s="15">
        <f t="shared" si="14"/>
        <v>0.99999691254712497</v>
      </c>
      <c r="E87" s="15">
        <f t="shared" si="17"/>
        <v>1711.7432778873115</v>
      </c>
      <c r="F87" s="26">
        <v>6086.6595631</v>
      </c>
      <c r="G87" s="4">
        <v>1343127.7834000001</v>
      </c>
      <c r="H87" s="41">
        <f t="shared" si="15"/>
        <v>1.2265971378731264E-2</v>
      </c>
      <c r="I87" s="4">
        <f t="shared" si="10"/>
        <v>1218.03446654</v>
      </c>
      <c r="J87" s="4">
        <f>(I87*SUM($B$5:$B87)-I86*SUM($B$5:$B86))/$B87</f>
        <v>16474.766949163164</v>
      </c>
      <c r="K87" s="4">
        <f t="shared" si="11"/>
        <v>5784.4885628515003</v>
      </c>
      <c r="L87" s="4">
        <f>(K87*SUM(B$5:B87)-K86*SUM(B$5:B86))/B87</f>
        <v>1185395.3359767005</v>
      </c>
      <c r="M87" s="41">
        <f t="shared" si="16"/>
        <v>-0.11743666490467115</v>
      </c>
      <c r="N87" s="4">
        <v>351.88451487999998</v>
      </c>
      <c r="O87" s="28">
        <v>0.1803158695</v>
      </c>
      <c r="P87" s="26">
        <v>1273.2992108999999</v>
      </c>
      <c r="Q87" s="28">
        <v>6.0281855199999998E-2</v>
      </c>
      <c r="R87" s="4">
        <v>234.13193633</v>
      </c>
      <c r="S87" s="28">
        <v>1.5419497758</v>
      </c>
      <c r="T87" s="4">
        <v>207.79515196</v>
      </c>
      <c r="U87" s="28">
        <v>1.1561698643</v>
      </c>
      <c r="V87" s="4">
        <v>69.400965532000001</v>
      </c>
      <c r="W87" s="28">
        <v>0.50678946430000005</v>
      </c>
      <c r="X87" s="29" t="s">
        <v>136</v>
      </c>
      <c r="Y87" s="30">
        <v>0</v>
      </c>
      <c r="Z87" s="4">
        <v>213.78454371000001</v>
      </c>
      <c r="AA87" s="28">
        <v>0.2776161875</v>
      </c>
      <c r="AB87" s="29" t="s">
        <v>136</v>
      </c>
      <c r="AC87" s="30">
        <v>0</v>
      </c>
      <c r="AD87" s="29" t="s">
        <v>136</v>
      </c>
      <c r="AE87" s="30">
        <v>0</v>
      </c>
      <c r="AF87" s="4">
        <v>4.3780330379999999</v>
      </c>
      <c r="AG87" s="28">
        <v>3.4556911799999999E-2</v>
      </c>
      <c r="AH87" s="4">
        <v>156.15202539000001</v>
      </c>
      <c r="AI87" s="28">
        <v>2.6429496225000002</v>
      </c>
      <c r="AJ87" s="29" t="s">
        <v>136</v>
      </c>
      <c r="AK87" s="30">
        <v>0</v>
      </c>
      <c r="AL87" s="4">
        <v>2.8788746999999998E-3</v>
      </c>
      <c r="AM87" s="28">
        <v>1.1119599999999999E-5</v>
      </c>
      <c r="AN87" s="29" t="s">
        <v>136</v>
      </c>
      <c r="AO87" s="30">
        <v>0</v>
      </c>
      <c r="AP87" s="29" t="s">
        <v>136</v>
      </c>
      <c r="AQ87" s="30">
        <v>0</v>
      </c>
      <c r="AR87" s="4">
        <f t="shared" si="12"/>
        <v>2.8788746999999998E-3</v>
      </c>
      <c r="AS87" s="28">
        <f t="shared" si="12"/>
        <v>1.1119599999999999E-5</v>
      </c>
      <c r="AT87" s="4">
        <v>211.35044346000001</v>
      </c>
      <c r="AU87" s="28">
        <v>2.4064752669999998</v>
      </c>
      <c r="AV87" s="29" t="s">
        <v>136</v>
      </c>
      <c r="AW87" s="30">
        <v>0</v>
      </c>
      <c r="AX87" s="29" t="s">
        <v>136</v>
      </c>
      <c r="AY87" s="30">
        <v>0</v>
      </c>
      <c r="AZ87" s="29" t="s">
        <v>136</v>
      </c>
      <c r="BA87" s="30">
        <v>0</v>
      </c>
      <c r="BB87" s="4">
        <v>202.14812818999999</v>
      </c>
      <c r="BC87" s="28">
        <v>4.8611352739999996</v>
      </c>
      <c r="BD87" s="4">
        <v>265.24276090000001</v>
      </c>
      <c r="BE87" s="28">
        <v>1.2866367939000001</v>
      </c>
      <c r="BF87" s="4">
        <v>105.4593734</v>
      </c>
      <c r="BG87" s="28">
        <v>0.78558093070000001</v>
      </c>
      <c r="BH87" s="4">
        <v>22.678612308000002</v>
      </c>
      <c r="BI87" s="28">
        <v>0.15778468270000001</v>
      </c>
      <c r="BJ87" s="31">
        <f t="shared" si="13"/>
        <v>137.10477519200001</v>
      </c>
      <c r="BK87" s="30">
        <f t="shared" si="13"/>
        <v>0.34327118050000005</v>
      </c>
      <c r="BL87" s="4">
        <v>5.2151279721000003</v>
      </c>
      <c r="BM87" s="41">
        <v>6.7955960000000003E-4</v>
      </c>
      <c r="BN87" s="4">
        <v>1371.6654963000001</v>
      </c>
      <c r="BO87" s="28">
        <v>5.3097978529000001</v>
      </c>
      <c r="BP87" s="28">
        <v>0.23896127070000001</v>
      </c>
      <c r="BQ87" s="28">
        <v>9.8713058000000006E-3</v>
      </c>
      <c r="BR87" s="4">
        <v>220.93270827000001</v>
      </c>
      <c r="BS87" s="28">
        <v>6.1149870429000002</v>
      </c>
      <c r="BT87" s="4">
        <v>728.37840034999999</v>
      </c>
      <c r="BU87" s="28">
        <v>3.9819217748</v>
      </c>
      <c r="BV87" s="4">
        <v>139.06207254</v>
      </c>
      <c r="BW87" s="28">
        <v>0.4508792304</v>
      </c>
      <c r="BX87" s="4">
        <v>129.66128538000001</v>
      </c>
      <c r="BY87" s="28">
        <v>4.18452531E-2</v>
      </c>
      <c r="BZ87" s="4">
        <v>0</v>
      </c>
      <c r="CA87" s="33">
        <v>0</v>
      </c>
      <c r="CB87" s="29" t="s">
        <v>136</v>
      </c>
      <c r="CC87" s="30">
        <v>0</v>
      </c>
      <c r="CD87" s="4">
        <v>5.0246179578000003</v>
      </c>
      <c r="CE87" s="28">
        <v>3.22619039E-2</v>
      </c>
      <c r="CF87" s="4">
        <v>64.376347573999993</v>
      </c>
      <c r="CG87" s="28">
        <v>0.47452756039999999</v>
      </c>
      <c r="CH87" s="29" t="s">
        <v>136</v>
      </c>
      <c r="CI87" s="30">
        <v>0</v>
      </c>
      <c r="CJ87" s="29" t="s">
        <v>136</v>
      </c>
      <c r="CK87" s="30">
        <v>0</v>
      </c>
      <c r="CL87" s="4">
        <v>132.64863338000001</v>
      </c>
      <c r="CM87" s="28">
        <v>9.3659542700000001E-2</v>
      </c>
      <c r="CN87" s="4">
        <v>81.135910327999994</v>
      </c>
      <c r="CO87" s="28">
        <v>0.1839566447</v>
      </c>
      <c r="CP87" s="29" t="s">
        <v>136</v>
      </c>
      <c r="CQ87" s="30">
        <v>0</v>
      </c>
      <c r="CR87" s="29" t="s">
        <v>136</v>
      </c>
      <c r="CS87" s="30">
        <v>0</v>
      </c>
      <c r="CT87" s="29" t="s">
        <v>136</v>
      </c>
      <c r="CU87" s="30">
        <v>0</v>
      </c>
      <c r="CV87" s="29" t="s">
        <v>136</v>
      </c>
      <c r="CW87" s="30">
        <v>0</v>
      </c>
      <c r="CX87" s="4">
        <v>2.3361937795999999</v>
      </c>
      <c r="CY87" s="28">
        <v>1.5956542300000001E-2</v>
      </c>
      <c r="CZ87" s="4">
        <v>2.0418392584</v>
      </c>
      <c r="DA87" s="28">
        <v>1.8600369499999998E-2</v>
      </c>
      <c r="DB87" s="4">
        <v>40.556753673999999</v>
      </c>
      <c r="DC87" s="28">
        <v>0.27214006349999997</v>
      </c>
      <c r="DD87" s="4">
        <v>115.59527172</v>
      </c>
      <c r="DE87" s="28">
        <v>2.370809559</v>
      </c>
      <c r="DF87" s="29" t="s">
        <v>136</v>
      </c>
      <c r="DG87" s="30">
        <v>0</v>
      </c>
      <c r="DH87" s="29" t="s">
        <v>136</v>
      </c>
      <c r="DI87" s="30">
        <v>0</v>
      </c>
      <c r="DJ87" s="4">
        <v>85.524357308000006</v>
      </c>
      <c r="DK87" s="28">
        <v>1.1745549137</v>
      </c>
      <c r="DL87" s="4">
        <v>116.62377088</v>
      </c>
      <c r="DM87" s="28">
        <v>3.6865803602999998</v>
      </c>
      <c r="DN87" s="4">
        <v>669.43333560999997</v>
      </c>
      <c r="DO87" s="28">
        <v>2.5093022485000001</v>
      </c>
      <c r="DP87" s="4">
        <v>702.23216072000002</v>
      </c>
      <c r="DQ87" s="28">
        <v>2.8004956044</v>
      </c>
      <c r="DR87" s="37">
        <v>4.7814978100000002E-2</v>
      </c>
      <c r="DS87" s="38">
        <v>8.6971537900000007E-2</v>
      </c>
      <c r="DT87" s="38">
        <v>0.1121532994</v>
      </c>
      <c r="DU87" s="38">
        <v>0.1281308954</v>
      </c>
      <c r="DV87" s="38">
        <v>0.13943264129999999</v>
      </c>
      <c r="DW87" s="38">
        <v>0.1482814784</v>
      </c>
      <c r="DX87" s="38">
        <v>0.15541315119999999</v>
      </c>
      <c r="DY87" s="38">
        <v>0.16137155419999999</v>
      </c>
      <c r="DZ87" s="38">
        <v>0.16644142179999999</v>
      </c>
      <c r="EA87" s="39">
        <v>0.1708629639</v>
      </c>
      <c r="EB87" s="40">
        <v>145.19108808999999</v>
      </c>
      <c r="EC87" s="30">
        <v>0.98211812529999998</v>
      </c>
      <c r="ED87" s="31">
        <v>90.379374408000004</v>
      </c>
      <c r="EE87" s="30">
        <v>0.62018641590000001</v>
      </c>
      <c r="EF87" s="31">
        <v>56.966654783000003</v>
      </c>
      <c r="EG87" s="30">
        <v>0.39465206489999999</v>
      </c>
      <c r="EH87" s="31">
        <v>36.621223550000003</v>
      </c>
      <c r="EI87" s="30">
        <v>0.25580622089999999</v>
      </c>
      <c r="EJ87" s="31">
        <v>24.215117567</v>
      </c>
      <c r="EK87" s="30">
        <v>0.1707649497</v>
      </c>
      <c r="EL87" s="31">
        <v>16.524609678000001</v>
      </c>
      <c r="EM87" s="30">
        <v>0.11801873509999999</v>
      </c>
      <c r="EN87" s="31">
        <v>11.627386783</v>
      </c>
      <c r="EO87" s="30">
        <v>8.4482533900000004E-2</v>
      </c>
      <c r="EP87" s="31">
        <v>8.4174101411999995</v>
      </c>
      <c r="EQ87" s="30">
        <v>6.2580078900000002E-2</v>
      </c>
      <c r="ER87" s="31">
        <v>6.2502976189000004</v>
      </c>
      <c r="ES87" s="30">
        <v>4.7798747900000001E-2</v>
      </c>
      <c r="ET87" s="31">
        <v>4.7508161227999999</v>
      </c>
      <c r="EU87" s="36">
        <v>3.7539940799999998E-2</v>
      </c>
      <c r="EV87" s="31"/>
      <c r="EW87" s="30"/>
      <c r="EX87" s="31"/>
      <c r="EY87" s="30"/>
      <c r="EZ87" s="31"/>
      <c r="FA87" s="30"/>
      <c r="FB87" s="31"/>
      <c r="FC87" s="30"/>
      <c r="FD87" s="31"/>
      <c r="FE87" s="36"/>
    </row>
    <row r="88" spans="1:161" x14ac:dyDescent="0.2">
      <c r="A88" s="13" t="s">
        <v>11</v>
      </c>
      <c r="B88" s="3">
        <v>12</v>
      </c>
      <c r="C88" s="15">
        <f t="shared" si="9"/>
        <v>3.0874528745344058E-6</v>
      </c>
      <c r="D88" s="15">
        <f t="shared" si="14"/>
        <v>0.99999999999999956</v>
      </c>
      <c r="E88" s="15">
        <f t="shared" si="17"/>
        <v>1711.7647228812948</v>
      </c>
      <c r="F88" s="42">
        <v>6088.3571006000002</v>
      </c>
      <c r="G88" s="5">
        <v>2694283.6702999999</v>
      </c>
      <c r="H88" s="41">
        <f t="shared" si="15"/>
        <v>4.9202855087562551E-2</v>
      </c>
      <c r="I88" s="4">
        <f t="shared" si="10"/>
        <v>1218.4399985800001</v>
      </c>
      <c r="J88" s="4">
        <f>(I88*SUM($B$5:$B88)-I87*SUM($B$5:$B87))/$B88</f>
        <v>132566.44899455705</v>
      </c>
      <c r="K88" s="4">
        <f t="shared" si="11"/>
        <v>5791.2999794722991</v>
      </c>
      <c r="L88" s="4">
        <f>(K88*SUM(B$5:B88)-K87*SUM(B$5:B87))/B88</f>
        <v>2211945.0026162467</v>
      </c>
      <c r="M88" s="41">
        <f t="shared" si="16"/>
        <v>-0.17902297111500748</v>
      </c>
      <c r="N88" s="5">
        <v>351.89149116999999</v>
      </c>
      <c r="O88" s="43">
        <v>0.18031721100000001</v>
      </c>
      <c r="P88" s="42">
        <v>1279.1367118999999</v>
      </c>
      <c r="Q88" s="43">
        <v>6.03018876E-2</v>
      </c>
      <c r="R88" s="5">
        <v>234.13301465999999</v>
      </c>
      <c r="S88" s="43">
        <v>1.541954676</v>
      </c>
      <c r="T88" s="5">
        <v>207.79953061000001</v>
      </c>
      <c r="U88" s="43">
        <v>1.1561919536</v>
      </c>
      <c r="V88" s="5">
        <v>69.401129112999996</v>
      </c>
      <c r="W88" s="43">
        <v>0.50679229270000004</v>
      </c>
      <c r="X88" s="44" t="s">
        <v>136</v>
      </c>
      <c r="Y88" s="45">
        <v>0</v>
      </c>
      <c r="Z88" s="5">
        <v>213.78719344999999</v>
      </c>
      <c r="AA88" s="43">
        <v>0.27762327489999999</v>
      </c>
      <c r="AB88" s="44" t="s">
        <v>136</v>
      </c>
      <c r="AC88" s="45">
        <v>0</v>
      </c>
      <c r="AD88" s="44" t="s">
        <v>136</v>
      </c>
      <c r="AE88" s="45">
        <v>0</v>
      </c>
      <c r="AF88" s="5">
        <v>4.3779995295000003</v>
      </c>
      <c r="AG88" s="43">
        <v>3.4556634599999997E-2</v>
      </c>
      <c r="AH88" s="5">
        <v>156.15245400000001</v>
      </c>
      <c r="AI88" s="43">
        <v>2.6429544429999998</v>
      </c>
      <c r="AJ88" s="44" t="s">
        <v>136</v>
      </c>
      <c r="AK88" s="45">
        <v>0</v>
      </c>
      <c r="AL88" s="5">
        <v>2.8788555000000002E-3</v>
      </c>
      <c r="AM88" s="43">
        <v>1.1119499999999999E-5</v>
      </c>
      <c r="AN88" s="44" t="s">
        <v>136</v>
      </c>
      <c r="AO88" s="45">
        <v>0</v>
      </c>
      <c r="AP88" s="44" t="s">
        <v>136</v>
      </c>
      <c r="AQ88" s="45">
        <v>0</v>
      </c>
      <c r="AR88" s="5">
        <f t="shared" si="12"/>
        <v>2.8788555000000002E-3</v>
      </c>
      <c r="AS88" s="43">
        <f t="shared" si="12"/>
        <v>1.1119499999999999E-5</v>
      </c>
      <c r="AT88" s="5">
        <v>211.35724213</v>
      </c>
      <c r="AU88" s="43">
        <v>2.4065313729</v>
      </c>
      <c r="AV88" s="44" t="s">
        <v>136</v>
      </c>
      <c r="AW88" s="45">
        <v>0</v>
      </c>
      <c r="AX88" s="44" t="s">
        <v>136</v>
      </c>
      <c r="AY88" s="45">
        <v>0</v>
      </c>
      <c r="AZ88" s="44" t="s">
        <v>136</v>
      </c>
      <c r="BA88" s="45">
        <v>0</v>
      </c>
      <c r="BB88" s="5">
        <v>202.20361761999999</v>
      </c>
      <c r="BC88" s="43">
        <v>4.8615169076999996</v>
      </c>
      <c r="BD88" s="5">
        <v>265.25160583000002</v>
      </c>
      <c r="BE88" s="43">
        <v>1.2867050084</v>
      </c>
      <c r="BF88" s="5">
        <v>105.46326354</v>
      </c>
      <c r="BG88" s="43">
        <v>0.7856390151</v>
      </c>
      <c r="BH88" s="5">
        <v>22.678834346999999</v>
      </c>
      <c r="BI88" s="43">
        <v>0.1577858442</v>
      </c>
      <c r="BJ88" s="46">
        <f t="shared" si="13"/>
        <v>137.10950794300001</v>
      </c>
      <c r="BK88" s="45">
        <f t="shared" si="13"/>
        <v>0.34328014910000004</v>
      </c>
      <c r="BL88" s="5">
        <v>5.2151133688</v>
      </c>
      <c r="BM88" s="47">
        <v>6.7955770000000003E-4</v>
      </c>
      <c r="BN88" s="5">
        <v>1372.1471197999999</v>
      </c>
      <c r="BO88" s="43">
        <v>5.3103392618000003</v>
      </c>
      <c r="BP88" s="43">
        <v>0.23955938569999999</v>
      </c>
      <c r="BQ88" s="43">
        <v>9.8712778999999994E-3</v>
      </c>
      <c r="BR88" s="5">
        <v>220.93355783999999</v>
      </c>
      <c r="BS88" s="43">
        <v>6.1150089150999998</v>
      </c>
      <c r="BT88" s="5">
        <v>728.39492080000002</v>
      </c>
      <c r="BU88" s="43">
        <v>3.9819880202000002</v>
      </c>
      <c r="BV88" s="5">
        <v>139.06206842</v>
      </c>
      <c r="BW88" s="43">
        <v>0.45088150420000001</v>
      </c>
      <c r="BX88" s="5">
        <v>130.04945151999999</v>
      </c>
      <c r="BY88" s="43">
        <v>4.1853124899999997E-2</v>
      </c>
      <c r="BZ88" s="5">
        <v>0</v>
      </c>
      <c r="CA88" s="48">
        <v>0</v>
      </c>
      <c r="CB88" s="44" t="s">
        <v>136</v>
      </c>
      <c r="CC88" s="45">
        <v>0</v>
      </c>
      <c r="CD88" s="5">
        <v>5.0246071227</v>
      </c>
      <c r="CE88" s="43">
        <v>3.2261826200000003E-2</v>
      </c>
      <c r="CF88" s="5">
        <v>64.376521991000004</v>
      </c>
      <c r="CG88" s="43">
        <v>0.47453046650000003</v>
      </c>
      <c r="CH88" s="44" t="s">
        <v>136</v>
      </c>
      <c r="CI88" s="45">
        <v>0</v>
      </c>
      <c r="CJ88" s="44" t="s">
        <v>136</v>
      </c>
      <c r="CK88" s="45">
        <v>0</v>
      </c>
      <c r="CL88" s="5">
        <v>132.65044141000001</v>
      </c>
      <c r="CM88" s="43">
        <v>9.3659617799999997E-2</v>
      </c>
      <c r="CN88" s="5">
        <v>81.136752043000001</v>
      </c>
      <c r="CO88" s="43">
        <v>0.18396365710000001</v>
      </c>
      <c r="CP88" s="44" t="s">
        <v>136</v>
      </c>
      <c r="CQ88" s="45">
        <v>0</v>
      </c>
      <c r="CR88" s="44" t="s">
        <v>136</v>
      </c>
      <c r="CS88" s="45">
        <v>0</v>
      </c>
      <c r="CT88" s="44" t="s">
        <v>136</v>
      </c>
      <c r="CU88" s="45">
        <v>0</v>
      </c>
      <c r="CV88" s="44" t="s">
        <v>136</v>
      </c>
      <c r="CW88" s="45">
        <v>0</v>
      </c>
      <c r="CX88" s="5">
        <v>2.3361792636000001</v>
      </c>
      <c r="CY88" s="43">
        <v>1.5956437300000001E-2</v>
      </c>
      <c r="CZ88" s="5">
        <v>2.0418202659000002</v>
      </c>
      <c r="DA88" s="43">
        <v>1.8600197299999999E-2</v>
      </c>
      <c r="DB88" s="5">
        <v>40.556730526000003</v>
      </c>
      <c r="DC88" s="43">
        <v>0.2721407757</v>
      </c>
      <c r="DD88" s="5">
        <v>115.59572348</v>
      </c>
      <c r="DE88" s="43">
        <v>2.3708136673000002</v>
      </c>
      <c r="DF88" s="44" t="s">
        <v>136</v>
      </c>
      <c r="DG88" s="45">
        <v>0</v>
      </c>
      <c r="DH88" s="44" t="s">
        <v>136</v>
      </c>
      <c r="DI88" s="45">
        <v>0</v>
      </c>
      <c r="DJ88" s="5">
        <v>85.575777211000002</v>
      </c>
      <c r="DK88" s="43">
        <v>1.1748693812</v>
      </c>
      <c r="DL88" s="5">
        <v>116.62784041</v>
      </c>
      <c r="DM88" s="43">
        <v>3.6866475265999998</v>
      </c>
      <c r="DN88" s="5">
        <v>669.50961902999995</v>
      </c>
      <c r="DO88" s="43">
        <v>2.5095989985</v>
      </c>
      <c r="DP88" s="5">
        <v>702.63750078999999</v>
      </c>
      <c r="DQ88" s="43">
        <v>2.8007402631999998</v>
      </c>
      <c r="DR88" s="49">
        <v>4.7817427000000003E-2</v>
      </c>
      <c r="DS88" s="50">
        <v>8.6976458000000006E-2</v>
      </c>
      <c r="DT88" s="50">
        <v>0.1121605712</v>
      </c>
      <c r="DU88" s="50">
        <v>0.12814053959999999</v>
      </c>
      <c r="DV88" s="50">
        <v>0.13944451469999999</v>
      </c>
      <c r="DW88" s="50">
        <v>0.1482955866</v>
      </c>
      <c r="DX88" s="50">
        <v>0.15542949850000001</v>
      </c>
      <c r="DY88" s="50">
        <v>0.1613901435</v>
      </c>
      <c r="DZ88" s="50">
        <v>0.16646225540000001</v>
      </c>
      <c r="EA88" s="51">
        <v>0.1708860435</v>
      </c>
      <c r="EB88" s="52">
        <v>145.19201566000001</v>
      </c>
      <c r="EC88" s="45">
        <v>0.98212223919999997</v>
      </c>
      <c r="ED88" s="46">
        <v>90.380155694999999</v>
      </c>
      <c r="EE88" s="45">
        <v>0.62018995229999996</v>
      </c>
      <c r="EF88" s="46">
        <v>56.967263021999997</v>
      </c>
      <c r="EG88" s="45">
        <v>0.39465488570000001</v>
      </c>
      <c r="EH88" s="46">
        <v>36.621624216000001</v>
      </c>
      <c r="EI88" s="45">
        <v>0.25580809609999999</v>
      </c>
      <c r="EJ88" s="46">
        <v>24.215359131</v>
      </c>
      <c r="EK88" s="45">
        <v>0.17076603369999999</v>
      </c>
      <c r="EL88" s="46">
        <v>16.524774009000001</v>
      </c>
      <c r="EM88" s="45">
        <v>0.11801938889999999</v>
      </c>
      <c r="EN88" s="46">
        <v>11.627534677</v>
      </c>
      <c r="EO88" s="45">
        <v>8.44831412E-2</v>
      </c>
      <c r="EP88" s="46">
        <v>8.4175369682000003</v>
      </c>
      <c r="EQ88" s="45">
        <v>6.2580607199999999E-2</v>
      </c>
      <c r="ER88" s="46">
        <v>6.2504004651000002</v>
      </c>
      <c r="ES88" s="45">
        <v>4.7799176700000001E-2</v>
      </c>
      <c r="ET88" s="46">
        <v>4.7508931103999998</v>
      </c>
      <c r="EU88" s="53">
        <v>3.7540257100000002E-2</v>
      </c>
      <c r="EV88" s="46"/>
      <c r="EW88" s="45"/>
      <c r="EX88" s="46"/>
      <c r="EY88" s="45"/>
      <c r="EZ88" s="46"/>
      <c r="FA88" s="45"/>
      <c r="FB88" s="46"/>
      <c r="FC88" s="45"/>
      <c r="FD88" s="46"/>
      <c r="FE88" s="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zoomScale="80" zoomScaleNormal="80" zoomScalePageLayoutView="80" workbookViewId="0">
      <selection activeCell="L13" sqref="L13"/>
    </sheetView>
  </sheetViews>
  <sheetFormatPr baseColWidth="10" defaultColWidth="8.83203125" defaultRowHeight="15" x14ac:dyDescent="0.2"/>
  <cols>
    <col min="2" max="2" width="9.1640625" customWidth="1"/>
  </cols>
  <sheetData>
    <row r="1" spans="1:22" s="63" customFormat="1" ht="45" customHeight="1" x14ac:dyDescent="0.2">
      <c r="A1" s="59" t="s">
        <v>10</v>
      </c>
      <c r="B1" s="60" t="s">
        <v>0</v>
      </c>
      <c r="C1" s="61" t="s">
        <v>12</v>
      </c>
      <c r="D1" s="60" t="s">
        <v>22</v>
      </c>
      <c r="E1" s="62" t="s">
        <v>138</v>
      </c>
      <c r="F1" s="60" t="s">
        <v>139</v>
      </c>
      <c r="G1" s="60" t="s">
        <v>140</v>
      </c>
      <c r="H1" s="60" t="s">
        <v>141</v>
      </c>
      <c r="I1" s="60" t="s">
        <v>139</v>
      </c>
      <c r="J1" s="60" t="s">
        <v>140</v>
      </c>
      <c r="K1" s="60" t="s">
        <v>142</v>
      </c>
      <c r="L1" s="60" t="s">
        <v>143</v>
      </c>
      <c r="M1" s="60" t="s">
        <v>140</v>
      </c>
      <c r="N1" s="60" t="s">
        <v>144</v>
      </c>
      <c r="O1" s="60" t="s">
        <v>143</v>
      </c>
      <c r="P1" s="60" t="s">
        <v>140</v>
      </c>
      <c r="Q1" s="60" t="s">
        <v>145</v>
      </c>
      <c r="R1" s="60" t="s">
        <v>143</v>
      </c>
      <c r="S1" s="60" t="s">
        <v>140</v>
      </c>
      <c r="T1" s="60" t="s">
        <v>146</v>
      </c>
      <c r="U1" s="60" t="s">
        <v>143</v>
      </c>
      <c r="V1" s="60" t="s">
        <v>140</v>
      </c>
    </row>
    <row r="2" spans="1:22" x14ac:dyDescent="0.2">
      <c r="A2">
        <v>0</v>
      </c>
      <c r="B2">
        <v>0.12345437606565365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">
      <c r="A3">
        <v>100</v>
      </c>
      <c r="B3">
        <v>2.4886413895184575E-2</v>
      </c>
      <c r="C3">
        <v>46.92172901</v>
      </c>
      <c r="D3">
        <v>0.4408898700819564</v>
      </c>
      <c r="E3">
        <v>0.1109402061337888</v>
      </c>
      <c r="F3">
        <v>5.2055062885231775</v>
      </c>
      <c r="G3">
        <v>6.8532202632475239E-2</v>
      </c>
      <c r="H3">
        <v>4.0035700478828165E-2</v>
      </c>
      <c r="I3">
        <v>1.8785442885931023</v>
      </c>
      <c r="J3">
        <v>2.4214038230210823E-2</v>
      </c>
      <c r="K3">
        <v>0.40707682945488549</v>
      </c>
      <c r="L3">
        <v>19.100748677932124</v>
      </c>
      <c r="M3">
        <v>1.3860643905579388</v>
      </c>
      <c r="N3">
        <v>2.0126652015534926E-2</v>
      </c>
      <c r="O3">
        <v>0.94437731175150008</v>
      </c>
      <c r="P3">
        <v>2.2381930623997685E-2</v>
      </c>
      <c r="Q3">
        <v>1.3661209754137866E-2</v>
      </c>
      <c r="R3">
        <v>0.64100758203242569</v>
      </c>
      <c r="S3">
        <v>1.5044618621731488E-2</v>
      </c>
      <c r="T3">
        <v>2.5178857398101673E-5</v>
      </c>
      <c r="U3">
        <v>1.1814355236151603E-3</v>
      </c>
      <c r="V3">
        <v>1.4210811925112171E-5</v>
      </c>
    </row>
    <row r="4" spans="1:22" x14ac:dyDescent="0.2">
      <c r="A4">
        <v>200</v>
      </c>
      <c r="B4">
        <v>3.8005001159081266E-2</v>
      </c>
      <c r="C4">
        <v>151.36886636</v>
      </c>
      <c r="D4">
        <v>0.17379945445718223</v>
      </c>
      <c r="E4">
        <v>0.3207642268020281</v>
      </c>
      <c r="F4">
        <v>48.553717379864921</v>
      </c>
      <c r="G4">
        <v>0.40243586645436585</v>
      </c>
      <c r="H4">
        <v>0.10816344021103073</v>
      </c>
      <c r="I4">
        <v>16.372577326341361</v>
      </c>
      <c r="J4">
        <v>0.13214431745340863</v>
      </c>
      <c r="K4">
        <v>0.13577245805564489</v>
      </c>
      <c r="L4">
        <v>20.551723058793616</v>
      </c>
      <c r="M4">
        <v>1.1166025678863736</v>
      </c>
      <c r="N4">
        <v>2.8489962093502498E-2</v>
      </c>
      <c r="O4">
        <v>4.3124932647328453</v>
      </c>
      <c r="P4">
        <v>4.4633795794915859E-2</v>
      </c>
      <c r="Q4">
        <v>9.5283650819063571E-3</v>
      </c>
      <c r="R4">
        <v>1.4422978207123738</v>
      </c>
      <c r="S4">
        <v>1.6626846014395385E-2</v>
      </c>
      <c r="T4">
        <v>8.6692261284685751E-6</v>
      </c>
      <c r="U4">
        <v>1.31225093128478E-3</v>
      </c>
      <c r="V4">
        <v>1.7485740421358841E-5</v>
      </c>
    </row>
    <row r="5" spans="1:22" x14ac:dyDescent="0.2">
      <c r="A5">
        <v>300</v>
      </c>
      <c r="B5">
        <v>3.6609987035270804E-2</v>
      </c>
      <c r="C5">
        <v>248.86385594999999</v>
      </c>
      <c r="D5">
        <v>0.16830380982125592</v>
      </c>
      <c r="E5">
        <v>0.30054709241784661</v>
      </c>
      <c r="F5">
        <v>74.795308313666311</v>
      </c>
      <c r="G5">
        <v>0.53306952725657242</v>
      </c>
      <c r="H5">
        <v>0.11366159609833061</v>
      </c>
      <c r="I5">
        <v>28.286263078462031</v>
      </c>
      <c r="J5">
        <v>0.19126722466531079</v>
      </c>
      <c r="K5">
        <v>0.12301163933111917</v>
      </c>
      <c r="L5">
        <v>30.613150890672994</v>
      </c>
      <c r="M5">
        <v>1.508896939718763</v>
      </c>
      <c r="N5">
        <v>3.4088158755545696E-2</v>
      </c>
      <c r="O5">
        <v>8.4833106301408545</v>
      </c>
      <c r="P5">
        <v>7.682732537803251E-2</v>
      </c>
      <c r="Q5">
        <v>1.116980291352075E-2</v>
      </c>
      <c r="R5">
        <v>2.7797602232603182</v>
      </c>
      <c r="S5">
        <v>2.6177972935243023E-2</v>
      </c>
      <c r="T5">
        <v>3.4208821070320703E-5</v>
      </c>
      <c r="U5">
        <v>8.5133391190636166E-3</v>
      </c>
      <c r="V5">
        <v>2.0815750360477753E-4</v>
      </c>
    </row>
    <row r="6" spans="1:22" x14ac:dyDescent="0.2">
      <c r="A6">
        <v>400</v>
      </c>
      <c r="B6">
        <v>3.3082314838375704E-2</v>
      </c>
      <c r="C6">
        <v>349.52035983000002</v>
      </c>
      <c r="D6">
        <v>0.17869533668715115</v>
      </c>
      <c r="E6">
        <v>0.28967216614325114</v>
      </c>
      <c r="F6">
        <v>101.24631974312469</v>
      </c>
      <c r="G6">
        <v>0.69841151038912208</v>
      </c>
      <c r="H6">
        <v>0.10725471532033277</v>
      </c>
      <c r="I6">
        <v>37.487706692226929</v>
      </c>
      <c r="J6">
        <v>0.24658787946674621</v>
      </c>
      <c r="K6">
        <v>0.12182419871904039</v>
      </c>
      <c r="L6">
        <v>42.580037772280427</v>
      </c>
      <c r="M6">
        <v>2.0045341363573472</v>
      </c>
      <c r="N6">
        <v>4.3483888472347937E-2</v>
      </c>
      <c r="O6">
        <v>15.19850434566264</v>
      </c>
      <c r="P6">
        <v>0.12715534935485878</v>
      </c>
      <c r="Q6">
        <v>1.3378094821167337E-2</v>
      </c>
      <c r="R6">
        <v>4.6759165157342677</v>
      </c>
      <c r="S6">
        <v>3.9253151463290836E-2</v>
      </c>
      <c r="T6">
        <v>9.1546745954736634E-6</v>
      </c>
      <c r="U6">
        <v>3.1997451587365148E-3</v>
      </c>
      <c r="V6">
        <v>3.2426111640133415E-5</v>
      </c>
    </row>
    <row r="7" spans="1:22" x14ac:dyDescent="0.2">
      <c r="A7">
        <v>500</v>
      </c>
      <c r="B7">
        <v>3.0885849405884017E-2</v>
      </c>
      <c r="C7">
        <v>449.46035351</v>
      </c>
      <c r="D7">
        <v>0.18614515788135635</v>
      </c>
      <c r="E7">
        <v>0.27237615595943376</v>
      </c>
      <c r="F7">
        <v>122.42228334522198</v>
      </c>
      <c r="G7">
        <v>0.81759644013254129</v>
      </c>
      <c r="H7">
        <v>0.10321565167812423</v>
      </c>
      <c r="I7">
        <v>46.391343291014742</v>
      </c>
      <c r="J7">
        <v>0.29684803793425746</v>
      </c>
      <c r="K7">
        <v>0.12207265184759078</v>
      </c>
      <c r="L7">
        <v>54.866817253321308</v>
      </c>
      <c r="M7">
        <v>2.4427074901633787</v>
      </c>
      <c r="N7">
        <v>4.8964374593507581E-2</v>
      </c>
      <c r="O7">
        <v>22.007545114193981</v>
      </c>
      <c r="P7">
        <v>0.17836382267636031</v>
      </c>
      <c r="Q7">
        <v>1.5062985095729106E-2</v>
      </c>
      <c r="R7">
        <v>6.7702146060422654</v>
      </c>
      <c r="S7">
        <v>5.097866601048865E-2</v>
      </c>
      <c r="T7">
        <v>4.5146344528909468E-5</v>
      </c>
      <c r="U7">
        <v>2.0291491971647903E-2</v>
      </c>
      <c r="V7">
        <v>3.2113775593449077E-4</v>
      </c>
    </row>
    <row r="8" spans="1:22" x14ac:dyDescent="0.2">
      <c r="A8">
        <v>600</v>
      </c>
      <c r="B8">
        <v>2.864615963314885E-2</v>
      </c>
      <c r="C8">
        <v>549.31201269999997</v>
      </c>
      <c r="D8">
        <v>0.19625642984115027</v>
      </c>
      <c r="E8">
        <v>0.26014986560752051</v>
      </c>
      <c r="F8">
        <v>142.90344628050158</v>
      </c>
      <c r="G8">
        <v>0.93992868297571464</v>
      </c>
      <c r="H8">
        <v>0.10066461990408015</v>
      </c>
      <c r="I8">
        <v>55.296284967190751</v>
      </c>
      <c r="J8">
        <v>0.34976507205054025</v>
      </c>
      <c r="K8">
        <v>0.12510099659258747</v>
      </c>
      <c r="L8">
        <v>68.719480229050063</v>
      </c>
      <c r="M8">
        <v>2.9403688381917088</v>
      </c>
      <c r="N8">
        <v>5.473624823045331E-2</v>
      </c>
      <c r="O8">
        <v>30.06727868311712</v>
      </c>
      <c r="P8">
        <v>0.23856333378009595</v>
      </c>
      <c r="Q8">
        <v>1.6371318252107699E-2</v>
      </c>
      <c r="R8">
        <v>8.9929617796175254</v>
      </c>
      <c r="S8">
        <v>6.3990379175639253E-2</v>
      </c>
      <c r="T8">
        <v>4.7866766001754328E-5</v>
      </c>
      <c r="U8">
        <v>2.62937895738636E-2</v>
      </c>
      <c r="V8">
        <v>2.2632465412658634E-4</v>
      </c>
    </row>
    <row r="9" spans="1:22" x14ac:dyDescent="0.2">
      <c r="A9">
        <v>700</v>
      </c>
      <c r="B9">
        <v>2.6431684058889047E-2</v>
      </c>
      <c r="C9">
        <v>649.39123333999999</v>
      </c>
      <c r="D9">
        <v>0.20863198095677332</v>
      </c>
      <c r="E9">
        <v>0.2466028490653577</v>
      </c>
      <c r="F9">
        <v>160.14172829971051</v>
      </c>
      <c r="G9">
        <v>1.0463085819329117</v>
      </c>
      <c r="H9">
        <v>9.825920990358937E-2</v>
      </c>
      <c r="I9">
        <v>63.80866950630584</v>
      </c>
      <c r="J9">
        <v>0.39804667013932971</v>
      </c>
      <c r="K9">
        <v>0.12833763116229469</v>
      </c>
      <c r="L9">
        <v>83.341332584416563</v>
      </c>
      <c r="M9">
        <v>3.4242796384087892</v>
      </c>
      <c r="N9">
        <v>6.1799141017946632E-2</v>
      </c>
      <c r="O9">
        <v>40.131820404996944</v>
      </c>
      <c r="P9">
        <v>0.31370951540560099</v>
      </c>
      <c r="Q9">
        <v>1.8439218900393382E-2</v>
      </c>
      <c r="R9">
        <v>11.974267103552696</v>
      </c>
      <c r="S9">
        <v>7.9995108311937901E-2</v>
      </c>
      <c r="T9">
        <v>5.5989876138595297E-5</v>
      </c>
      <c r="U9">
        <v>3.6359334720196236E-2</v>
      </c>
      <c r="V9">
        <v>5.6587888393295159E-4</v>
      </c>
    </row>
    <row r="10" spans="1:22" x14ac:dyDescent="0.2">
      <c r="A10">
        <v>800</v>
      </c>
      <c r="B10">
        <v>2.4525439196603598E-2</v>
      </c>
      <c r="C10">
        <v>749.38020757000004</v>
      </c>
      <c r="D10">
        <v>0.21955115557845106</v>
      </c>
      <c r="E10">
        <v>0.23216149803013655</v>
      </c>
      <c r="F10">
        <v>173.97723158358588</v>
      </c>
      <c r="G10">
        <v>1.1350363416184639</v>
      </c>
      <c r="H10">
        <v>9.6490106063795697E-2</v>
      </c>
      <c r="I10">
        <v>72.307775710538536</v>
      </c>
      <c r="J10">
        <v>0.44855960046462123</v>
      </c>
      <c r="K10">
        <v>0.13148867128941694</v>
      </c>
      <c r="L10">
        <v>98.535007783966776</v>
      </c>
      <c r="M10">
        <v>3.9016948143881116</v>
      </c>
      <c r="N10">
        <v>6.8580584733229533E-2</v>
      </c>
      <c r="O10">
        <v>51.392932822659525</v>
      </c>
      <c r="P10">
        <v>0.39322323100181061</v>
      </c>
      <c r="Q10">
        <v>1.9442473910010756E-2</v>
      </c>
      <c r="R10">
        <v>14.569805134358171</v>
      </c>
      <c r="S10">
        <v>9.3392955919659418E-2</v>
      </c>
      <c r="T10">
        <v>3.942564579384987E-5</v>
      </c>
      <c r="U10">
        <v>2.9544798628576514E-2</v>
      </c>
      <c r="V10">
        <v>5.7824804661834011E-4</v>
      </c>
    </row>
    <row r="11" spans="1:22" x14ac:dyDescent="0.2">
      <c r="A11">
        <v>900</v>
      </c>
      <c r="B11">
        <v>2.2392266548039868E-2</v>
      </c>
      <c r="C11">
        <v>849.39854988000002</v>
      </c>
      <c r="D11">
        <v>0.23054329684817423</v>
      </c>
      <c r="E11">
        <v>0.22163166546262658</v>
      </c>
      <c r="F11">
        <v>188.2536152514443</v>
      </c>
      <c r="G11">
        <v>1.2345433504097012</v>
      </c>
      <c r="H11">
        <v>9.4065337326930287E-2</v>
      </c>
      <c r="I11">
        <v>79.898961119467629</v>
      </c>
      <c r="J11">
        <v>0.49893595055963658</v>
      </c>
      <c r="K11">
        <v>0.13230013433824692</v>
      </c>
      <c r="L11">
        <v>112.37554225583614</v>
      </c>
      <c r="M11">
        <v>4.3327252192142698</v>
      </c>
      <c r="N11">
        <v>7.6994545780716975E-2</v>
      </c>
      <c r="O11">
        <v>65.399055534810273</v>
      </c>
      <c r="P11">
        <v>0.50716166498987503</v>
      </c>
      <c r="Q11">
        <v>2.1195959461140144E-2</v>
      </c>
      <c r="R11">
        <v>18.003817229607705</v>
      </c>
      <c r="S11">
        <v>0.11264557325061358</v>
      </c>
      <c r="T11">
        <v>5.2657268070204368E-5</v>
      </c>
      <c r="U11">
        <v>4.4727007139474015E-2</v>
      </c>
      <c r="V11">
        <v>7.7417674111591127E-4</v>
      </c>
    </row>
    <row r="12" spans="1:22" x14ac:dyDescent="0.2">
      <c r="A12">
        <v>1000</v>
      </c>
      <c r="B12">
        <v>2.085908890809399E-2</v>
      </c>
      <c r="C12">
        <v>949.40443490999996</v>
      </c>
      <c r="D12">
        <v>0.24135957829237287</v>
      </c>
      <c r="E12">
        <v>0.21043087702757665</v>
      </c>
      <c r="F12">
        <v>199.7840078919821</v>
      </c>
      <c r="G12">
        <v>1.3124180561850063</v>
      </c>
      <c r="H12">
        <v>9.3437670430553718E-2</v>
      </c>
      <c r="I12">
        <v>88.710138694426661</v>
      </c>
      <c r="J12">
        <v>0.54566882106412018</v>
      </c>
      <c r="K12">
        <v>0.13331658182075554</v>
      </c>
      <c r="L12">
        <v>126.57135402766718</v>
      </c>
      <c r="M12">
        <v>4.770815380949224</v>
      </c>
      <c r="N12">
        <v>8.5105339905332617E-2</v>
      </c>
      <c r="O12">
        <v>80.799387140645777</v>
      </c>
      <c r="P12">
        <v>0.61721681602482215</v>
      </c>
      <c r="Q12">
        <v>2.2886897102854235E-2</v>
      </c>
      <c r="R12">
        <v>21.728921610778642</v>
      </c>
      <c r="S12">
        <v>0.13332206834455987</v>
      </c>
      <c r="T12">
        <v>5.0759463430499121E-5</v>
      </c>
      <c r="U12">
        <v>4.8191259694567827E-2</v>
      </c>
      <c r="V12">
        <v>7.3059493120027617E-4</v>
      </c>
    </row>
    <row r="13" spans="1:22" x14ac:dyDescent="0.2">
      <c r="A13">
        <v>1100</v>
      </c>
      <c r="B13">
        <v>1.9127285133219731E-2</v>
      </c>
      <c r="C13">
        <v>1049.4570045999999</v>
      </c>
      <c r="D13">
        <v>0.2501813930432682</v>
      </c>
      <c r="E13">
        <v>0.20075899604251402</v>
      </c>
      <c r="F13">
        <v>210.68793463327998</v>
      </c>
      <c r="G13">
        <v>1.382894587165068</v>
      </c>
      <c r="H13">
        <v>9.2375793501429798E-2</v>
      </c>
      <c r="I13">
        <v>96.944423545558649</v>
      </c>
      <c r="J13">
        <v>0.5928080015594035</v>
      </c>
      <c r="K13">
        <v>0.13284260458355479</v>
      </c>
      <c r="L13">
        <v>139.41260188951964</v>
      </c>
      <c r="M13">
        <v>5.0986794598996603</v>
      </c>
      <c r="N13">
        <v>9.2849873220744575E-2</v>
      </c>
      <c r="O13">
        <v>97.441949827732344</v>
      </c>
      <c r="P13">
        <v>0.73432959093673589</v>
      </c>
      <c r="Q13">
        <v>2.4435034022281192E-2</v>
      </c>
      <c r="R13">
        <v>25.643517612322306</v>
      </c>
      <c r="S13">
        <v>0.14864736022177233</v>
      </c>
      <c r="T13">
        <v>5.3881216687658954E-5</v>
      </c>
      <c r="U13">
        <v>5.6546020269234096E-2</v>
      </c>
      <c r="V13">
        <v>7.2751748575233398E-4</v>
      </c>
    </row>
    <row r="14" spans="1:22" x14ac:dyDescent="0.2">
      <c r="A14">
        <v>1200</v>
      </c>
      <c r="B14">
        <v>1.79473635596685E-2</v>
      </c>
      <c r="C14">
        <v>1149.4592817</v>
      </c>
      <c r="D14">
        <v>0.26020585406724073</v>
      </c>
      <c r="E14">
        <v>0.19193520950439952</v>
      </c>
      <c r="F14">
        <v>220.62170804986607</v>
      </c>
      <c r="G14">
        <v>1.4481208346734562</v>
      </c>
      <c r="H14">
        <v>9.1064875961101563E-2</v>
      </c>
      <c r="I14">
        <v>104.67536691034741</v>
      </c>
      <c r="J14">
        <v>0.64187450825804249</v>
      </c>
      <c r="K14">
        <v>0.13152446405844972</v>
      </c>
      <c r="L14">
        <v>151.1820159826031</v>
      </c>
      <c r="M14">
        <v>5.4012508533692252</v>
      </c>
      <c r="N14">
        <v>0.10156475842131017</v>
      </c>
      <c r="O14">
        <v>116.74455426099323</v>
      </c>
      <c r="P14">
        <v>0.89034891147326689</v>
      </c>
      <c r="Q14">
        <v>2.706748975510849E-2</v>
      </c>
      <c r="R14">
        <v>31.112977331329112</v>
      </c>
      <c r="S14">
        <v>0.17578723036556007</v>
      </c>
      <c r="T14">
        <v>4.9141832372387029E-5</v>
      </c>
      <c r="U14">
        <v>5.6486535340185801E-2</v>
      </c>
      <c r="V14">
        <v>7.4584622274213007E-4</v>
      </c>
    </row>
    <row r="15" spans="1:22" x14ac:dyDescent="0.2">
      <c r="A15">
        <v>1300</v>
      </c>
      <c r="B15">
        <v>1.6726275947790144E-2</v>
      </c>
      <c r="C15">
        <v>1249.5687576</v>
      </c>
      <c r="D15">
        <v>0.27323052802364434</v>
      </c>
      <c r="E15">
        <v>0.18191082223443344</v>
      </c>
      <c r="F15">
        <v>227.31008013347545</v>
      </c>
      <c r="G15">
        <v>1.4948687604548134</v>
      </c>
      <c r="H15">
        <v>8.8248805412118797E-2</v>
      </c>
      <c r="I15">
        <v>110.27295013850544</v>
      </c>
      <c r="J15">
        <v>0.67868055536133887</v>
      </c>
      <c r="K15">
        <v>0.13051894406100989</v>
      </c>
      <c r="L15">
        <v>163.09239477358003</v>
      </c>
      <c r="M15">
        <v>5.7022096408410299</v>
      </c>
      <c r="N15">
        <v>0.11349603778255446</v>
      </c>
      <c r="O15">
        <v>141.82110292446924</v>
      </c>
      <c r="P15">
        <v>1.086096152280295</v>
      </c>
      <c r="Q15">
        <v>2.9127245723293418E-2</v>
      </c>
      <c r="R15">
        <v>36.396496250765672</v>
      </c>
      <c r="S15">
        <v>0.20093593542392238</v>
      </c>
      <c r="T15">
        <v>8.830045678660735E-5</v>
      </c>
      <c r="U15">
        <v>0.11033749208235344</v>
      </c>
      <c r="V15">
        <v>1.663381250853713E-3</v>
      </c>
    </row>
    <row r="16" spans="1:22" x14ac:dyDescent="0.2">
      <c r="A16">
        <v>1400</v>
      </c>
      <c r="B16">
        <v>1.5847381029506016E-2</v>
      </c>
      <c r="C16">
        <v>1349.4916181999999</v>
      </c>
      <c r="D16">
        <v>0.28064904883928721</v>
      </c>
      <c r="E16">
        <v>0.17362436413004301</v>
      </c>
      <c r="F16">
        <v>234.30462410879778</v>
      </c>
      <c r="G16">
        <v>1.5367742475605324</v>
      </c>
      <c r="H16">
        <v>8.6630622473427218E-2</v>
      </c>
      <c r="I16">
        <v>116.90729890733857</v>
      </c>
      <c r="J16">
        <v>0.71820578452423445</v>
      </c>
      <c r="K16">
        <v>0.12780014024641828</v>
      </c>
      <c r="L16">
        <v>172.46521806732596</v>
      </c>
      <c r="M16">
        <v>5.8960421289878937</v>
      </c>
      <c r="N16">
        <v>0.12182324334028818</v>
      </c>
      <c r="O16">
        <v>164.39944578965788</v>
      </c>
      <c r="P16">
        <v>1.2493777432792876</v>
      </c>
      <c r="Q16">
        <v>3.0964831853637478E-2</v>
      </c>
      <c r="R16">
        <v>41.786781045456145</v>
      </c>
      <c r="S16">
        <v>0.2261723951617429</v>
      </c>
      <c r="T16">
        <v>6.0833398943246146E-5</v>
      </c>
      <c r="U16">
        <v>8.2094161980527408E-2</v>
      </c>
      <c r="V16">
        <v>1.4423942552001844E-3</v>
      </c>
    </row>
    <row r="17" spans="1:22" x14ac:dyDescent="0.2">
      <c r="A17">
        <v>1500</v>
      </c>
      <c r="B17">
        <v>1.4985467102031826E-2</v>
      </c>
      <c r="C17">
        <v>1449.7236034</v>
      </c>
      <c r="D17">
        <v>0.29112132798031715</v>
      </c>
      <c r="E17">
        <v>0.16620571654470057</v>
      </c>
      <c r="F17">
        <v>240.9523502948623</v>
      </c>
      <c r="G17">
        <v>1.5780578706671891</v>
      </c>
      <c r="H17">
        <v>8.5675828303246868E-2</v>
      </c>
      <c r="I17">
        <v>124.20627053206276</v>
      </c>
      <c r="J17">
        <v>0.76008421277465843</v>
      </c>
      <c r="K17">
        <v>0.12503945635149635</v>
      </c>
      <c r="L17">
        <v>181.27265122906832</v>
      </c>
      <c r="M17">
        <v>6.1246433731278964</v>
      </c>
      <c r="N17">
        <v>0.13451300765449986</v>
      </c>
      <c r="O17">
        <v>195.00668216105333</v>
      </c>
      <c r="P17">
        <v>1.4954235781160348</v>
      </c>
      <c r="Q17">
        <v>3.1501007017269149E-2</v>
      </c>
      <c r="R17">
        <v>45.66775340380412</v>
      </c>
      <c r="S17">
        <v>0.2450587366273608</v>
      </c>
      <c r="T17">
        <v>6.7856957051722359E-5</v>
      </c>
      <c r="U17">
        <v>9.8373832292781974E-2</v>
      </c>
      <c r="V17">
        <v>1.2011540609161448E-3</v>
      </c>
    </row>
    <row r="18" spans="1:22" x14ac:dyDescent="0.2">
      <c r="A18">
        <v>1600</v>
      </c>
      <c r="B18">
        <v>1.4176811736643357E-2</v>
      </c>
      <c r="C18">
        <v>1549.5973337</v>
      </c>
      <c r="D18">
        <v>0.29692393440187492</v>
      </c>
      <c r="E18">
        <v>0.16012607314462735</v>
      </c>
      <c r="F18">
        <v>248.1309360007657</v>
      </c>
      <c r="G18">
        <v>1.6384328467030651</v>
      </c>
      <c r="H18">
        <v>8.3297477276419368E-2</v>
      </c>
      <c r="I18">
        <v>129.07754869147578</v>
      </c>
      <c r="J18">
        <v>0.79300845842235124</v>
      </c>
      <c r="K18">
        <v>0.12456639201534185</v>
      </c>
      <c r="L18">
        <v>193.02774893560272</v>
      </c>
      <c r="M18">
        <v>6.3170460772880901</v>
      </c>
      <c r="N18">
        <v>0.13898730506686649</v>
      </c>
      <c r="O18">
        <v>215.37435734976484</v>
      </c>
      <c r="P18">
        <v>1.6373773837724075</v>
      </c>
      <c r="Q18">
        <v>3.3300670240013597E-2</v>
      </c>
      <c r="R18">
        <v>51.602629814348006</v>
      </c>
      <c r="S18">
        <v>0.27134771011511388</v>
      </c>
      <c r="T18">
        <v>6.9567079652982025E-5</v>
      </c>
      <c r="U18">
        <v>0.10780096114355647</v>
      </c>
      <c r="V18">
        <v>1.0129224256492629E-3</v>
      </c>
    </row>
    <row r="19" spans="1:22" x14ac:dyDescent="0.2">
      <c r="A19">
        <v>1700</v>
      </c>
      <c r="B19">
        <v>1.3273217195362955E-2</v>
      </c>
      <c r="C19">
        <v>1649.6160325000001</v>
      </c>
      <c r="D19">
        <v>0.3031610164653753</v>
      </c>
      <c r="E19">
        <v>0.15235716054800058</v>
      </c>
      <c r="F19">
        <v>251.33081470615826</v>
      </c>
      <c r="G19">
        <v>1.6580695591509265</v>
      </c>
      <c r="H19">
        <v>8.2824386792620927E-2</v>
      </c>
      <c r="I19">
        <v>136.62843633508874</v>
      </c>
      <c r="J19">
        <v>0.8340002004911542</v>
      </c>
      <c r="K19">
        <v>0.12271884552648381</v>
      </c>
      <c r="L19">
        <v>202.4389750703786</v>
      </c>
      <c r="M19">
        <v>6.5291578712790459</v>
      </c>
      <c r="N19">
        <v>0.1460067206839738</v>
      </c>
      <c r="O19">
        <v>240.85502729303255</v>
      </c>
      <c r="P19">
        <v>1.8157292330533248</v>
      </c>
      <c r="Q19">
        <v>3.432319515131086E-2</v>
      </c>
      <c r="R19">
        <v>56.620093008228665</v>
      </c>
      <c r="S19">
        <v>0.29308887750766044</v>
      </c>
      <c r="T19">
        <v>1.1225510360687148E-4</v>
      </c>
      <c r="U19">
        <v>0.18517781863984378</v>
      </c>
      <c r="V19">
        <v>1.1466612688460693E-3</v>
      </c>
    </row>
    <row r="20" spans="1:22" x14ac:dyDescent="0.2">
      <c r="A20">
        <v>1800</v>
      </c>
      <c r="B20">
        <v>1.2602982633849444E-2</v>
      </c>
      <c r="C20">
        <v>1749.3510424000001</v>
      </c>
      <c r="D20">
        <v>0.30842151970087167</v>
      </c>
      <c r="E20">
        <v>0.1479883208722762</v>
      </c>
      <c r="F20">
        <v>258.88352338094205</v>
      </c>
      <c r="G20">
        <v>1.7028783280852502</v>
      </c>
      <c r="H20">
        <v>8.0640615906348578E-2</v>
      </c>
      <c r="I20">
        <v>141.06874549554891</v>
      </c>
      <c r="J20">
        <v>0.85038188461122244</v>
      </c>
      <c r="K20">
        <v>0.12129639017569388</v>
      </c>
      <c r="L20">
        <v>212.18996659320723</v>
      </c>
      <c r="M20">
        <v>6.675385956019622</v>
      </c>
      <c r="N20">
        <v>0.14957176847325834</v>
      </c>
      <c r="O20">
        <v>261.65352909230597</v>
      </c>
      <c r="P20">
        <v>1.9385330094520183</v>
      </c>
      <c r="Q20">
        <v>3.7484093416314125E-2</v>
      </c>
      <c r="R20">
        <v>65.572837891248099</v>
      </c>
      <c r="S20">
        <v>0.32752653844929808</v>
      </c>
      <c r="T20">
        <v>6.9267635605255412E-5</v>
      </c>
      <c r="U20">
        <v>0.12117341055063691</v>
      </c>
      <c r="V20">
        <v>1.3585634728891097E-3</v>
      </c>
    </row>
    <row r="21" spans="1:22" x14ac:dyDescent="0.2">
      <c r="A21">
        <v>1900</v>
      </c>
      <c r="B21">
        <v>1.1947928048969061E-2</v>
      </c>
      <c r="C21">
        <v>1849.8108511</v>
      </c>
      <c r="D21">
        <v>0.31245482216760578</v>
      </c>
      <c r="E21">
        <v>0.14275429295574663</v>
      </c>
      <c r="F21">
        <v>264.06844015064843</v>
      </c>
      <c r="G21">
        <v>1.7472872427085344</v>
      </c>
      <c r="H21">
        <v>8.0114551244987828E-2</v>
      </c>
      <c r="I21">
        <v>148.19676622398549</v>
      </c>
      <c r="J21">
        <v>0.90431728688215252</v>
      </c>
      <c r="K21">
        <v>0.12102646166110256</v>
      </c>
      <c r="L21">
        <v>223.87606205094565</v>
      </c>
      <c r="M21">
        <v>6.9836646776186591</v>
      </c>
      <c r="N21">
        <v>0.15466226539437417</v>
      </c>
      <c r="O21">
        <v>286.09593678222137</v>
      </c>
      <c r="P21">
        <v>2.1140670028946928</v>
      </c>
      <c r="Q21">
        <v>3.6676668497184213E-2</v>
      </c>
      <c r="R21">
        <v>67.844899368288893</v>
      </c>
      <c r="S21">
        <v>0.33711562105384402</v>
      </c>
      <c r="T21">
        <v>8.9426614944825754E-5</v>
      </c>
      <c r="U21">
        <v>0.1654223227020801</v>
      </c>
      <c r="V21">
        <v>1.4354589379258365E-3</v>
      </c>
    </row>
    <row r="22" spans="1:22" x14ac:dyDescent="0.2">
      <c r="A22">
        <v>2000</v>
      </c>
      <c r="B22">
        <v>1.1421002758381855E-2</v>
      </c>
      <c r="C22">
        <v>1949.5553837</v>
      </c>
      <c r="D22">
        <v>0.31467431925959882</v>
      </c>
      <c r="E22">
        <v>0.13654679502394038</v>
      </c>
      <c r="F22">
        <v>266.20553936590335</v>
      </c>
      <c r="G22">
        <v>1.7551234408356695</v>
      </c>
      <c r="H22">
        <v>7.8832643627859453E-2</v>
      </c>
      <c r="I22">
        <v>153.68860479599689</v>
      </c>
      <c r="J22">
        <v>0.94489283961702142</v>
      </c>
      <c r="K22">
        <v>0.1190222561692556</v>
      </c>
      <c r="L22">
        <v>232.0404802948928</v>
      </c>
      <c r="M22">
        <v>7.0926929688806863</v>
      </c>
      <c r="N22">
        <v>0.15731606966833761</v>
      </c>
      <c r="O22">
        <v>306.69639056443185</v>
      </c>
      <c r="P22">
        <v>2.2473102495274899</v>
      </c>
      <c r="Q22">
        <v>3.8257547751204754E-2</v>
      </c>
      <c r="R22">
        <v>74.585208185521054</v>
      </c>
      <c r="S22">
        <v>0.35723489326131552</v>
      </c>
      <c r="T22">
        <v>7.8445670800850656E-5</v>
      </c>
      <c r="U22">
        <v>0.15293417983775628</v>
      </c>
      <c r="V22">
        <v>1.9791932569407497E-3</v>
      </c>
    </row>
    <row r="23" spans="1:22" x14ac:dyDescent="0.2">
      <c r="A23">
        <v>2100</v>
      </c>
      <c r="B23">
        <v>1.0950680770494449E-2</v>
      </c>
      <c r="C23">
        <v>2049.5770287999999</v>
      </c>
      <c r="D23">
        <v>0.31826560572184615</v>
      </c>
      <c r="E23">
        <v>0.13298062313185463</v>
      </c>
      <c r="F23">
        <v>272.55403044655912</v>
      </c>
      <c r="G23">
        <v>1.7992746459236841</v>
      </c>
      <c r="H23">
        <v>7.7676402489788299E-2</v>
      </c>
      <c r="I23">
        <v>159.20377022289321</v>
      </c>
      <c r="J23">
        <v>0.98486294985710443</v>
      </c>
      <c r="K23">
        <v>0.11567785492130649</v>
      </c>
      <c r="L23">
        <v>237.09067418756879</v>
      </c>
      <c r="M23">
        <v>7.0628453344028772</v>
      </c>
      <c r="N23">
        <v>0.16438531042045193</v>
      </c>
      <c r="O23">
        <v>336.92035610991553</v>
      </c>
      <c r="P23">
        <v>2.4565507432568889</v>
      </c>
      <c r="Q23">
        <v>3.8089124598208103E-2</v>
      </c>
      <c r="R23">
        <v>78.066594823588346</v>
      </c>
      <c r="S23">
        <v>0.36981610094837153</v>
      </c>
      <c r="T23">
        <v>1.1331578187959706E-4</v>
      </c>
      <c r="U23">
        <v>0.23224942354093342</v>
      </c>
      <c r="V23">
        <v>1.8400117205864413E-3</v>
      </c>
    </row>
    <row r="24" spans="1:22" x14ac:dyDescent="0.2">
      <c r="A24">
        <v>2200</v>
      </c>
      <c r="B24">
        <v>1.0373584370696059E-2</v>
      </c>
      <c r="C24">
        <v>2149.5936998000002</v>
      </c>
      <c r="D24">
        <v>0.32038024743811272</v>
      </c>
      <c r="E24">
        <v>0.12827876233949306</v>
      </c>
      <c r="F24">
        <v>275.74721934311583</v>
      </c>
      <c r="G24">
        <v>1.8301280092633723</v>
      </c>
      <c r="H24">
        <v>7.6959105239628539E-2</v>
      </c>
      <c r="I24">
        <v>165.43080776535069</v>
      </c>
      <c r="J24">
        <v>1.0081709150472187</v>
      </c>
      <c r="K24">
        <v>0.11466549452626242</v>
      </c>
      <c r="L24">
        <v>246.48422461810509</v>
      </c>
      <c r="M24">
        <v>7.3509271498011417</v>
      </c>
      <c r="N24">
        <v>0.16655634356476953</v>
      </c>
      <c r="O24">
        <v>358.02846678855292</v>
      </c>
      <c r="P24">
        <v>2.6122205141572783</v>
      </c>
      <c r="Q24">
        <v>3.8989252548791396E-2</v>
      </c>
      <c r="R24">
        <v>83.811051638793089</v>
      </c>
      <c r="S24">
        <v>0.39479172682747371</v>
      </c>
      <c r="T24">
        <v>1.6915679828941187E-4</v>
      </c>
      <c r="U24">
        <v>0.36361838788125922</v>
      </c>
      <c r="V24">
        <v>2.0151610487164824E-3</v>
      </c>
    </row>
    <row r="25" spans="1:22" x14ac:dyDescent="0.2">
      <c r="A25">
        <v>2300</v>
      </c>
      <c r="B25">
        <v>1.0085164814666637E-2</v>
      </c>
      <c r="C25">
        <v>2249.5779269999998</v>
      </c>
      <c r="D25">
        <v>0.32470323973153975</v>
      </c>
      <c r="E25">
        <v>0.12362917431585366</v>
      </c>
      <c r="F25">
        <v>278.11346167417969</v>
      </c>
      <c r="G25">
        <v>1.8488998671307166</v>
      </c>
      <c r="H25">
        <v>7.6508836178807757E-2</v>
      </c>
      <c r="I25">
        <v>172.11258908830493</v>
      </c>
      <c r="J25">
        <v>1.057762177197574</v>
      </c>
      <c r="K25">
        <v>0.11279202333700768</v>
      </c>
      <c r="L25">
        <v>253.73444604060134</v>
      </c>
      <c r="M25">
        <v>7.4328420154520209</v>
      </c>
      <c r="N25">
        <v>0.17202982537773168</v>
      </c>
      <c r="O25">
        <v>386.9944979554096</v>
      </c>
      <c r="P25">
        <v>2.7730203899698238</v>
      </c>
      <c r="Q25">
        <v>3.9693437831733076E-2</v>
      </c>
      <c r="R25">
        <v>89.293481593013468</v>
      </c>
      <c r="S25">
        <v>0.41208943667627201</v>
      </c>
      <c r="T25">
        <v>1.8795318506733533E-4</v>
      </c>
      <c r="U25">
        <v>0.42281533643682351</v>
      </c>
      <c r="V25">
        <v>1.430819626993725E-3</v>
      </c>
    </row>
    <row r="26" spans="1:22" x14ac:dyDescent="0.2">
      <c r="A26">
        <v>2400</v>
      </c>
      <c r="B26">
        <v>9.5152724715754939E-3</v>
      </c>
      <c r="C26">
        <v>2349.7073338999999</v>
      </c>
      <c r="D26">
        <v>0.32736057183961276</v>
      </c>
      <c r="E26">
        <v>0.11974426416545375</v>
      </c>
      <c r="F26">
        <v>281.36397570202564</v>
      </c>
      <c r="G26">
        <v>1.8653964265810483</v>
      </c>
      <c r="H26">
        <v>7.2119001825607223E-2</v>
      </c>
      <c r="I26">
        <v>169.45854750317676</v>
      </c>
      <c r="J26">
        <v>1.0415741558645704</v>
      </c>
      <c r="K26">
        <v>0.10998755506574426</v>
      </c>
      <c r="L26">
        <v>258.43856477570938</v>
      </c>
      <c r="M26">
        <v>7.4430853162787125</v>
      </c>
      <c r="N26">
        <v>0.17617484601256503</v>
      </c>
      <c r="O26">
        <v>413.95932772442717</v>
      </c>
      <c r="P26">
        <v>2.9588031248669537</v>
      </c>
      <c r="Q26">
        <v>4.1033184368000047E-2</v>
      </c>
      <c r="R26">
        <v>96.415974242760541</v>
      </c>
      <c r="S26">
        <v>0.43208404246496457</v>
      </c>
      <c r="T26">
        <v>1.649863933034188E-4</v>
      </c>
      <c r="U26">
        <v>0.38766973833875301</v>
      </c>
      <c r="V26">
        <v>6.6976287382581321E-4</v>
      </c>
    </row>
    <row r="27" spans="1:22" x14ac:dyDescent="0.2">
      <c r="A27">
        <v>2500</v>
      </c>
      <c r="B27">
        <v>9.3452052757365574E-3</v>
      </c>
      <c r="C27">
        <v>2449.6569696000001</v>
      </c>
      <c r="D27">
        <v>0.32706573996712768</v>
      </c>
      <c r="E27">
        <v>0.11597026600864684</v>
      </c>
      <c r="F27">
        <v>284.0873703944477</v>
      </c>
      <c r="G27">
        <v>1.8896832310502285</v>
      </c>
      <c r="H27">
        <v>7.1943979448719372E-2</v>
      </c>
      <c r="I27">
        <v>176.2380706773146</v>
      </c>
      <c r="J27">
        <v>1.0859802672713366</v>
      </c>
      <c r="K27">
        <v>0.10942725592213233</v>
      </c>
      <c r="L27">
        <v>268.05924013385436</v>
      </c>
      <c r="M27">
        <v>7.5875440149405557</v>
      </c>
      <c r="N27">
        <v>0.17756000017492449</v>
      </c>
      <c r="O27">
        <v>434.96109195068101</v>
      </c>
      <c r="P27">
        <v>3.0919254817470163</v>
      </c>
      <c r="Q27">
        <v>3.9802725269024578E-2</v>
      </c>
      <c r="R27">
        <v>97.503023364340095</v>
      </c>
      <c r="S27">
        <v>0.43105535254455163</v>
      </c>
      <c r="T27">
        <v>2.7575860104624215E-4</v>
      </c>
      <c r="U27">
        <v>0.67551397898007293</v>
      </c>
      <c r="V27">
        <v>3.5010533075546559E-3</v>
      </c>
    </row>
    <row r="28" spans="1:22" x14ac:dyDescent="0.2">
      <c r="A28">
        <v>2600</v>
      </c>
      <c r="B28">
        <v>8.7539580502632181E-3</v>
      </c>
      <c r="C28">
        <v>2549.5381465999999</v>
      </c>
      <c r="D28">
        <v>0.33120424417515654</v>
      </c>
      <c r="E28">
        <v>0.11316685996694252</v>
      </c>
      <c r="F28">
        <v>288.52322641666035</v>
      </c>
      <c r="G28">
        <v>1.9140766184564229</v>
      </c>
      <c r="H28">
        <v>7.2202434365303436E-2</v>
      </c>
      <c r="I28">
        <v>184.08286069172385</v>
      </c>
      <c r="J28">
        <v>1.1290185345426091</v>
      </c>
      <c r="K28">
        <v>0.10634242049713168</v>
      </c>
      <c r="L28">
        <v>271.12405765921494</v>
      </c>
      <c r="M28">
        <v>7.70674633592572</v>
      </c>
      <c r="N28">
        <v>0.18422479328757588</v>
      </c>
      <c r="O28">
        <v>469.68813803617428</v>
      </c>
      <c r="P28">
        <v>3.2922600993895541</v>
      </c>
      <c r="Q28">
        <v>4.053930648001873E-2</v>
      </c>
      <c r="R28">
        <v>103.35650830751632</v>
      </c>
      <c r="S28">
        <v>0.46723287963389409</v>
      </c>
      <c r="T28">
        <v>9.7723910430296581E-5</v>
      </c>
      <c r="U28">
        <v>0.24915083747696273</v>
      </c>
      <c r="V28">
        <v>1.2495996474547264E-3</v>
      </c>
    </row>
    <row r="29" spans="1:22" x14ac:dyDescent="0.2">
      <c r="A29">
        <v>2700</v>
      </c>
      <c r="B29">
        <v>8.5164814666636134E-3</v>
      </c>
      <c r="C29">
        <v>2649.6702249999998</v>
      </c>
      <c r="D29">
        <v>0.33329277322818723</v>
      </c>
      <c r="E29">
        <v>0.11117758647497095</v>
      </c>
      <c r="F29">
        <v>294.5839405700932</v>
      </c>
      <c r="G29">
        <v>1.9603709173723314</v>
      </c>
      <c r="H29">
        <v>6.9600848762308848E-2</v>
      </c>
      <c r="I29">
        <v>184.41929660021785</v>
      </c>
      <c r="J29">
        <v>1.137720006570184</v>
      </c>
      <c r="K29">
        <v>0.10411557597095893</v>
      </c>
      <c r="L29">
        <v>275.87194160897531</v>
      </c>
      <c r="M29">
        <v>7.7225467462772057</v>
      </c>
      <c r="N29">
        <v>0.18609995558343773</v>
      </c>
      <c r="O29">
        <v>493.10351118325741</v>
      </c>
      <c r="P29">
        <v>3.4796837752823504</v>
      </c>
      <c r="Q29">
        <v>4.2805203263816878E-2</v>
      </c>
      <c r="R29">
        <v>113.41967256320839</v>
      </c>
      <c r="S29">
        <v>0.48268381152323092</v>
      </c>
      <c r="T29">
        <v>2.7203840997366824E-4</v>
      </c>
      <c r="U29">
        <v>0.72081207496357169</v>
      </c>
      <c r="V29">
        <v>3.0193174924292411E-3</v>
      </c>
    </row>
    <row r="30" spans="1:22" x14ac:dyDescent="0.2">
      <c r="A30">
        <v>2800</v>
      </c>
      <c r="B30">
        <v>8.1447006830217619E-3</v>
      </c>
      <c r="C30">
        <v>2749.6393896999998</v>
      </c>
      <c r="D30">
        <v>0.33077097961559621</v>
      </c>
      <c r="E30">
        <v>0.10793698055628768</v>
      </c>
      <c r="F30">
        <v>296.78777334285161</v>
      </c>
      <c r="G30">
        <v>1.9722271324511793</v>
      </c>
      <c r="H30">
        <v>6.9305398370644269E-2</v>
      </c>
      <c r="I30">
        <v>190.56485327877365</v>
      </c>
      <c r="J30">
        <v>1.1667900280782773</v>
      </c>
      <c r="K30">
        <v>0.10245917092750428</v>
      </c>
      <c r="L30">
        <v>281.72577221827083</v>
      </c>
      <c r="M30">
        <v>7.7498297221072914</v>
      </c>
      <c r="N30">
        <v>0.18873126383198868</v>
      </c>
      <c r="O30">
        <v>518.94291710029904</v>
      </c>
      <c r="P30">
        <v>3.5965229096284759</v>
      </c>
      <c r="Q30">
        <v>3.9428877140385787E-2</v>
      </c>
      <c r="R30">
        <v>108.41519367684664</v>
      </c>
      <c r="S30">
        <v>0.46733852498023509</v>
      </c>
      <c r="T30">
        <v>1.5166771571739943E-4</v>
      </c>
      <c r="U30">
        <v>0.41703152528238324</v>
      </c>
      <c r="V30">
        <v>2.3607766967083644E-3</v>
      </c>
    </row>
    <row r="31" spans="1:22" x14ac:dyDescent="0.2">
      <c r="A31">
        <v>2900</v>
      </c>
      <c r="B31">
        <v>7.8784078725931701E-3</v>
      </c>
      <c r="C31">
        <v>2849.764068</v>
      </c>
      <c r="D31">
        <v>0.33553745657984541</v>
      </c>
      <c r="E31">
        <v>0.10455211964585318</v>
      </c>
      <c r="F31">
        <v>297.94887379998926</v>
      </c>
      <c r="G31">
        <v>1.9876158969778044</v>
      </c>
      <c r="H31">
        <v>6.771347654011256E-2</v>
      </c>
      <c r="I31">
        <v>192.96743236337372</v>
      </c>
      <c r="J31">
        <v>1.2122109311874441</v>
      </c>
      <c r="K31">
        <v>0.10052408422580963</v>
      </c>
      <c r="L31">
        <v>286.4699231953179</v>
      </c>
      <c r="M31">
        <v>7.7884785679098529</v>
      </c>
      <c r="N31">
        <v>0.1922598959541735</v>
      </c>
      <c r="O31">
        <v>547.8953432076222</v>
      </c>
      <c r="P31">
        <v>3.7887677141634093</v>
      </c>
      <c r="Q31">
        <v>4.2379618256786059E-2</v>
      </c>
      <c r="R31">
        <v>120.77191332374571</v>
      </c>
      <c r="S31">
        <v>0.51631042768856605</v>
      </c>
      <c r="T31">
        <v>3.7385814307623106E-4</v>
      </c>
      <c r="U31">
        <v>1.0654075026678462</v>
      </c>
      <c r="V31">
        <v>2.4605989489729246E-3</v>
      </c>
    </row>
    <row r="32" spans="1:22" x14ac:dyDescent="0.2">
      <c r="A32">
        <v>3000</v>
      </c>
      <c r="B32">
        <v>7.6391302748167536E-3</v>
      </c>
      <c r="C32">
        <v>2949.5261225999998</v>
      </c>
      <c r="D32">
        <v>0.33646326761645534</v>
      </c>
      <c r="E32">
        <v>0.1026050152298794</v>
      </c>
      <c r="F32">
        <v>302.63617273030013</v>
      </c>
      <c r="G32">
        <v>2.0108834856300453</v>
      </c>
      <c r="H32">
        <v>6.8259732930938052E-2</v>
      </c>
      <c r="I32">
        <v>201.33386540150121</v>
      </c>
      <c r="J32">
        <v>1.2470642609647937</v>
      </c>
      <c r="K32">
        <v>0.10120866698264608</v>
      </c>
      <c r="L32">
        <v>298.51760709883871</v>
      </c>
      <c r="M32">
        <v>8.1472247995033822</v>
      </c>
      <c r="N32">
        <v>0.19552112060557081</v>
      </c>
      <c r="O32">
        <v>576.69465274615618</v>
      </c>
      <c r="P32">
        <v>3.9561104300666661</v>
      </c>
      <c r="Q32">
        <v>3.9469558551870586E-2</v>
      </c>
      <c r="R32">
        <v>116.41649399623252</v>
      </c>
      <c r="S32">
        <v>0.49404396683860763</v>
      </c>
      <c r="T32">
        <v>2.6392147636788353E-4</v>
      </c>
      <c r="U32">
        <v>0.77844328886223102</v>
      </c>
      <c r="V32">
        <v>1.9051635525815893E-3</v>
      </c>
    </row>
    <row r="33" spans="1:22" x14ac:dyDescent="0.2">
      <c r="A33">
        <v>3100</v>
      </c>
      <c r="B33">
        <v>7.2773837130171385E-3</v>
      </c>
      <c r="C33">
        <v>3049.4758221000002</v>
      </c>
      <c r="D33">
        <v>0.33421905087751169</v>
      </c>
      <c r="E33">
        <v>0.1003117427087547</v>
      </c>
      <c r="F33">
        <v>305.89823406306346</v>
      </c>
      <c r="G33">
        <v>2.0447117384425364</v>
      </c>
      <c r="H33">
        <v>6.7345663311680432E-2</v>
      </c>
      <c r="I33">
        <v>205.36897199225652</v>
      </c>
      <c r="J33">
        <v>1.2819495361176907</v>
      </c>
      <c r="K33">
        <v>9.6769912440967318E-2</v>
      </c>
      <c r="L33">
        <v>295.09750829546385</v>
      </c>
      <c r="M33">
        <v>8.0378492154992962</v>
      </c>
      <c r="N33">
        <v>0.19480821953054434</v>
      </c>
      <c r="O33">
        <v>594.062955404744</v>
      </c>
      <c r="P33">
        <v>4.0819413502107622</v>
      </c>
      <c r="Q33">
        <v>4.2430302855088205E-2</v>
      </c>
      <c r="R33">
        <v>129.39018268097209</v>
      </c>
      <c r="S33">
        <v>0.54510650503067115</v>
      </c>
      <c r="T33">
        <v>2.1061605091184541E-4</v>
      </c>
      <c r="U33">
        <v>0.64226855500185531</v>
      </c>
      <c r="V33">
        <v>2.8834920593211995E-3</v>
      </c>
    </row>
    <row r="34" spans="1:22" x14ac:dyDescent="0.2">
      <c r="A34">
        <v>3200</v>
      </c>
      <c r="B34">
        <v>6.9668374113868864E-3</v>
      </c>
      <c r="C34">
        <v>3149.7135216000001</v>
      </c>
      <c r="D34">
        <v>0.33949104845010941</v>
      </c>
      <c r="E34">
        <v>9.8709969931666808E-2</v>
      </c>
      <c r="F34">
        <v>310.90812701050038</v>
      </c>
      <c r="G34">
        <v>2.0768045908273085</v>
      </c>
      <c r="H34">
        <v>6.6706296898585649E-2</v>
      </c>
      <c r="I34">
        <v>210.10572531733936</v>
      </c>
      <c r="J34">
        <v>1.3269504836779773</v>
      </c>
      <c r="K34">
        <v>9.5177246015538258E-2</v>
      </c>
      <c r="L34">
        <v>299.78105872379058</v>
      </c>
      <c r="M34">
        <v>8.0335546854019597</v>
      </c>
      <c r="N34">
        <v>0.20182889652559199</v>
      </c>
      <c r="O34">
        <v>635.7032044362644</v>
      </c>
      <c r="P34">
        <v>4.3945190976542214</v>
      </c>
      <c r="Q34">
        <v>4.2308127691570351E-2</v>
      </c>
      <c r="R34">
        <v>133.25848186371854</v>
      </c>
      <c r="S34">
        <v>0.54811029917261134</v>
      </c>
      <c r="T34">
        <v>1.7677821740882016E-4</v>
      </c>
      <c r="U34">
        <v>0.55680074169690541</v>
      </c>
      <c r="V34">
        <v>4.1816235750941691E-3</v>
      </c>
    </row>
    <row r="35" spans="1:22" x14ac:dyDescent="0.2">
      <c r="A35">
        <v>3300</v>
      </c>
      <c r="B35">
        <v>6.7116079737587087E-3</v>
      </c>
      <c r="C35">
        <v>3249.4981059000002</v>
      </c>
      <c r="D35">
        <v>0.34140510358500542</v>
      </c>
      <c r="E35">
        <v>9.566131405438133E-2</v>
      </c>
      <c r="F35">
        <v>310.85125882761719</v>
      </c>
      <c r="G35">
        <v>2.0562344937003387</v>
      </c>
      <c r="H35">
        <v>6.59426358917065E-2</v>
      </c>
      <c r="I35">
        <v>214.28047042815362</v>
      </c>
      <c r="J35">
        <v>1.3567641152178649</v>
      </c>
      <c r="K35">
        <v>9.4101638791450351E-2</v>
      </c>
      <c r="L35">
        <v>305.78309701490389</v>
      </c>
      <c r="M35">
        <v>8.1155045934534584</v>
      </c>
      <c r="N35">
        <v>0.20456299087339269</v>
      </c>
      <c r="O35">
        <v>664.72705138032859</v>
      </c>
      <c r="P35">
        <v>4.5007412772197473</v>
      </c>
      <c r="Q35">
        <v>4.2543230790233089E-2</v>
      </c>
      <c r="R35">
        <v>138.24414787172898</v>
      </c>
      <c r="S35">
        <v>0.57275652932172061</v>
      </c>
      <c r="T35">
        <v>1.9724312992926182E-4</v>
      </c>
      <c r="U35">
        <v>0.64094117710692389</v>
      </c>
      <c r="V35">
        <v>2.7237501355516346E-3</v>
      </c>
    </row>
    <row r="36" spans="1:22" x14ac:dyDescent="0.2">
      <c r="A36">
        <v>3400</v>
      </c>
      <c r="B36">
        <v>6.6194989630017657E-3</v>
      </c>
      <c r="C36">
        <v>3349.7696627999999</v>
      </c>
      <c r="D36">
        <v>0.33907502207934387</v>
      </c>
      <c r="E36">
        <v>9.3844811455892935E-2</v>
      </c>
      <c r="F36">
        <v>314.35850242613606</v>
      </c>
      <c r="G36">
        <v>2.1089752124721213</v>
      </c>
      <c r="H36">
        <v>6.5309051796808862E-2</v>
      </c>
      <c r="I36">
        <v>218.77028041518415</v>
      </c>
      <c r="J36">
        <v>1.3469685036821351</v>
      </c>
      <c r="K36">
        <v>9.1433253976709261E-2</v>
      </c>
      <c r="L36">
        <v>306.28034034226812</v>
      </c>
      <c r="M36">
        <v>8.2385982587797137</v>
      </c>
      <c r="N36">
        <v>0.20624772412558318</v>
      </c>
      <c r="O36">
        <v>690.8823692974222</v>
      </c>
      <c r="P36">
        <v>4.6953806804350773</v>
      </c>
      <c r="Q36">
        <v>4.1149876005068364E-2</v>
      </c>
      <c r="R36">
        <v>137.84260626975967</v>
      </c>
      <c r="S36">
        <v>0.57156740480433832</v>
      </c>
      <c r="T36">
        <v>2.4416797198304705E-4</v>
      </c>
      <c r="U36">
        <v>0.81790646517621135</v>
      </c>
      <c r="V36">
        <v>3.6952728849813507E-3</v>
      </c>
    </row>
    <row r="37" spans="1:22" x14ac:dyDescent="0.2">
      <c r="A37">
        <v>3500</v>
      </c>
      <c r="B37">
        <v>6.3207878973905616E-3</v>
      </c>
      <c r="C37">
        <v>3449.8662257999999</v>
      </c>
      <c r="D37">
        <v>0.34194144696493584</v>
      </c>
      <c r="E37">
        <v>9.2694326124579285E-2</v>
      </c>
      <c r="F37">
        <v>319.78302502047666</v>
      </c>
      <c r="G37">
        <v>2.1237443148987345</v>
      </c>
      <c r="H37">
        <v>6.5574328661124684E-2</v>
      </c>
      <c r="I37">
        <v>226.22266172752299</v>
      </c>
      <c r="J37">
        <v>1.4097836218481488</v>
      </c>
      <c r="K37">
        <v>9.2724795596351592E-2</v>
      </c>
      <c r="L37">
        <v>319.88814062206194</v>
      </c>
      <c r="M37">
        <v>8.4208737570195282</v>
      </c>
      <c r="N37">
        <v>0.20550500483175951</v>
      </c>
      <c r="O37">
        <v>708.96477540195292</v>
      </c>
      <c r="P37">
        <v>4.8131550434538131</v>
      </c>
      <c r="Q37">
        <v>4.3462460629663878E-2</v>
      </c>
      <c r="R37">
        <v>149.93967501643962</v>
      </c>
      <c r="S37">
        <v>0.60338809100525004</v>
      </c>
      <c r="T37">
        <v>2.4918590716089064E-4</v>
      </c>
      <c r="U37">
        <v>0.85965804505969101</v>
      </c>
      <c r="V37">
        <v>2.7786402563682979E-3</v>
      </c>
    </row>
    <row r="38" spans="1:22" x14ac:dyDescent="0.2">
      <c r="A38">
        <v>3600</v>
      </c>
      <c r="B38">
        <v>6.1818525180365137E-3</v>
      </c>
      <c r="C38">
        <v>3549.7953802000002</v>
      </c>
      <c r="D38">
        <v>0.34336371735396903</v>
      </c>
      <c r="E38">
        <v>9.0596235376915246E-2</v>
      </c>
      <c r="F38">
        <v>321.59809780448558</v>
      </c>
      <c r="G38">
        <v>2.1326750590041019</v>
      </c>
      <c r="H38">
        <v>6.2570968862104268E-2</v>
      </c>
      <c r="I38">
        <v>222.11413620133578</v>
      </c>
      <c r="J38">
        <v>1.3981594428171973</v>
      </c>
      <c r="K38">
        <v>9.0431962723499584E-2</v>
      </c>
      <c r="L38">
        <v>321.01496349829745</v>
      </c>
      <c r="M38">
        <v>8.4986249516849988</v>
      </c>
      <c r="N38">
        <v>0.21138516038316704</v>
      </c>
      <c r="O38">
        <v>750.37406577100251</v>
      </c>
      <c r="P38">
        <v>5.0549514402007301</v>
      </c>
      <c r="Q38">
        <v>4.1231147037881194E-2</v>
      </c>
      <c r="R38">
        <v>146.36213527541759</v>
      </c>
      <c r="S38">
        <v>0.60300377573849639</v>
      </c>
      <c r="T38">
        <v>3.1544720942120163E-4</v>
      </c>
      <c r="U38">
        <v>1.1197730467003635</v>
      </c>
      <c r="V38">
        <v>3.2020957702834181E-3</v>
      </c>
    </row>
    <row r="39" spans="1:22" x14ac:dyDescent="0.2">
      <c r="A39">
        <v>3700</v>
      </c>
      <c r="B39">
        <v>5.8898309336534683E-3</v>
      </c>
      <c r="C39">
        <v>3649.6508484000001</v>
      </c>
      <c r="D39">
        <v>0.33931648595773911</v>
      </c>
      <c r="E39">
        <v>8.9967800630775266E-2</v>
      </c>
      <c r="F39">
        <v>328.35105990079103</v>
      </c>
      <c r="G39">
        <v>2.1937733912367663</v>
      </c>
      <c r="H39">
        <v>6.3313907094323926E-2</v>
      </c>
      <c r="I39">
        <v>231.07365474231813</v>
      </c>
      <c r="J39">
        <v>1.4473721969650135</v>
      </c>
      <c r="K39">
        <v>8.7410890322044146E-2</v>
      </c>
      <c r="L39">
        <v>319.01923002324776</v>
      </c>
      <c r="M39">
        <v>8.4705392283540615</v>
      </c>
      <c r="N39">
        <v>0.20878085792180345</v>
      </c>
      <c r="O39">
        <v>761.97723524398987</v>
      </c>
      <c r="P39">
        <v>5.1732572212835581</v>
      </c>
      <c r="Q39">
        <v>4.2883591980616323E-2</v>
      </c>
      <c r="R39">
        <v>156.51013785449581</v>
      </c>
      <c r="S39">
        <v>0.62883523392432805</v>
      </c>
      <c r="T39">
        <v>2.4114573327520641E-4</v>
      </c>
      <c r="U39">
        <v>0.8800977300358972</v>
      </c>
      <c r="V39">
        <v>2.2531241581600528E-3</v>
      </c>
    </row>
    <row r="40" spans="1:22" x14ac:dyDescent="0.2">
      <c r="A40">
        <v>3800</v>
      </c>
      <c r="B40">
        <v>5.7161617094609075E-3</v>
      </c>
      <c r="C40">
        <v>3749.8355793000001</v>
      </c>
      <c r="D40">
        <v>0.33667385681620737</v>
      </c>
      <c r="E40">
        <v>8.783295602084823E-2</v>
      </c>
      <c r="F40">
        <v>329.35914352206885</v>
      </c>
      <c r="G40">
        <v>2.1874588007757252</v>
      </c>
      <c r="H40">
        <v>6.2946989590809493E-2</v>
      </c>
      <c r="I40">
        <v>236.04086117744419</v>
      </c>
      <c r="J40">
        <v>1.5050901919805608</v>
      </c>
      <c r="K40">
        <v>8.794515131016678E-2</v>
      </c>
      <c r="L40">
        <v>329.77985740978539</v>
      </c>
      <c r="M40">
        <v>8.5719430948661159</v>
      </c>
      <c r="N40">
        <v>0.20491158446873425</v>
      </c>
      <c r="O40">
        <v>768.38475005159705</v>
      </c>
      <c r="P40">
        <v>5.18222943596595</v>
      </c>
      <c r="Q40">
        <v>4.3454027884774746E-2</v>
      </c>
      <c r="R40">
        <v>162.94545982622267</v>
      </c>
      <c r="S40">
        <v>0.65334273244459029</v>
      </c>
      <c r="T40">
        <v>3.6309315253155313E-4</v>
      </c>
      <c r="U40">
        <v>1.3615396219630198</v>
      </c>
      <c r="V40">
        <v>4.6266988851735346E-3</v>
      </c>
    </row>
    <row r="41" spans="1:22" x14ac:dyDescent="0.2">
      <c r="A41">
        <v>3900</v>
      </c>
      <c r="B41">
        <v>5.5134189706998148E-3</v>
      </c>
      <c r="C41">
        <v>3849.6253585999998</v>
      </c>
      <c r="D41">
        <v>0.34171488924401516</v>
      </c>
      <c r="E41">
        <v>8.6202824218801474E-2</v>
      </c>
      <c r="F41">
        <v>331.84857809563636</v>
      </c>
      <c r="G41">
        <v>2.2254794205785049</v>
      </c>
      <c r="H41">
        <v>6.1382108764321236E-2</v>
      </c>
      <c r="I41">
        <v>236.29812246347433</v>
      </c>
      <c r="J41">
        <v>1.4826972726709784</v>
      </c>
      <c r="K41">
        <v>8.6921423983856133E-2</v>
      </c>
      <c r="L41">
        <v>334.61491797387481</v>
      </c>
      <c r="M41">
        <v>8.7540878105388487</v>
      </c>
      <c r="N41">
        <v>0.21350169121854018</v>
      </c>
      <c r="O41">
        <v>821.90152461887919</v>
      </c>
      <c r="P41">
        <v>5.4552631800264528</v>
      </c>
      <c r="Q41">
        <v>4.0750940808274565E-2</v>
      </c>
      <c r="R41">
        <v>156.87585512234133</v>
      </c>
      <c r="S41">
        <v>0.62829430296523459</v>
      </c>
      <c r="T41">
        <v>5.4083323334430287E-4</v>
      </c>
      <c r="U41">
        <v>2.0820053298558592</v>
      </c>
      <c r="V41">
        <v>5.8528914239535232E-3</v>
      </c>
    </row>
    <row r="42" spans="1:22" x14ac:dyDescent="0.2">
      <c r="A42">
        <v>4000</v>
      </c>
      <c r="B42">
        <v>5.3528714212240256E-3</v>
      </c>
      <c r="C42">
        <v>3949.8122156999998</v>
      </c>
      <c r="D42">
        <v>0.34220102001813013</v>
      </c>
      <c r="E42">
        <v>8.3581735509440855E-2</v>
      </c>
      <c r="F42">
        <v>330.13215992459595</v>
      </c>
      <c r="G42">
        <v>2.1952137847435256</v>
      </c>
      <c r="H42">
        <v>6.1085682975198702E-2</v>
      </c>
      <c r="I42">
        <v>241.27697681981735</v>
      </c>
      <c r="J42">
        <v>1.5013974399689733</v>
      </c>
      <c r="K42">
        <v>8.4392797537874403E-2</v>
      </c>
      <c r="L42">
        <v>333.3357026321932</v>
      </c>
      <c r="M42">
        <v>8.7673683385646957</v>
      </c>
      <c r="N42">
        <v>0.21559464616121596</v>
      </c>
      <c r="O42">
        <v>851.55836704708986</v>
      </c>
      <c r="P42">
        <v>5.6313221396002771</v>
      </c>
      <c r="Q42">
        <v>4.1631132696559103E-2</v>
      </c>
      <c r="R42">
        <v>164.43515647829682</v>
      </c>
      <c r="S42">
        <v>0.64775008150800018</v>
      </c>
      <c r="T42">
        <v>5.8244362248063928E-4</v>
      </c>
      <c r="U42">
        <v>2.3005429350305882</v>
      </c>
      <c r="V42">
        <v>5.4276115429463864E-3</v>
      </c>
    </row>
    <row r="43" spans="1:22" x14ac:dyDescent="0.2">
      <c r="A43">
        <v>4100</v>
      </c>
      <c r="B43">
        <v>5.2059601219440971E-3</v>
      </c>
      <c r="C43">
        <v>4049.8220792000002</v>
      </c>
      <c r="D43">
        <v>0.3347068440773871</v>
      </c>
      <c r="E43">
        <v>8.1080444355127748E-2</v>
      </c>
      <c r="F43">
        <v>328.36137374074337</v>
      </c>
      <c r="G43">
        <v>2.1795578104739297</v>
      </c>
      <c r="H43">
        <v>6.2836054917859832E-2</v>
      </c>
      <c r="I43">
        <v>254.47484257617251</v>
      </c>
      <c r="J43">
        <v>1.5991446293083129</v>
      </c>
      <c r="K43">
        <v>8.2563207208907252E-2</v>
      </c>
      <c r="L43">
        <v>334.36629948419721</v>
      </c>
      <c r="M43">
        <v>8.7936130724595092</v>
      </c>
      <c r="N43">
        <v>0.20882074777289222</v>
      </c>
      <c r="O43">
        <v>845.68687492571314</v>
      </c>
      <c r="P43">
        <v>5.58864824842684</v>
      </c>
      <c r="Q43">
        <v>4.267320687299133E-2</v>
      </c>
      <c r="R43">
        <v>172.81889538450949</v>
      </c>
      <c r="S43">
        <v>0.66500322008510637</v>
      </c>
      <c r="T43">
        <v>6.4968222259632815E-4</v>
      </c>
      <c r="U43">
        <v>2.6310974095343389</v>
      </c>
      <c r="V43">
        <v>5.553572087975675E-3</v>
      </c>
    </row>
    <row r="44" spans="1:22" x14ac:dyDescent="0.2">
      <c r="A44">
        <v>4200</v>
      </c>
      <c r="B44">
        <v>5.039752242198328E-3</v>
      </c>
      <c r="C44">
        <v>4149.3660362999999</v>
      </c>
      <c r="D44">
        <v>0.33818475215204397</v>
      </c>
      <c r="E44">
        <v>8.1186472360775627E-2</v>
      </c>
      <c r="F44">
        <v>336.87239102081105</v>
      </c>
      <c r="G44">
        <v>2.2596254284922104</v>
      </c>
      <c r="H44">
        <v>6.0556926108386699E-2</v>
      </c>
      <c r="I44">
        <v>251.27285245686849</v>
      </c>
      <c r="J44">
        <v>1.6500453874333774</v>
      </c>
      <c r="K44">
        <v>8.3010452138600616E-2</v>
      </c>
      <c r="L44">
        <v>344.4407507618161</v>
      </c>
      <c r="M44">
        <v>8.8765192540172873</v>
      </c>
      <c r="N44">
        <v>0.21217300391891777</v>
      </c>
      <c r="O44">
        <v>880.38345628090417</v>
      </c>
      <c r="P44">
        <v>5.8025172678384784</v>
      </c>
      <c r="Q44">
        <v>4.2695258878656467E-2</v>
      </c>
      <c r="R44">
        <v>177.15825710213315</v>
      </c>
      <c r="S44">
        <v>0.68500402135396588</v>
      </c>
      <c r="T44">
        <v>3.0603721586910693E-4</v>
      </c>
      <c r="U44">
        <v>1.2698604293710836</v>
      </c>
      <c r="V44">
        <v>3.3490477687614872E-3</v>
      </c>
    </row>
    <row r="45" spans="1:22" x14ac:dyDescent="0.2">
      <c r="A45">
        <v>4300</v>
      </c>
      <c r="B45">
        <v>4.8431844091863041E-3</v>
      </c>
      <c r="C45">
        <v>4250.1688647000001</v>
      </c>
      <c r="D45">
        <v>0.33615721145194488</v>
      </c>
      <c r="E45">
        <v>8.0940929309302981E-2</v>
      </c>
      <c r="F45">
        <v>344.01261763028322</v>
      </c>
      <c r="G45">
        <v>2.2819494944927126</v>
      </c>
      <c r="H45">
        <v>5.9382000299890242E-2</v>
      </c>
      <c r="I45">
        <v>252.38352879819956</v>
      </c>
      <c r="J45">
        <v>1.6102013710476684</v>
      </c>
      <c r="K45">
        <v>8.2220870572142682E-2</v>
      </c>
      <c r="L45">
        <v>349.45258413424932</v>
      </c>
      <c r="M45">
        <v>8.9737338516475287</v>
      </c>
      <c r="N45">
        <v>0.21126938907079459</v>
      </c>
      <c r="O45">
        <v>897.93057949288163</v>
      </c>
      <c r="P45">
        <v>5.9849286558439951</v>
      </c>
      <c r="Q45">
        <v>4.219053320642499E-2</v>
      </c>
      <c r="R45">
        <v>179.31689061903896</v>
      </c>
      <c r="S45">
        <v>0.68486559797177871</v>
      </c>
      <c r="T45">
        <v>4.7641860258260788E-4</v>
      </c>
      <c r="U45">
        <v>2.024859511260483</v>
      </c>
      <c r="V45">
        <v>5.1257033045686538E-3</v>
      </c>
    </row>
    <row r="46" spans="1:22" x14ac:dyDescent="0.2">
      <c r="A46">
        <v>4400</v>
      </c>
      <c r="B46">
        <v>4.7029625911345335E-3</v>
      </c>
      <c r="C46">
        <v>4349.8288124000001</v>
      </c>
      <c r="D46">
        <v>0.33864079776092731</v>
      </c>
      <c r="E46">
        <v>7.7961603426809328E-2</v>
      </c>
      <c r="F46">
        <v>339.11962884683777</v>
      </c>
      <c r="G46">
        <v>2.2738995230776826</v>
      </c>
      <c r="H46">
        <v>5.9704049946733145E-2</v>
      </c>
      <c r="I46">
        <v>259.70239667526852</v>
      </c>
      <c r="J46">
        <v>1.6498994060187604</v>
      </c>
      <c r="K46">
        <v>7.9703899572083126E-2</v>
      </c>
      <c r="L46">
        <v>346.6983188192832</v>
      </c>
      <c r="M46">
        <v>8.8443605284497959</v>
      </c>
      <c r="N46">
        <v>0.217212644914245</v>
      </c>
      <c r="O46">
        <v>944.83782126559322</v>
      </c>
      <c r="P46">
        <v>6.2346673774515091</v>
      </c>
      <c r="Q46">
        <v>4.1303930373918468E-2</v>
      </c>
      <c r="R46">
        <v>179.66502640583406</v>
      </c>
      <c r="S46">
        <v>0.69611001185982468</v>
      </c>
      <c r="T46">
        <v>4.2032290068078223E-4</v>
      </c>
      <c r="U46">
        <v>1.8283326638928101</v>
      </c>
      <c r="V46">
        <v>5.6562758029542201E-3</v>
      </c>
    </row>
    <row r="47" spans="1:22" x14ac:dyDescent="0.2">
      <c r="A47">
        <v>4500</v>
      </c>
      <c r="B47">
        <v>4.5704594052690985E-3</v>
      </c>
      <c r="C47">
        <v>4449.9582344999999</v>
      </c>
      <c r="D47">
        <v>0.33876967203788516</v>
      </c>
      <c r="E47">
        <v>7.640094975931469E-2</v>
      </c>
      <c r="F47">
        <v>339.98103550508318</v>
      </c>
      <c r="G47">
        <v>2.2782798955168824</v>
      </c>
      <c r="H47">
        <v>5.8614071362055688E-2</v>
      </c>
      <c r="I47">
        <v>260.83016951515032</v>
      </c>
      <c r="J47">
        <v>1.6783702194515491</v>
      </c>
      <c r="K47">
        <v>7.9433188444841749E-2</v>
      </c>
      <c r="L47">
        <v>353.47437101271379</v>
      </c>
      <c r="M47">
        <v>9.0428087539066819</v>
      </c>
      <c r="N47">
        <v>0.21621533205076351</v>
      </c>
      <c r="O47">
        <v>962.14919728444681</v>
      </c>
      <c r="P47">
        <v>6.2494648610357784</v>
      </c>
      <c r="Q47">
        <v>4.2600720366805428E-2</v>
      </c>
      <c r="R47">
        <v>189.57142639189766</v>
      </c>
      <c r="S47">
        <v>0.73181411197728818</v>
      </c>
      <c r="T47">
        <v>5.2043117547452566E-4</v>
      </c>
      <c r="U47">
        <v>2.3158969947933796</v>
      </c>
      <c r="V47">
        <v>4.1576244579486603E-3</v>
      </c>
    </row>
    <row r="48" spans="1:22" x14ac:dyDescent="0.2">
      <c r="A48">
        <v>4600</v>
      </c>
      <c r="B48">
        <v>4.4333250400918622E-3</v>
      </c>
      <c r="C48">
        <v>4549.7896828000003</v>
      </c>
      <c r="D48">
        <v>0.33866628531247378</v>
      </c>
      <c r="E48">
        <v>7.6099332435418318E-2</v>
      </c>
      <c r="F48">
        <v>346.23595758263366</v>
      </c>
      <c r="G48">
        <v>2.313363876274241</v>
      </c>
      <c r="H48">
        <v>5.7658183704885624E-2</v>
      </c>
      <c r="I48">
        <v>262.33260934947572</v>
      </c>
      <c r="J48">
        <v>1.720813861426199</v>
      </c>
      <c r="K48">
        <v>7.8780516917974344E-2</v>
      </c>
      <c r="L48">
        <v>358.43478307905053</v>
      </c>
      <c r="M48">
        <v>9.1122195033189968</v>
      </c>
      <c r="N48">
        <v>0.21581100496412386</v>
      </c>
      <c r="O48">
        <v>981.89468382047039</v>
      </c>
      <c r="P48">
        <v>6.4928937252580869</v>
      </c>
      <c r="Q48">
        <v>4.3242063077992304E-2</v>
      </c>
      <c r="R48">
        <v>196.7422924552362</v>
      </c>
      <c r="S48">
        <v>0.7412139270654019</v>
      </c>
      <c r="T48">
        <v>8.327003523833042E-4</v>
      </c>
      <c r="U48">
        <v>3.788611472137482</v>
      </c>
      <c r="V48">
        <v>6.3465168153328151E-3</v>
      </c>
    </row>
    <row r="49" spans="1:22" x14ac:dyDescent="0.2">
      <c r="A49">
        <v>4700</v>
      </c>
      <c r="B49">
        <v>4.3152299676409208E-3</v>
      </c>
      <c r="C49">
        <v>4649.8572821999996</v>
      </c>
      <c r="D49">
        <v>0.33612820649582403</v>
      </c>
      <c r="E49">
        <v>7.3949225292838067E-2</v>
      </c>
      <c r="F49">
        <v>343.85334374095146</v>
      </c>
      <c r="G49">
        <v>2.298269162683499</v>
      </c>
      <c r="H49">
        <v>5.9019377489881467E-2</v>
      </c>
      <c r="I49">
        <v>274.43168221223607</v>
      </c>
      <c r="J49">
        <v>1.7530789089047729</v>
      </c>
      <c r="K49">
        <v>7.7437296978563275E-2</v>
      </c>
      <c r="L49">
        <v>360.07237926965649</v>
      </c>
      <c r="M49">
        <v>9.1665105547306407</v>
      </c>
      <c r="N49">
        <v>0.21604151041995606</v>
      </c>
      <c r="O49">
        <v>1004.5621904837199</v>
      </c>
      <c r="P49">
        <v>6.5692302439989119</v>
      </c>
      <c r="Q49">
        <v>4.2138446761164773E-2</v>
      </c>
      <c r="R49">
        <v>195.93776353299901</v>
      </c>
      <c r="S49">
        <v>0.73361317607186127</v>
      </c>
      <c r="T49">
        <v>5.1095233613989788E-4</v>
      </c>
      <c r="U49">
        <v>2.3758554410572064</v>
      </c>
      <c r="V49">
        <v>6.3210059389935489E-3</v>
      </c>
    </row>
    <row r="50" spans="1:22" x14ac:dyDescent="0.2">
      <c r="A50">
        <v>4800</v>
      </c>
      <c r="B50">
        <v>4.176037300547328E-3</v>
      </c>
      <c r="C50">
        <v>4749.7428129999998</v>
      </c>
      <c r="D50">
        <v>0.33808409936329087</v>
      </c>
      <c r="E50">
        <v>7.4215420777773905E-2</v>
      </c>
      <c r="F50">
        <v>352.5041614530025</v>
      </c>
      <c r="G50">
        <v>2.3542286412747155</v>
      </c>
      <c r="H50">
        <v>5.8283534613287627E-2</v>
      </c>
      <c r="I50">
        <v>276.83179964569962</v>
      </c>
      <c r="J50">
        <v>1.7273114487878614</v>
      </c>
      <c r="K50">
        <v>7.7503934847417133E-2</v>
      </c>
      <c r="L50">
        <v>368.12375752073979</v>
      </c>
      <c r="M50">
        <v>9.0926290066093056</v>
      </c>
      <c r="N50">
        <v>0.21816219020965807</v>
      </c>
      <c r="O50">
        <v>1036.2142950166624</v>
      </c>
      <c r="P50">
        <v>6.6283603911103031</v>
      </c>
      <c r="Q50">
        <v>4.1909227794181741E-2</v>
      </c>
      <c r="R50">
        <v>199.05805351379456</v>
      </c>
      <c r="S50">
        <v>0.7602334988521624</v>
      </c>
      <c r="T50">
        <v>5.0874651203385707E-4</v>
      </c>
      <c r="U50">
        <v>2.4164150891716307</v>
      </c>
      <c r="V50">
        <v>6.4562675589058061E-3</v>
      </c>
    </row>
    <row r="51" spans="1:22" x14ac:dyDescent="0.2">
      <c r="A51">
        <v>4900</v>
      </c>
      <c r="B51">
        <v>4.1405315924901822E-3</v>
      </c>
      <c r="C51">
        <v>4849.2001688999999</v>
      </c>
      <c r="D51">
        <v>0.33255915167887534</v>
      </c>
      <c r="E51">
        <v>7.252327977701481E-2</v>
      </c>
      <c r="F51">
        <v>351.67990054388218</v>
      </c>
      <c r="G51">
        <v>2.3633431189544258</v>
      </c>
      <c r="H51">
        <v>5.6050735163309225E-2</v>
      </c>
      <c r="I51">
        <v>271.80123442088825</v>
      </c>
      <c r="J51">
        <v>1.7303575988335376</v>
      </c>
      <c r="K51">
        <v>7.139290161501026E-2</v>
      </c>
      <c r="L51">
        <v>346.1984705697688</v>
      </c>
      <c r="M51">
        <v>8.7901055565048214</v>
      </c>
      <c r="N51">
        <v>0.21881194673231463</v>
      </c>
      <c r="O51">
        <v>1061.0629290516779</v>
      </c>
      <c r="P51">
        <v>6.847358348287532</v>
      </c>
      <c r="Q51">
        <v>4.1697314892959664E-2</v>
      </c>
      <c r="R51">
        <v>202.1986264216165</v>
      </c>
      <c r="S51">
        <v>0.76067922661275233</v>
      </c>
      <c r="T51">
        <v>6.5698843859074223E-4</v>
      </c>
      <c r="U51">
        <v>3.1858684473795744</v>
      </c>
      <c r="V51">
        <v>4.2599912256198573E-3</v>
      </c>
    </row>
    <row r="52" spans="1:22" x14ac:dyDescent="0.2">
      <c r="A52">
        <v>5000</v>
      </c>
      <c r="B52">
        <v>3.9946494441684315E-3</v>
      </c>
      <c r="C52">
        <v>4949.4575961999999</v>
      </c>
      <c r="D52">
        <v>0.33751955349784818</v>
      </c>
      <c r="E52">
        <v>7.0986930571881171E-2</v>
      </c>
      <c r="F52">
        <v>351.34680274991928</v>
      </c>
      <c r="G52">
        <v>2.3630299178723453</v>
      </c>
      <c r="H52">
        <v>5.6678638651896811E-2</v>
      </c>
      <c r="I52">
        <v>280.5285186179056</v>
      </c>
      <c r="J52">
        <v>1.7793333261333877</v>
      </c>
      <c r="K52">
        <v>7.2332561604559503E-2</v>
      </c>
      <c r="L52">
        <v>358.0069464862915</v>
      </c>
      <c r="M52">
        <v>9.1772769167534616</v>
      </c>
      <c r="N52">
        <v>0.22039289940549484</v>
      </c>
      <c r="O52">
        <v>1090.8253101110688</v>
      </c>
      <c r="P52">
        <v>6.9269516977993693</v>
      </c>
      <c r="Q52">
        <v>4.4287051705119519E-2</v>
      </c>
      <c r="R52">
        <v>219.19688447520596</v>
      </c>
      <c r="S52">
        <v>0.8039678696119531</v>
      </c>
      <c r="T52">
        <v>5.0704078267432861E-4</v>
      </c>
      <c r="U52">
        <v>2.5095768533906493</v>
      </c>
      <c r="V52">
        <v>6.0103415515328964E-3</v>
      </c>
    </row>
    <row r="53" spans="1:22" x14ac:dyDescent="0.2">
      <c r="A53">
        <v>5100</v>
      </c>
      <c r="B53">
        <v>3.8804136878106588E-3</v>
      </c>
      <c r="C53">
        <v>5049.5342657000001</v>
      </c>
      <c r="D53">
        <v>0.3345725334673505</v>
      </c>
      <c r="E53">
        <v>6.9717219465541644E-2</v>
      </c>
      <c r="F53">
        <v>352.0394886005796</v>
      </c>
      <c r="G53">
        <v>2.369678404193774</v>
      </c>
      <c r="H53">
        <v>5.704930847299277E-2</v>
      </c>
      <c r="I53">
        <v>288.07243796886632</v>
      </c>
      <c r="J53">
        <v>1.8787958952591943</v>
      </c>
      <c r="K53">
        <v>7.0512078875122661E-2</v>
      </c>
      <c r="L53">
        <v>356.05315842567302</v>
      </c>
      <c r="M53">
        <v>9.0256798683394361</v>
      </c>
      <c r="N53">
        <v>0.21900124784273919</v>
      </c>
      <c r="O53">
        <v>1105.8543052129698</v>
      </c>
      <c r="P53">
        <v>7.1054674940346283</v>
      </c>
      <c r="Q53">
        <v>4.4475805462017702E-2</v>
      </c>
      <c r="R53">
        <v>224.58210367506561</v>
      </c>
      <c r="S53">
        <v>0.83515337225046304</v>
      </c>
      <c r="T53">
        <v>5.8340128747093128E-4</v>
      </c>
      <c r="U53">
        <v>2.9459047917379637</v>
      </c>
      <c r="V53">
        <v>6.0613040151903178E-3</v>
      </c>
    </row>
    <row r="54" spans="1:22" x14ac:dyDescent="0.2">
      <c r="A54">
        <v>5200</v>
      </c>
      <c r="B54">
        <v>3.7924212808864285E-3</v>
      </c>
      <c r="C54">
        <v>5149.819281</v>
      </c>
      <c r="D54">
        <v>0.33331962669114629</v>
      </c>
      <c r="E54">
        <v>6.8844666927423262E-2</v>
      </c>
      <c r="F54">
        <v>354.53759313686732</v>
      </c>
      <c r="G54">
        <v>2.3719077776250299</v>
      </c>
      <c r="H54">
        <v>5.5977476935295485E-2</v>
      </c>
      <c r="I54">
        <v>288.27389002311747</v>
      </c>
      <c r="J54">
        <v>1.7994053252912638</v>
      </c>
      <c r="K54">
        <v>7.1664959853464508E-2</v>
      </c>
      <c r="L54">
        <v>369.06159202546246</v>
      </c>
      <c r="M54">
        <v>9.3767796920670587</v>
      </c>
      <c r="N54">
        <v>0.22219952002227294</v>
      </c>
      <c r="O54">
        <v>1144.2873724396468</v>
      </c>
      <c r="P54">
        <v>7.3065726083190921</v>
      </c>
      <c r="Q54">
        <v>3.8780508223165013E-2</v>
      </c>
      <c r="R54">
        <v>199.71260897463424</v>
      </c>
      <c r="S54">
        <v>0.72434671509666138</v>
      </c>
      <c r="T54">
        <v>6.746385922438376E-4</v>
      </c>
      <c r="U54">
        <v>3.4742668300440118</v>
      </c>
      <c r="V54">
        <v>5.10481532773402E-3</v>
      </c>
    </row>
    <row r="55" spans="1:22" x14ac:dyDescent="0.2">
      <c r="A55">
        <v>5300</v>
      </c>
      <c r="B55">
        <v>3.6714960433004975E-3</v>
      </c>
      <c r="C55">
        <v>5249.8320856</v>
      </c>
      <c r="D55">
        <v>0.32882073861614874</v>
      </c>
      <c r="E55">
        <v>6.880319990785555E-2</v>
      </c>
      <c r="F55">
        <v>361.20524646821104</v>
      </c>
      <c r="G55">
        <v>2.4232332021775953</v>
      </c>
      <c r="H55">
        <v>5.5816117403392776E-2</v>
      </c>
      <c r="I55">
        <v>293.02524403794797</v>
      </c>
      <c r="J55">
        <v>1.853149646453327</v>
      </c>
      <c r="K55">
        <v>6.9348809479664292E-2</v>
      </c>
      <c r="L55">
        <v>364.06960510450307</v>
      </c>
      <c r="M55">
        <v>9.2051330633890913</v>
      </c>
      <c r="N55">
        <v>0.21851266963994367</v>
      </c>
      <c r="O55">
        <v>1147.1548241858893</v>
      </c>
      <c r="P55">
        <v>7.2347538246647227</v>
      </c>
      <c r="Q55">
        <v>4.0363748808167683E-2</v>
      </c>
      <c r="R55">
        <v>211.90290358821747</v>
      </c>
      <c r="S55">
        <v>0.76291099603525436</v>
      </c>
      <c r="T55">
        <v>5.9551068837309935E-4</v>
      </c>
      <c r="U55">
        <v>3.1263311191388397</v>
      </c>
      <c r="V55">
        <v>5.767584168086916E-3</v>
      </c>
    </row>
    <row r="56" spans="1:22" x14ac:dyDescent="0.2">
      <c r="A56">
        <v>5400</v>
      </c>
      <c r="B56">
        <v>3.585561938292623E-3</v>
      </c>
      <c r="C56">
        <v>5349.6850807999999</v>
      </c>
      <c r="D56">
        <v>0.33757795949064168</v>
      </c>
      <c r="E56">
        <v>6.6041127180424986E-2</v>
      </c>
      <c r="F56">
        <v>353.29923279633493</v>
      </c>
      <c r="G56">
        <v>2.3657156965446653</v>
      </c>
      <c r="H56">
        <v>5.4712737211530547E-2</v>
      </c>
      <c r="I56">
        <v>292.69591399025597</v>
      </c>
      <c r="J56">
        <v>1.9252559660182793</v>
      </c>
      <c r="K56">
        <v>7.1392783375712171E-2</v>
      </c>
      <c r="L56">
        <v>381.92890810183366</v>
      </c>
      <c r="M56">
        <v>9.4977051366723906</v>
      </c>
      <c r="N56">
        <v>0.22449755622017206</v>
      </c>
      <c r="O56">
        <v>1200.9912271871137</v>
      </c>
      <c r="P56">
        <v>7.6249372225711749</v>
      </c>
      <c r="Q56">
        <v>4.1122640654468412E-2</v>
      </c>
      <c r="R56">
        <v>219.99317719230919</v>
      </c>
      <c r="S56">
        <v>0.80162302272956465</v>
      </c>
      <c r="T56">
        <v>5.6497924028901109E-4</v>
      </c>
      <c r="U56">
        <v>3.0224610127358411</v>
      </c>
      <c r="V56">
        <v>5.3463585975961582E-3</v>
      </c>
    </row>
    <row r="57" spans="1:22" x14ac:dyDescent="0.2">
      <c r="A57">
        <v>5500</v>
      </c>
      <c r="B57">
        <v>3.5088901919083522E-3</v>
      </c>
      <c r="C57">
        <v>5449.7602567000004</v>
      </c>
      <c r="D57">
        <v>0.33399385578313906</v>
      </c>
      <c r="E57">
        <v>6.7093895297970468E-2</v>
      </c>
      <c r="F57">
        <v>365.64564406207046</v>
      </c>
      <c r="G57">
        <v>2.4522452771537058</v>
      </c>
      <c r="H57">
        <v>5.6195809971900705E-2</v>
      </c>
      <c r="I57">
        <v>306.25369177793004</v>
      </c>
      <c r="J57">
        <v>1.9658786102723991</v>
      </c>
      <c r="K57">
        <v>6.8125087194717021E-2</v>
      </c>
      <c r="L57">
        <v>371.26539267799097</v>
      </c>
      <c r="M57">
        <v>9.3982679383073418</v>
      </c>
      <c r="N57">
        <v>0.22501568318308693</v>
      </c>
      <c r="O57">
        <v>1226.2815273453857</v>
      </c>
      <c r="P57">
        <v>7.814350297815075</v>
      </c>
      <c r="Q57">
        <v>4.0580016690800393E-2</v>
      </c>
      <c r="R57">
        <v>221.15136217774665</v>
      </c>
      <c r="S57">
        <v>0.81411082133643131</v>
      </c>
      <c r="T57">
        <v>2.7306871453472545E-4</v>
      </c>
      <c r="U57">
        <v>1.4881590278195045</v>
      </c>
      <c r="V57">
        <v>3.9016372555799976E-3</v>
      </c>
    </row>
    <row r="58" spans="1:22" x14ac:dyDescent="0.2">
      <c r="A58">
        <v>5600</v>
      </c>
      <c r="B58">
        <v>3.3702121002938483E-3</v>
      </c>
      <c r="C58">
        <v>5549.5926741000003</v>
      </c>
      <c r="D58">
        <v>0.33415971303793002</v>
      </c>
      <c r="E58">
        <v>6.5400446611235022E-2</v>
      </c>
      <c r="F58">
        <v>362.94583939657804</v>
      </c>
      <c r="G58">
        <v>2.4194565112404289</v>
      </c>
      <c r="H58">
        <v>5.3549472884884236E-2</v>
      </c>
      <c r="I58">
        <v>297.17776242387015</v>
      </c>
      <c r="J58">
        <v>1.8852654971075768</v>
      </c>
      <c r="K58">
        <v>6.6527152561178221E-2</v>
      </c>
      <c r="L58">
        <v>369.19859848224769</v>
      </c>
      <c r="M58">
        <v>9.2976877434594822</v>
      </c>
      <c r="N58">
        <v>0.2260448713110427</v>
      </c>
      <c r="O58">
        <v>1254.4569618456399</v>
      </c>
      <c r="P58">
        <v>7.8332307232468175</v>
      </c>
      <c r="Q58">
        <v>4.0754491189248815E-2</v>
      </c>
      <c r="R58">
        <v>226.17082574052824</v>
      </c>
      <c r="S58">
        <v>0.82883226603366411</v>
      </c>
      <c r="T58">
        <v>8.3319797646030187E-4</v>
      </c>
      <c r="U58">
        <v>4.6239093862390357</v>
      </c>
      <c r="V58">
        <v>8.6512488566455291E-3</v>
      </c>
    </row>
    <row r="59" spans="1:22" x14ac:dyDescent="0.2">
      <c r="A59">
        <v>5700</v>
      </c>
      <c r="B59">
        <v>3.3354782554553364E-3</v>
      </c>
      <c r="C59">
        <v>5650.1906062999997</v>
      </c>
      <c r="D59">
        <v>0.33705103646059636</v>
      </c>
      <c r="E59">
        <v>6.4366324232704011E-2</v>
      </c>
      <c r="F59">
        <v>363.68200054168426</v>
      </c>
      <c r="G59">
        <v>2.4553576720807291</v>
      </c>
      <c r="H59">
        <v>5.3227279573324023E-2</v>
      </c>
      <c r="I59">
        <v>300.74427504409925</v>
      </c>
      <c r="J59">
        <v>1.9420418058416908</v>
      </c>
      <c r="K59">
        <v>6.737361561485318E-2</v>
      </c>
      <c r="L59">
        <v>380.67377005951045</v>
      </c>
      <c r="M59">
        <v>9.3836078864337793</v>
      </c>
      <c r="N59">
        <v>0.22556249339736462</v>
      </c>
      <c r="O59">
        <v>1274.4710813273953</v>
      </c>
      <c r="P59">
        <v>7.9703003562963435</v>
      </c>
      <c r="Q59">
        <v>4.3146948956990602E-2</v>
      </c>
      <c r="R59">
        <v>243.78848568729387</v>
      </c>
      <c r="S59">
        <v>0.86033397473955786</v>
      </c>
      <c r="T59">
        <v>9.6797849138801739E-4</v>
      </c>
      <c r="U59">
        <v>5.4692629791410212</v>
      </c>
      <c r="V59">
        <v>8.1408230244060555E-3</v>
      </c>
    </row>
    <row r="60" spans="1:22" x14ac:dyDescent="0.2">
      <c r="A60">
        <v>5800</v>
      </c>
      <c r="B60">
        <v>3.2526316033219963E-3</v>
      </c>
      <c r="C60">
        <v>5749.9995791000001</v>
      </c>
      <c r="D60">
        <v>0.33147471889739721</v>
      </c>
      <c r="E60">
        <v>6.3583808573601477E-2</v>
      </c>
      <c r="F60">
        <v>365.60687253578351</v>
      </c>
      <c r="G60">
        <v>2.4711318180568589</v>
      </c>
      <c r="H60">
        <v>5.3343575721596495E-2</v>
      </c>
      <c r="I60">
        <v>306.72553794686883</v>
      </c>
      <c r="J60">
        <v>1.9570735225119626</v>
      </c>
      <c r="K60">
        <v>6.4161026853473913E-2</v>
      </c>
      <c r="L60">
        <v>368.92587740209882</v>
      </c>
      <c r="M60">
        <v>9.4474872222085953</v>
      </c>
      <c r="N60">
        <v>0.22439282792266901</v>
      </c>
      <c r="O60">
        <v>1290.2586661084056</v>
      </c>
      <c r="P60">
        <v>8.0572348196407777</v>
      </c>
      <c r="Q60">
        <v>4.2079824026970525E-2</v>
      </c>
      <c r="R60">
        <v>241.95897044368257</v>
      </c>
      <c r="S60">
        <v>0.84262422013227711</v>
      </c>
      <c r="T60">
        <v>8.4104009428376725E-4</v>
      </c>
      <c r="U60">
        <v>4.8359801881378859</v>
      </c>
      <c r="V60">
        <v>1.0560048165495979E-2</v>
      </c>
    </row>
    <row r="61" spans="1:22" x14ac:dyDescent="0.2">
      <c r="A61">
        <v>5900</v>
      </c>
      <c r="B61">
        <v>3.1957710128826546E-3</v>
      </c>
      <c r="C61">
        <v>5849.8157031000001</v>
      </c>
      <c r="D61">
        <v>0.32721929465387473</v>
      </c>
      <c r="E61">
        <v>6.2645645983648635E-2</v>
      </c>
      <c r="F61">
        <v>366.46548360599121</v>
      </c>
      <c r="G61">
        <v>2.4636736908095211</v>
      </c>
      <c r="H61">
        <v>5.2998736088553579E-2</v>
      </c>
      <c r="I61">
        <v>310.03283861527342</v>
      </c>
      <c r="J61">
        <v>2.0142306146063764</v>
      </c>
      <c r="K61">
        <v>6.3392543659894995E-2</v>
      </c>
      <c r="L61">
        <v>370.83469736110607</v>
      </c>
      <c r="M61">
        <v>9.384029235744368</v>
      </c>
      <c r="N61">
        <v>0.22121182272505521</v>
      </c>
      <c r="O61">
        <v>1294.0483942884014</v>
      </c>
      <c r="P61">
        <v>8.0823944863966695</v>
      </c>
      <c r="Q61">
        <v>4.1666516215231764E-2</v>
      </c>
      <c r="R61">
        <v>243.74144084933357</v>
      </c>
      <c r="S61">
        <v>0.87068139869269978</v>
      </c>
      <c r="T61">
        <v>9.4841205369282399E-4</v>
      </c>
      <c r="U61">
        <v>5.5480357247016023</v>
      </c>
      <c r="V61">
        <v>7.6469310373560844E-3</v>
      </c>
    </row>
    <row r="62" spans="1:22" x14ac:dyDescent="0.2">
      <c r="A62">
        <v>6000</v>
      </c>
      <c r="B62">
        <v>3.0370244775836772E-3</v>
      </c>
      <c r="C62">
        <v>5949.7955181999996</v>
      </c>
      <c r="D62">
        <v>0.32841842180045511</v>
      </c>
      <c r="E62">
        <v>6.2947913988606552E-2</v>
      </c>
      <c r="F62">
        <v>374.5272165294503</v>
      </c>
      <c r="G62">
        <v>2.536692888520848</v>
      </c>
      <c r="H62">
        <v>5.2047081665169276E-2</v>
      </c>
      <c r="I62">
        <v>309.66949322681353</v>
      </c>
      <c r="J62">
        <v>1.9979750495854123</v>
      </c>
      <c r="K62">
        <v>6.5007349686591942E-2</v>
      </c>
      <c r="L62">
        <v>386.7804378153449</v>
      </c>
      <c r="M62">
        <v>9.7444957281588778</v>
      </c>
      <c r="N62">
        <v>0.22123784170356608</v>
      </c>
      <c r="O62">
        <v>1316.3199190241185</v>
      </c>
      <c r="P62">
        <v>8.1713459626209755</v>
      </c>
      <c r="Q62">
        <v>4.1519288425777186E-2</v>
      </c>
      <c r="R62">
        <v>247.03127619454222</v>
      </c>
      <c r="S62">
        <v>0.87731806556749048</v>
      </c>
      <c r="T62">
        <v>6.5394198451988598E-4</v>
      </c>
      <c r="U62">
        <v>3.8908210886592314</v>
      </c>
      <c r="V62">
        <v>9.3632002034733791E-3</v>
      </c>
    </row>
    <row r="63" spans="1:22" x14ac:dyDescent="0.2">
      <c r="A63">
        <v>6100</v>
      </c>
      <c r="B63">
        <v>3.0218445009505494E-3</v>
      </c>
      <c r="C63">
        <v>6049.5534015000003</v>
      </c>
      <c r="D63">
        <v>0.3301566098156769</v>
      </c>
      <c r="E63">
        <v>6.1796015347210471E-2</v>
      </c>
      <c r="F63">
        <v>373.83829484286332</v>
      </c>
      <c r="G63">
        <v>2.4865592374680059</v>
      </c>
      <c r="H63">
        <v>5.2397590078950319E-2</v>
      </c>
      <c r="I63">
        <v>316.98201929251655</v>
      </c>
      <c r="J63">
        <v>2.0255199097561984</v>
      </c>
      <c r="K63">
        <v>6.3396524714363092E-2</v>
      </c>
      <c r="L63">
        <v>383.52066172905404</v>
      </c>
      <c r="M63">
        <v>9.748518624182088</v>
      </c>
      <c r="N63">
        <v>0.22433009846176363</v>
      </c>
      <c r="O63">
        <v>1357.0969102081922</v>
      </c>
      <c r="P63">
        <v>8.3488678733618009</v>
      </c>
      <c r="Q63">
        <v>4.1427095854888678E-2</v>
      </c>
      <c r="R63">
        <v>250.61542864320836</v>
      </c>
      <c r="S63">
        <v>0.90995836384138884</v>
      </c>
      <c r="T63">
        <v>1.0028907846615096E-3</v>
      </c>
      <c r="U63">
        <v>6.0670413576820392</v>
      </c>
      <c r="V63">
        <v>9.86515356786722E-3</v>
      </c>
    </row>
    <row r="64" spans="1:22" x14ac:dyDescent="0.2">
      <c r="A64">
        <v>6200</v>
      </c>
      <c r="B64">
        <v>2.8808508196801448E-3</v>
      </c>
      <c r="C64">
        <v>6149.9152456000002</v>
      </c>
      <c r="D64">
        <v>0.32556688812139212</v>
      </c>
      <c r="E64">
        <v>6.017293948719591E-2</v>
      </c>
      <c r="F64">
        <v>370.05847792487236</v>
      </c>
      <c r="G64">
        <v>2.483828709287331</v>
      </c>
      <c r="H64">
        <v>5.2704686024797831E-2</v>
      </c>
      <c r="I64">
        <v>324.12935209846546</v>
      </c>
      <c r="J64">
        <v>2.048648061847238</v>
      </c>
      <c r="K64">
        <v>6.190785709975917E-2</v>
      </c>
      <c r="L64">
        <v>380.72807420023514</v>
      </c>
      <c r="M64">
        <v>9.4939086341611105</v>
      </c>
      <c r="N64">
        <v>0.2249082418825368</v>
      </c>
      <c r="O64">
        <v>1383.1666256145056</v>
      </c>
      <c r="P64">
        <v>8.4067796583820495</v>
      </c>
      <c r="Q64">
        <v>3.7820550078115751E-2</v>
      </c>
      <c r="R64">
        <v>232.59317752238235</v>
      </c>
      <c r="S64">
        <v>0.84473690180143046</v>
      </c>
      <c r="T64">
        <v>9.3023906098038786E-4</v>
      </c>
      <c r="U64">
        <v>5.7208913831759158</v>
      </c>
      <c r="V64">
        <v>7.0807060679377795E-3</v>
      </c>
    </row>
    <row r="65" spans="1:22" x14ac:dyDescent="0.2">
      <c r="A65">
        <v>6300</v>
      </c>
      <c r="B65">
        <v>2.807523813909953E-3</v>
      </c>
      <c r="C65">
        <v>6249.5734666999997</v>
      </c>
      <c r="D65">
        <v>0.33063737082160244</v>
      </c>
      <c r="E65">
        <v>5.9313217848180978E-2</v>
      </c>
      <c r="F65">
        <v>370.68231248858871</v>
      </c>
      <c r="G65">
        <v>2.4782635827551447</v>
      </c>
      <c r="H65">
        <v>5.1103392911413983E-2</v>
      </c>
      <c r="I65">
        <v>319.3744083975177</v>
      </c>
      <c r="J65">
        <v>1.991762929535879</v>
      </c>
      <c r="K65">
        <v>6.1619371894421911E-2</v>
      </c>
      <c r="L65">
        <v>385.09479162609887</v>
      </c>
      <c r="M65">
        <v>9.6740729541417423</v>
      </c>
      <c r="N65">
        <v>0.22433542800169134</v>
      </c>
      <c r="O65">
        <v>1402.0007384801584</v>
      </c>
      <c r="P65">
        <v>8.5937457456091479</v>
      </c>
      <c r="Q65">
        <v>4.3869234111953773E-2</v>
      </c>
      <c r="R65">
        <v>274.16400151051681</v>
      </c>
      <c r="S65">
        <v>0.943505350502991</v>
      </c>
      <c r="T65">
        <v>8.1333681353538989E-4</v>
      </c>
      <c r="U65">
        <v>5.083008169361098</v>
      </c>
      <c r="V65">
        <v>6.9024704858687835E-3</v>
      </c>
    </row>
    <row r="66" spans="1:22" x14ac:dyDescent="0.2">
      <c r="A66">
        <v>6400</v>
      </c>
      <c r="B66">
        <v>2.7087253219248517E-3</v>
      </c>
      <c r="C66">
        <v>6349.5611363999997</v>
      </c>
      <c r="D66">
        <v>0.3395335357466876</v>
      </c>
      <c r="E66">
        <v>5.9515039450133367E-2</v>
      </c>
      <c r="F66">
        <v>377.89438152387964</v>
      </c>
      <c r="G66">
        <v>2.5368744530998568</v>
      </c>
      <c r="H66">
        <v>5.1230166770713174E-2</v>
      </c>
      <c r="I66">
        <v>325.28907593861106</v>
      </c>
      <c r="J66">
        <v>2.1254696523268937</v>
      </c>
      <c r="K66">
        <v>6.131528382380956E-2</v>
      </c>
      <c r="L66">
        <v>389.32514323499674</v>
      </c>
      <c r="M66">
        <v>9.5210062221236136</v>
      </c>
      <c r="N66">
        <v>0.23221629442067837</v>
      </c>
      <c r="O66">
        <v>1474.4715582923595</v>
      </c>
      <c r="P66">
        <v>9.0613832349117072</v>
      </c>
      <c r="Q66">
        <v>4.5110192044567822E-2</v>
      </c>
      <c r="R66">
        <v>286.42992226172828</v>
      </c>
      <c r="S66">
        <v>1.0053828701816547</v>
      </c>
      <c r="T66">
        <v>8.9176545763182456E-4</v>
      </c>
      <c r="U66">
        <v>5.6623192925629935</v>
      </c>
      <c r="V66">
        <v>1.1322266133425182E-2</v>
      </c>
    </row>
    <row r="67" spans="1:22" x14ac:dyDescent="0.2">
      <c r="A67">
        <v>6500</v>
      </c>
      <c r="B67">
        <v>2.7347113836188497E-3</v>
      </c>
      <c r="C67">
        <v>6449.8851083</v>
      </c>
      <c r="D67">
        <v>0.33101431825943178</v>
      </c>
      <c r="E67">
        <v>5.7864297912117203E-2</v>
      </c>
      <c r="F67">
        <v>373.21807340559951</v>
      </c>
      <c r="G67">
        <v>2.506597829944611</v>
      </c>
      <c r="H67">
        <v>5.2695067450217924E-2</v>
      </c>
      <c r="I67">
        <v>339.87713082802463</v>
      </c>
      <c r="J67">
        <v>2.0995626683312403</v>
      </c>
      <c r="K67">
        <v>6.272758814861433E-2</v>
      </c>
      <c r="L67">
        <v>404.58573667932313</v>
      </c>
      <c r="M67">
        <v>9.7595235341545639</v>
      </c>
      <c r="N67">
        <v>0.22488869180536947</v>
      </c>
      <c r="O67">
        <v>1450.5062243005207</v>
      </c>
      <c r="P67">
        <v>8.7711691898813822</v>
      </c>
      <c r="Q67">
        <v>4.2370967022332368E-2</v>
      </c>
      <c r="R67">
        <v>273.28786922161191</v>
      </c>
      <c r="S67">
        <v>0.9506342649841516</v>
      </c>
      <c r="T67">
        <v>1.0270712831156011E-3</v>
      </c>
      <c r="U67">
        <v>6.624491774129889</v>
      </c>
      <c r="V67">
        <v>6.8505831205757329E-3</v>
      </c>
    </row>
    <row r="68" spans="1:22" x14ac:dyDescent="0.2">
      <c r="A68">
        <v>7500</v>
      </c>
      <c r="B68">
        <v>2.3824844681823831E-2</v>
      </c>
      <c r="C68">
        <v>6982.1209214</v>
      </c>
      <c r="D68">
        <v>0.32362482430921741</v>
      </c>
      <c r="E68">
        <v>5.4747182541538549E-2</v>
      </c>
      <c r="F68">
        <v>382.25144861098113</v>
      </c>
      <c r="G68">
        <v>2.5620886314188867</v>
      </c>
      <c r="H68">
        <v>4.9864317963481571E-2</v>
      </c>
      <c r="I68">
        <v>348.1586976841665</v>
      </c>
      <c r="J68">
        <v>2.1797529759309677</v>
      </c>
      <c r="K68">
        <v>5.7179813843201581E-2</v>
      </c>
      <c r="L68">
        <v>399.23637451637512</v>
      </c>
      <c r="M68">
        <v>9.8774224000136908</v>
      </c>
      <c r="N68">
        <v>0.22427248352000731</v>
      </c>
      <c r="O68">
        <v>1565.8975992793798</v>
      </c>
      <c r="P68">
        <v>9.432309058396644</v>
      </c>
      <c r="Q68">
        <v>4.0932774216723936E-2</v>
      </c>
      <c r="R68">
        <v>285.7975792295307</v>
      </c>
      <c r="S68">
        <v>0.97335832095167396</v>
      </c>
      <c r="T68">
        <v>1.239752729284539E-3</v>
      </c>
      <c r="U68">
        <v>8.65610346850033</v>
      </c>
      <c r="V68">
        <v>1.1681759751054002E-2</v>
      </c>
    </row>
    <row r="69" spans="1:22" x14ac:dyDescent="0.2">
      <c r="A69">
        <v>10000</v>
      </c>
      <c r="B69">
        <v>4.2034899023567301E-2</v>
      </c>
      <c r="C69">
        <v>8654.5769748000002</v>
      </c>
      <c r="D69">
        <v>0.30754159791302688</v>
      </c>
      <c r="E69">
        <v>4.6476041341003908E-2</v>
      </c>
      <c r="F69">
        <v>402.23047726970537</v>
      </c>
      <c r="G69">
        <v>2.7038454344732803</v>
      </c>
      <c r="H69">
        <v>4.5321009987809427E-2</v>
      </c>
      <c r="I69">
        <v>392.23416951517629</v>
      </c>
      <c r="J69">
        <v>2.4461473575417663</v>
      </c>
      <c r="K69">
        <v>4.8521503967092074E-2</v>
      </c>
      <c r="L69">
        <v>419.93309101626193</v>
      </c>
      <c r="M69">
        <v>10.391115385142189</v>
      </c>
      <c r="N69">
        <v>0.21729562617859602</v>
      </c>
      <c r="O69">
        <v>1880.6017230500252</v>
      </c>
      <c r="P69">
        <v>10.848755066304008</v>
      </c>
      <c r="Q69">
        <v>3.9694538675672207E-2</v>
      </c>
      <c r="R69">
        <v>343.53944044778075</v>
      </c>
      <c r="S69">
        <v>1.1043833465831119</v>
      </c>
      <c r="T69">
        <v>2.0299290916666029E-3</v>
      </c>
      <c r="U69">
        <v>17.56817757721446</v>
      </c>
      <c r="V69">
        <v>1.7551895004764444E-2</v>
      </c>
    </row>
    <row r="70" spans="1:22" x14ac:dyDescent="0.2">
      <c r="A70">
        <v>15000</v>
      </c>
      <c r="B70">
        <v>4.7443859172012035E-2</v>
      </c>
      <c r="C70">
        <v>12213.66762</v>
      </c>
      <c r="D70">
        <v>0.26263495594722575</v>
      </c>
      <c r="E70">
        <v>3.396753117809042E-2</v>
      </c>
      <c r="F70">
        <v>414.86813568118339</v>
      </c>
      <c r="G70">
        <v>2.7750126497431076</v>
      </c>
      <c r="H70">
        <v>3.7003430860689988E-2</v>
      </c>
      <c r="I70">
        <v>451.94760533211803</v>
      </c>
      <c r="J70">
        <v>2.7732051648476608</v>
      </c>
      <c r="K70">
        <v>3.6438326528579632E-2</v>
      </c>
      <c r="L70">
        <v>445.04560884910006</v>
      </c>
      <c r="M70">
        <v>11.09697121196978</v>
      </c>
      <c r="N70">
        <v>0.18810383852460921</v>
      </c>
      <c r="O70">
        <v>2297.4377617857281</v>
      </c>
      <c r="P70">
        <v>12.360097585951621</v>
      </c>
      <c r="Q70">
        <v>3.3540083638021766E-2</v>
      </c>
      <c r="R70">
        <v>409.64743350179828</v>
      </c>
      <c r="S70">
        <v>1.2426909285257171</v>
      </c>
      <c r="T70">
        <v>4.5527072560151462E-3</v>
      </c>
      <c r="U70">
        <v>55.605253196131244</v>
      </c>
      <c r="V70">
        <v>3.7420634693129604E-2</v>
      </c>
    </row>
    <row r="71" spans="1:22" x14ac:dyDescent="0.2">
      <c r="A71">
        <v>20000</v>
      </c>
      <c r="B71">
        <v>2.5286239042436782E-2</v>
      </c>
      <c r="C71">
        <v>17271.077359999999</v>
      </c>
      <c r="D71">
        <v>0.21414625797265913</v>
      </c>
      <c r="E71">
        <v>2.4742470623760775E-2</v>
      </c>
      <c r="F71">
        <v>427.32912422049975</v>
      </c>
      <c r="G71">
        <v>2.8481509609674784</v>
      </c>
      <c r="H71">
        <v>2.9642278695071987E-2</v>
      </c>
      <c r="I71">
        <v>511.95408846926813</v>
      </c>
      <c r="J71">
        <v>3.0589463529020842</v>
      </c>
      <c r="K71">
        <v>2.7719721360357677E-2</v>
      </c>
      <c r="L71">
        <v>478.74945201238188</v>
      </c>
      <c r="M71">
        <v>12.050594398685787</v>
      </c>
      <c r="N71">
        <v>0.14950868217613944</v>
      </c>
      <c r="O71">
        <v>2582.1760158557572</v>
      </c>
      <c r="P71">
        <v>12.978460305978404</v>
      </c>
      <c r="Q71">
        <v>2.6616753389439932E-2</v>
      </c>
      <c r="R71">
        <v>459.70000686105925</v>
      </c>
      <c r="S71">
        <v>1.3375436799312028</v>
      </c>
      <c r="T71">
        <v>1.030110104672209E-2</v>
      </c>
      <c r="U71">
        <v>177.91111307111419</v>
      </c>
      <c r="V71">
        <v>9.6238685860927986E-2</v>
      </c>
    </row>
    <row r="72" spans="1:22" x14ac:dyDescent="0.2">
      <c r="A72">
        <v>25000</v>
      </c>
      <c r="B72">
        <v>1.4671833347527041E-2</v>
      </c>
      <c r="C72">
        <v>22286.980856999999</v>
      </c>
      <c r="D72">
        <v>0.19651580527579088</v>
      </c>
      <c r="E72">
        <v>2.0227692580218413E-2</v>
      </c>
      <c r="F72">
        <v>450.81419731660873</v>
      </c>
      <c r="G72">
        <v>2.9776570639489663</v>
      </c>
      <c r="H72">
        <v>2.6519867343357161E-2</v>
      </c>
      <c r="I72">
        <v>591.04777581158044</v>
      </c>
      <c r="J72">
        <v>3.3877672278361968</v>
      </c>
      <c r="K72">
        <v>2.3906194504307567E-2</v>
      </c>
      <c r="L72">
        <v>532.79689928122127</v>
      </c>
      <c r="M72">
        <v>13.325379852230993</v>
      </c>
      <c r="N72">
        <v>0.13074988882004021</v>
      </c>
      <c r="O72">
        <v>2914.0202691871145</v>
      </c>
      <c r="P72">
        <v>13.692294255599954</v>
      </c>
      <c r="Q72">
        <v>2.3501581424850999E-2</v>
      </c>
      <c r="R72">
        <v>523.77929532488099</v>
      </c>
      <c r="S72">
        <v>1.4238046764955252</v>
      </c>
      <c r="T72">
        <v>1.8358140526592088E-2</v>
      </c>
      <c r="U72">
        <v>409.1475264862737</v>
      </c>
      <c r="V72">
        <v>0.18791177539468121</v>
      </c>
    </row>
    <row r="73" spans="1:22" x14ac:dyDescent="0.2">
      <c r="A73">
        <v>30000</v>
      </c>
      <c r="B73">
        <v>9.2446057695746448E-3</v>
      </c>
      <c r="C73">
        <v>27326.440060000001</v>
      </c>
      <c r="D73">
        <v>0.20179261864426018</v>
      </c>
      <c r="E73">
        <v>1.7200073905793173E-2</v>
      </c>
      <c r="F73">
        <v>470.01678861422721</v>
      </c>
      <c r="G73">
        <v>3.0607227955110141</v>
      </c>
      <c r="H73">
        <v>2.4457009993163536E-2</v>
      </c>
      <c r="I73">
        <v>668.32301762500435</v>
      </c>
      <c r="J73">
        <v>3.7068680728055559</v>
      </c>
      <c r="K73">
        <v>2.1194018024159114E-2</v>
      </c>
      <c r="L73">
        <v>579.15706316774367</v>
      </c>
      <c r="M73">
        <v>14.407726236260974</v>
      </c>
      <c r="N73">
        <v>0.12499991596408552</v>
      </c>
      <c r="O73">
        <v>3415.8027110976204</v>
      </c>
      <c r="P73">
        <v>14.495413405929279</v>
      </c>
      <c r="Q73">
        <v>2.2338546408743328E-2</v>
      </c>
      <c r="R73">
        <v>610.43294946605283</v>
      </c>
      <c r="S73">
        <v>1.4809676131705001</v>
      </c>
      <c r="T73">
        <v>3.3260138247272211E-2</v>
      </c>
      <c r="U73">
        <v>908.88117420139758</v>
      </c>
      <c r="V73">
        <v>0.38207693437800511</v>
      </c>
    </row>
    <row r="74" spans="1:22" x14ac:dyDescent="0.2">
      <c r="A74">
        <v>35000</v>
      </c>
      <c r="B74">
        <v>6.3274773786187195E-3</v>
      </c>
      <c r="C74">
        <v>32359.214279</v>
      </c>
      <c r="D74">
        <v>0.21347552619888535</v>
      </c>
      <c r="E74">
        <v>1.5243879585166912E-2</v>
      </c>
      <c r="F74">
        <v>493.2799659396897</v>
      </c>
      <c r="G74">
        <v>3.1899294673843848</v>
      </c>
      <c r="H74">
        <v>2.2953398854376861E-2</v>
      </c>
      <c r="I74">
        <v>742.75395196013392</v>
      </c>
      <c r="J74">
        <v>3.8933093847800224</v>
      </c>
      <c r="K74">
        <v>1.9114530617947129E-2</v>
      </c>
      <c r="L74">
        <v>618.53119210865736</v>
      </c>
      <c r="M74">
        <v>15.187808303577278</v>
      </c>
      <c r="N74">
        <v>0.11860338568364494</v>
      </c>
      <c r="O74">
        <v>3837.9123715519472</v>
      </c>
      <c r="P74">
        <v>14.945516864540695</v>
      </c>
      <c r="Q74">
        <v>2.0470090411235681E-2</v>
      </c>
      <c r="R74">
        <v>662.39604192767865</v>
      </c>
      <c r="S74">
        <v>1.4919276752922086</v>
      </c>
      <c r="T74">
        <v>5.5287519486057583E-2</v>
      </c>
      <c r="U74">
        <v>1789.0606900037253</v>
      </c>
      <c r="V74">
        <v>0.69366957283037822</v>
      </c>
    </row>
    <row r="75" spans="1:22" x14ac:dyDescent="0.2">
      <c r="A75">
        <v>40000</v>
      </c>
      <c r="B75">
        <v>4.4760348048562548E-3</v>
      </c>
      <c r="C75">
        <v>37367.143090999998</v>
      </c>
      <c r="D75">
        <v>0.20276649511289949</v>
      </c>
      <c r="E75">
        <v>1.3958681387412814E-2</v>
      </c>
      <c r="F75">
        <v>521.596044765133</v>
      </c>
      <c r="G75">
        <v>3.2416877330966014</v>
      </c>
      <c r="H75">
        <v>2.1516779918097955E-2</v>
      </c>
      <c r="I75">
        <v>804.02059405712157</v>
      </c>
      <c r="J75">
        <v>4.0619873467111924</v>
      </c>
      <c r="K75">
        <v>1.7480583090928269E-2</v>
      </c>
      <c r="L75">
        <v>653.19944967283163</v>
      </c>
      <c r="M75">
        <v>16.09826831644294</v>
      </c>
      <c r="N75">
        <v>0.10758158615604171</v>
      </c>
      <c r="O75">
        <v>4020.0165238495551</v>
      </c>
      <c r="P75">
        <v>15.504247748343571</v>
      </c>
      <c r="Q75">
        <v>1.9854724714406927E-2</v>
      </c>
      <c r="R75">
        <v>741.91433943565767</v>
      </c>
      <c r="S75">
        <v>1.5249752240453309</v>
      </c>
      <c r="T75">
        <v>5.784960115152258E-2</v>
      </c>
      <c r="U75">
        <v>2161.6743239862226</v>
      </c>
      <c r="V75">
        <v>0.7925186138290512</v>
      </c>
    </row>
    <row r="76" spans="1:22" x14ac:dyDescent="0.2">
      <c r="A76">
        <v>45000</v>
      </c>
      <c r="B76">
        <v>3.2871081604209638E-3</v>
      </c>
      <c r="C76">
        <v>42376.995106000002</v>
      </c>
      <c r="D76">
        <v>0.18792924998060884</v>
      </c>
      <c r="E76">
        <v>1.3065016134695002E-2</v>
      </c>
      <c r="F76">
        <v>553.6561247997812</v>
      </c>
      <c r="G76">
        <v>3.349885212045741</v>
      </c>
      <c r="H76">
        <v>2.0965895401705691E-2</v>
      </c>
      <c r="I76">
        <v>888.47164683099004</v>
      </c>
      <c r="J76">
        <v>4.2423569798506646</v>
      </c>
      <c r="K76">
        <v>1.5922083744292114E-2</v>
      </c>
      <c r="L76">
        <v>674.73006490918908</v>
      </c>
      <c r="M76">
        <v>16.451395077027879</v>
      </c>
      <c r="N76">
        <v>9.7299432927190732E-2</v>
      </c>
      <c r="O76">
        <v>4123.257592972137</v>
      </c>
      <c r="P76">
        <v>16.019973373018541</v>
      </c>
      <c r="Q76">
        <v>1.7986938735447669E-2</v>
      </c>
      <c r="R76">
        <v>762.23241476398766</v>
      </c>
      <c r="S76">
        <v>1.5619425404743497</v>
      </c>
      <c r="T76">
        <v>5.6720794573678304E-2</v>
      </c>
      <c r="U76">
        <v>2403.6568340571971</v>
      </c>
      <c r="V76">
        <v>0.82528582104288595</v>
      </c>
    </row>
    <row r="77" spans="1:22" x14ac:dyDescent="0.2">
      <c r="A77">
        <v>50000</v>
      </c>
      <c r="B77">
        <v>2.6027227732325041E-3</v>
      </c>
      <c r="C77">
        <v>47409.342155999999</v>
      </c>
      <c r="D77">
        <v>0.18440341508686522</v>
      </c>
      <c r="E77">
        <v>1.122460150263583E-2</v>
      </c>
      <c r="F77">
        <v>532.15097320321377</v>
      </c>
      <c r="G77">
        <v>3.2316348310475287</v>
      </c>
      <c r="H77">
        <v>2.0272653185214182E-2</v>
      </c>
      <c r="I77">
        <v>961.11315126774241</v>
      </c>
      <c r="J77">
        <v>4.4104058472678558</v>
      </c>
      <c r="K77">
        <v>1.5550019795766335E-2</v>
      </c>
      <c r="L77">
        <v>737.21620903005942</v>
      </c>
      <c r="M77">
        <v>17.168883549286285</v>
      </c>
      <c r="N77">
        <v>9.0305397029238607E-2</v>
      </c>
      <c r="O77">
        <v>4281.3194662925989</v>
      </c>
      <c r="P77">
        <v>16.178114512498528</v>
      </c>
      <c r="Q77">
        <v>1.5215045092227165E-2</v>
      </c>
      <c r="R77">
        <v>721.33527869636623</v>
      </c>
      <c r="S77">
        <v>1.5317029405951497</v>
      </c>
      <c r="T77">
        <v>6.3332953169633124E-2</v>
      </c>
      <c r="U77">
        <v>3002.5736465690611</v>
      </c>
      <c r="V77">
        <v>0.92364362622407992</v>
      </c>
    </row>
    <row r="78" spans="1:22" x14ac:dyDescent="0.2">
      <c r="A78">
        <v>100000</v>
      </c>
      <c r="B78">
        <v>1.0226415783676585E-2</v>
      </c>
      <c r="C78">
        <v>67790.064784000002</v>
      </c>
      <c r="D78">
        <v>0.15423071230073254</v>
      </c>
      <c r="E78">
        <v>8.595151851108521E-3</v>
      </c>
      <c r="F78">
        <v>582.66590081496417</v>
      </c>
      <c r="G78">
        <v>3.3909681592042005</v>
      </c>
      <c r="H78">
        <v>1.9740100273577164E-2</v>
      </c>
      <c r="I78">
        <v>1338.1826763884521</v>
      </c>
      <c r="J78">
        <v>4.9792412604567513</v>
      </c>
      <c r="K78">
        <v>1.2069768315317331E-2</v>
      </c>
      <c r="L78">
        <v>818.21037602323247</v>
      </c>
      <c r="M78">
        <v>18.317624815645054</v>
      </c>
      <c r="N78">
        <v>6.4087140613800289E-2</v>
      </c>
      <c r="O78">
        <v>4344.4714140308388</v>
      </c>
      <c r="P78">
        <v>16.530992649841917</v>
      </c>
      <c r="Q78">
        <v>1.2844241334513441E-2</v>
      </c>
      <c r="R78">
        <v>870.71195216799674</v>
      </c>
      <c r="S78">
        <v>1.592040853818399</v>
      </c>
      <c r="T78">
        <v>6.5229562037101507E-2</v>
      </c>
      <c r="U78">
        <v>4421.916236327058</v>
      </c>
      <c r="V78">
        <v>1.1170820907925354</v>
      </c>
    </row>
    <row r="79" spans="1:22" x14ac:dyDescent="0.2">
      <c r="A79">
        <v>200000</v>
      </c>
      <c r="B79">
        <v>3.4219269359422998E-3</v>
      </c>
      <c r="C79">
        <v>135528.84332000001</v>
      </c>
      <c r="D79">
        <v>8.1190295408644961E-2</v>
      </c>
      <c r="E79">
        <v>6.05371677228518E-3</v>
      </c>
      <c r="F79">
        <v>820.45323193469437</v>
      </c>
      <c r="G79">
        <v>3.6328774734069698</v>
      </c>
      <c r="H79">
        <v>2.3485546878547342E-2</v>
      </c>
      <c r="I79">
        <v>3182.9690031871583</v>
      </c>
      <c r="J79">
        <v>6.646292939262703</v>
      </c>
      <c r="K79">
        <v>7.8716020867972084E-3</v>
      </c>
      <c r="L79">
        <v>1066.8291258989241</v>
      </c>
      <c r="M79">
        <v>21.527590521362828</v>
      </c>
      <c r="N79">
        <v>3.4285798428803076E-2</v>
      </c>
      <c r="O79">
        <v>4646.7146033583549</v>
      </c>
      <c r="P79">
        <v>16.944964763890475</v>
      </c>
      <c r="Q79">
        <v>6.4568237864501875E-3</v>
      </c>
      <c r="R79">
        <v>875.08585929865671</v>
      </c>
      <c r="S79">
        <v>1.4695268743980985</v>
      </c>
      <c r="T79">
        <v>3.2576071106594488E-2</v>
      </c>
      <c r="U79">
        <v>4414.9972369868237</v>
      </c>
      <c r="V79">
        <v>0.85851858942189363</v>
      </c>
    </row>
    <row r="80" spans="1:22" x14ac:dyDescent="0.2">
      <c r="A80">
        <v>300000</v>
      </c>
      <c r="B80">
        <v>7.8961607266217428E-4</v>
      </c>
      <c r="C80">
        <v>239942.79032</v>
      </c>
      <c r="D80">
        <v>5.8876438742977773E-2</v>
      </c>
      <c r="E80">
        <v>5.0553218336360879E-3</v>
      </c>
      <c r="F80">
        <v>1212.9880267282617</v>
      </c>
      <c r="G80">
        <v>3.778130363306087</v>
      </c>
      <c r="H80">
        <v>2.543695044982552E-2</v>
      </c>
      <c r="I80">
        <v>6103.4128681627144</v>
      </c>
      <c r="J80">
        <v>8.2722077157391478</v>
      </c>
      <c r="K80">
        <v>5.7625239891655206E-3</v>
      </c>
      <c r="L80">
        <v>1382.6760852463124</v>
      </c>
      <c r="M80">
        <v>23.962755644893647</v>
      </c>
      <c r="N80">
        <v>2.2186949103747949E-2</v>
      </c>
      <c r="O80">
        <v>5323.5984766411057</v>
      </c>
      <c r="P80">
        <v>17.578192104037115</v>
      </c>
      <c r="Q80">
        <v>5.4249855829139127E-3</v>
      </c>
      <c r="R80">
        <v>1301.6861782101359</v>
      </c>
      <c r="S80">
        <v>1.7752129254319016</v>
      </c>
      <c r="T80">
        <v>2.5501980067150386E-2</v>
      </c>
      <c r="U80">
        <v>6119.016255997085</v>
      </c>
      <c r="V80">
        <v>1.1289402472103969</v>
      </c>
    </row>
    <row r="81" spans="1:22" x14ac:dyDescent="0.2">
      <c r="A81">
        <v>400000</v>
      </c>
      <c r="B81">
        <v>2.6269078207496902E-4</v>
      </c>
      <c r="C81">
        <v>342869.84759000002</v>
      </c>
      <c r="D81">
        <v>4.2561390372920088E-2</v>
      </c>
      <c r="E81">
        <v>3.2038630668536502E-3</v>
      </c>
      <c r="F81">
        <v>1098.5080414313411</v>
      </c>
      <c r="G81">
        <v>3.5566910968848982</v>
      </c>
      <c r="H81">
        <v>1.4101984235416675E-2</v>
      </c>
      <c r="I81">
        <v>4835.1451855138985</v>
      </c>
      <c r="J81">
        <v>8.2890891532389031</v>
      </c>
      <c r="K81">
        <v>3.5915833168368235E-3</v>
      </c>
      <c r="L81">
        <v>1231.4456244506284</v>
      </c>
      <c r="M81">
        <v>22.418772515343697</v>
      </c>
      <c r="N81">
        <v>1.838862581189293E-2</v>
      </c>
      <c r="O81">
        <v>6304.9053295132699</v>
      </c>
      <c r="P81">
        <v>17.967231465195262</v>
      </c>
      <c r="Q81">
        <v>2.8465917583218926E-3</v>
      </c>
      <c r="R81">
        <v>976.01048232677749</v>
      </c>
      <c r="S81">
        <v>1.4855788704395534</v>
      </c>
      <c r="T81">
        <v>1.7734589485868445E-2</v>
      </c>
      <c r="U81">
        <v>6080.655994090931</v>
      </c>
      <c r="V81">
        <v>1.0696670473282155</v>
      </c>
    </row>
    <row r="82" spans="1:22" x14ac:dyDescent="0.2">
      <c r="A82">
        <v>500000</v>
      </c>
      <c r="B82">
        <v>1.2298353950228715E-4</v>
      </c>
      <c r="C82">
        <v>443571.48762999999</v>
      </c>
      <c r="D82">
        <v>5.2150854702691062E-2</v>
      </c>
      <c r="E82">
        <v>2.2190412506291161E-3</v>
      </c>
      <c r="F82">
        <v>984.30342865389264</v>
      </c>
      <c r="G82">
        <v>3.650669038395113</v>
      </c>
      <c r="H82">
        <v>7.6243215877233126E-3</v>
      </c>
      <c r="I82">
        <v>3381.9316688359531</v>
      </c>
      <c r="J82">
        <v>9.0289741767157317</v>
      </c>
      <c r="K82">
        <v>3.9360715168393259E-3</v>
      </c>
      <c r="L82">
        <v>1745.9290981424901</v>
      </c>
      <c r="M82">
        <v>25.31024728363154</v>
      </c>
      <c r="N82">
        <v>1.8913207051221126E-2</v>
      </c>
      <c r="O82">
        <v>8389.3593875643601</v>
      </c>
      <c r="P82">
        <v>18.827751060000868</v>
      </c>
      <c r="Q82">
        <v>7.2451032942359127E-3</v>
      </c>
      <c r="R82">
        <v>3213.7212462572375</v>
      </c>
      <c r="S82">
        <v>1.5742270134771281</v>
      </c>
      <c r="T82">
        <v>2.2056472840394702E-2</v>
      </c>
      <c r="U82">
        <v>9783.6224696845693</v>
      </c>
      <c r="V82">
        <v>1.7660555285480795</v>
      </c>
    </row>
    <row r="83" spans="1:22" x14ac:dyDescent="0.2">
      <c r="A83">
        <v>1000000</v>
      </c>
      <c r="B83">
        <v>1.5385806824763122E-4</v>
      </c>
      <c r="C83">
        <v>648500.43969000003</v>
      </c>
      <c r="D83">
        <v>3.4848884955968856E-2</v>
      </c>
      <c r="E83">
        <v>1.6800981923757482E-3</v>
      </c>
      <c r="F83">
        <v>1089.544416478047</v>
      </c>
      <c r="G83">
        <v>3.3408521871755279</v>
      </c>
      <c r="H83">
        <v>4.9360101662883245E-3</v>
      </c>
      <c r="I83">
        <v>3201.0047631522884</v>
      </c>
      <c r="J83">
        <v>7.8703718643688463</v>
      </c>
      <c r="K83">
        <v>2.5023844608020934E-3</v>
      </c>
      <c r="L83">
        <v>1622.7974231035812</v>
      </c>
      <c r="M83">
        <v>23.403842506139075</v>
      </c>
      <c r="N83">
        <v>1.1809897177567986E-2</v>
      </c>
      <c r="O83">
        <v>7658.7235123465289</v>
      </c>
      <c r="P83">
        <v>17.682280734265504</v>
      </c>
      <c r="Q83">
        <v>1.8130315797704466E-3</v>
      </c>
      <c r="R83">
        <v>1175.75177665299</v>
      </c>
      <c r="S83">
        <v>1.434668278615193</v>
      </c>
      <c r="T83">
        <v>1.8723571737828335E-2</v>
      </c>
      <c r="U83">
        <v>12142.244504548933</v>
      </c>
      <c r="V83">
        <v>1.3617966926665326</v>
      </c>
    </row>
    <row r="84" spans="1:22" x14ac:dyDescent="0.2">
      <c r="A84">
        <v>2000000</v>
      </c>
      <c r="B84">
        <v>2.7015212652176048E-5</v>
      </c>
      <c r="C84">
        <v>1343127.7834000001</v>
      </c>
      <c r="D84">
        <v>1.2265971378725345E-2</v>
      </c>
      <c r="E84">
        <v>2.893513116216023E-4</v>
      </c>
      <c r="F84">
        <v>388.63578580220542</v>
      </c>
      <c r="G84">
        <v>1.9808781378325961</v>
      </c>
      <c r="H84">
        <v>1.6673466600157145E-3</v>
      </c>
      <c r="I84">
        <v>2239.4596236263001</v>
      </c>
      <c r="J84">
        <v>8.3668714187684508</v>
      </c>
      <c r="K84">
        <v>9.0188960823894165E-4</v>
      </c>
      <c r="L84">
        <v>1211.3529903854642</v>
      </c>
      <c r="M84">
        <v>19.480346598334254</v>
      </c>
      <c r="N84">
        <v>5.357429965034838E-3</v>
      </c>
      <c r="O84">
        <v>7195.7130336579821</v>
      </c>
      <c r="P84">
        <v>14.876244315717901</v>
      </c>
      <c r="Q84">
        <v>1.1864767189981758E-3</v>
      </c>
      <c r="R84">
        <v>1593.5898456437246</v>
      </c>
      <c r="S84">
        <v>2.1267696872907913</v>
      </c>
      <c r="T84">
        <v>4.8201750864533908E-3</v>
      </c>
      <c r="U84">
        <v>6474.1110794680462</v>
      </c>
      <c r="V84">
        <v>1.1614769896334369</v>
      </c>
    </row>
    <row r="85" spans="1:22" x14ac:dyDescent="0.2">
      <c r="B85" s="105">
        <v>3.0874528745344101E-6</v>
      </c>
      <c r="C85">
        <v>2694283.6702999999</v>
      </c>
      <c r="D85">
        <v>4.9202855087564397E-2</v>
      </c>
      <c r="E85">
        <v>2.1653026138773612E-4</v>
      </c>
      <c r="F85">
        <v>583.39394738276803</v>
      </c>
      <c r="G85">
        <v>3.1290833124270043</v>
      </c>
      <c r="H85">
        <v>6.0350105345403102E-4</v>
      </c>
      <c r="I85">
        <v>1626.0030333300431</v>
      </c>
      <c r="J85">
        <v>8.3107082160034533</v>
      </c>
      <c r="K85">
        <v>1.8413104981770628E-4</v>
      </c>
      <c r="L85">
        <v>496.10128071904182</v>
      </c>
      <c r="M85">
        <v>13.199208531839153</v>
      </c>
      <c r="N85">
        <v>2.2563374359109429E-3</v>
      </c>
      <c r="O85">
        <v>6079.213108261426</v>
      </c>
      <c r="P85">
        <v>25.438249269500375</v>
      </c>
      <c r="Q85">
        <v>5.1118462668348472E-5</v>
      </c>
      <c r="R85">
        <v>137.72763921817099</v>
      </c>
      <c r="S85">
        <v>1.1873439125871907</v>
      </c>
      <c r="T85">
        <v>4.67112681391674E-2</v>
      </c>
      <c r="U85">
        <v>125853.40696636339</v>
      </c>
      <c r="V85">
        <v>2.5914550187832597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35" bestFit="1" customWidth="1"/>
    <col min="2" max="3" width="9.1640625" customWidth="1"/>
  </cols>
  <sheetData>
    <row r="1" spans="1:9" x14ac:dyDescent="0.2">
      <c r="A1" t="s">
        <v>150</v>
      </c>
      <c r="B1">
        <f>SUMPRODUCT(C4:C86,H4:H86)</f>
        <v>147.66397825753373</v>
      </c>
    </row>
    <row r="2" spans="1:9" s="63" customFormat="1" ht="45" customHeight="1" x14ac:dyDescent="0.2">
      <c r="A2" s="59" t="s">
        <v>10</v>
      </c>
      <c r="B2" s="60" t="s">
        <v>0</v>
      </c>
      <c r="C2" s="60" t="s">
        <v>151</v>
      </c>
      <c r="D2" s="61" t="s">
        <v>12</v>
      </c>
      <c r="E2" s="60" t="s">
        <v>22</v>
      </c>
      <c r="F2" s="62" t="s">
        <v>138</v>
      </c>
      <c r="G2" s="60" t="s">
        <v>139</v>
      </c>
      <c r="H2" s="60" t="s">
        <v>152</v>
      </c>
      <c r="I2" s="60" t="s">
        <v>140</v>
      </c>
    </row>
    <row r="3" spans="1:9" x14ac:dyDescent="0.2">
      <c r="A3">
        <v>0</v>
      </c>
      <c r="B3">
        <v>0.12345437606565365</v>
      </c>
      <c r="D3">
        <v>0</v>
      </c>
      <c r="E3">
        <v>0</v>
      </c>
      <c r="F3">
        <v>0</v>
      </c>
      <c r="G3">
        <v>0</v>
      </c>
      <c r="I3">
        <v>0</v>
      </c>
    </row>
    <row r="4" spans="1:9" x14ac:dyDescent="0.2">
      <c r="A4">
        <v>100</v>
      </c>
      <c r="B4">
        <v>2.4886413895184575E-2</v>
      </c>
      <c r="C4">
        <f>B4/(SUM(B$4:B$86))</f>
        <v>2.8391464420850939E-2</v>
      </c>
      <c r="D4">
        <v>46.92172901</v>
      </c>
      <c r="E4">
        <v>0.4408898700819564</v>
      </c>
      <c r="F4">
        <v>0.1109402061337888</v>
      </c>
      <c r="G4">
        <v>5.2055062885231775</v>
      </c>
      <c r="H4">
        <f>G4/I4</f>
        <v>75.957084240226266</v>
      </c>
      <c r="I4">
        <v>6.8532202632475239E-2</v>
      </c>
    </row>
    <row r="5" spans="1:9" x14ac:dyDescent="0.2">
      <c r="A5">
        <v>200</v>
      </c>
      <c r="B5">
        <v>3.8005001159081266E-2</v>
      </c>
      <c r="C5">
        <f t="shared" ref="C5:C68" si="0">B5/(SUM(B$4:B$86))</f>
        <v>4.3357698813778878E-2</v>
      </c>
      <c r="D5">
        <v>151.36886636</v>
      </c>
      <c r="E5">
        <v>0.17379945445718223</v>
      </c>
      <c r="F5">
        <v>0.3207642268020281</v>
      </c>
      <c r="G5">
        <v>48.553717379864921</v>
      </c>
      <c r="H5">
        <f t="shared" ref="H5:H68" si="1">G5/I5</f>
        <v>120.64957780141265</v>
      </c>
      <c r="I5">
        <v>0.40243586645436585</v>
      </c>
    </row>
    <row r="6" spans="1:9" x14ac:dyDescent="0.2">
      <c r="A6">
        <v>300</v>
      </c>
      <c r="B6">
        <v>3.6609987035270804E-2</v>
      </c>
      <c r="C6">
        <f t="shared" si="0"/>
        <v>4.1766208210529975E-2</v>
      </c>
      <c r="D6">
        <v>248.86385594999999</v>
      </c>
      <c r="E6">
        <v>0.16830380982125592</v>
      </c>
      <c r="F6">
        <v>0.30054709241784661</v>
      </c>
      <c r="G6">
        <v>74.795308313666311</v>
      </c>
      <c r="H6">
        <f t="shared" si="1"/>
        <v>140.31060582021692</v>
      </c>
      <c r="I6">
        <v>0.53306952725657242</v>
      </c>
    </row>
    <row r="7" spans="1:9" x14ac:dyDescent="0.2">
      <c r="A7">
        <v>400</v>
      </c>
      <c r="B7">
        <v>3.3082314838375704E-2</v>
      </c>
      <c r="C7">
        <f t="shared" si="0"/>
        <v>3.7741691858418989E-2</v>
      </c>
      <c r="D7">
        <v>349.52035983000002</v>
      </c>
      <c r="E7">
        <v>0.17869533668715115</v>
      </c>
      <c r="F7">
        <v>0.28967216614325114</v>
      </c>
      <c r="G7">
        <v>101.24631974312469</v>
      </c>
      <c r="H7">
        <f t="shared" si="1"/>
        <v>144.96656804340896</v>
      </c>
      <c r="I7">
        <v>0.69841151038912208</v>
      </c>
    </row>
    <row r="8" spans="1:9" x14ac:dyDescent="0.2">
      <c r="A8">
        <v>500</v>
      </c>
      <c r="B8">
        <v>3.0885849405884017E-2</v>
      </c>
      <c r="C8">
        <f t="shared" si="0"/>
        <v>3.5235871998600489E-2</v>
      </c>
      <c r="D8">
        <v>449.46035351</v>
      </c>
      <c r="E8">
        <v>0.18614515788135635</v>
      </c>
      <c r="F8">
        <v>0.27237615595943376</v>
      </c>
      <c r="G8">
        <v>122.42228334522198</v>
      </c>
      <c r="H8">
        <f t="shared" si="1"/>
        <v>149.73436445659669</v>
      </c>
      <c r="I8">
        <v>0.81759644013254129</v>
      </c>
    </row>
    <row r="9" spans="1:9" x14ac:dyDescent="0.2">
      <c r="A9">
        <v>600</v>
      </c>
      <c r="B9">
        <v>2.864615963314885E-2</v>
      </c>
      <c r="C9">
        <f t="shared" si="0"/>
        <v>3.2680739999101822E-2</v>
      </c>
      <c r="D9">
        <v>549.31201269999997</v>
      </c>
      <c r="E9">
        <v>0.19625642984115027</v>
      </c>
      <c r="F9">
        <v>0.26014986560752051</v>
      </c>
      <c r="G9">
        <v>142.90344628050158</v>
      </c>
      <c r="H9">
        <f t="shared" si="1"/>
        <v>152.03647773369826</v>
      </c>
      <c r="I9">
        <v>0.93992868297571464</v>
      </c>
    </row>
    <row r="10" spans="1:9" x14ac:dyDescent="0.2">
      <c r="A10">
        <v>700</v>
      </c>
      <c r="B10">
        <v>2.6431684058889047E-2</v>
      </c>
      <c r="C10">
        <f t="shared" si="0"/>
        <v>3.015437341441659E-2</v>
      </c>
      <c r="D10">
        <v>649.39123333999999</v>
      </c>
      <c r="E10">
        <v>0.20863198095677332</v>
      </c>
      <c r="F10">
        <v>0.2466028490653577</v>
      </c>
      <c r="G10">
        <v>160.14172829971051</v>
      </c>
      <c r="H10">
        <f t="shared" si="1"/>
        <v>153.05401395434473</v>
      </c>
      <c r="I10">
        <v>1.0463085819329117</v>
      </c>
    </row>
    <row r="11" spans="1:9" x14ac:dyDescent="0.2">
      <c r="A11">
        <v>800</v>
      </c>
      <c r="B11">
        <v>2.4525439196603598E-2</v>
      </c>
      <c r="C11">
        <f t="shared" si="0"/>
        <v>2.7979649349593433E-2</v>
      </c>
      <c r="D11">
        <v>749.38020757000004</v>
      </c>
      <c r="E11">
        <v>0.21955115557845106</v>
      </c>
      <c r="F11">
        <v>0.23216149803013655</v>
      </c>
      <c r="G11">
        <v>173.97723158358588</v>
      </c>
      <c r="H11">
        <f t="shared" si="1"/>
        <v>153.27899663151697</v>
      </c>
      <c r="I11">
        <v>1.1350363416184639</v>
      </c>
    </row>
    <row r="12" spans="1:9" x14ac:dyDescent="0.2">
      <c r="A12">
        <v>900</v>
      </c>
      <c r="B12">
        <v>2.2392266548039868E-2</v>
      </c>
      <c r="C12">
        <f t="shared" si="0"/>
        <v>2.554603655144945E-2</v>
      </c>
      <c r="D12">
        <v>849.39854988000002</v>
      </c>
      <c r="E12">
        <v>0.23054329684817423</v>
      </c>
      <c r="F12">
        <v>0.22163166546262658</v>
      </c>
      <c r="G12">
        <v>188.2536152514443</v>
      </c>
      <c r="H12">
        <f t="shared" si="1"/>
        <v>152.48846076484037</v>
      </c>
      <c r="I12">
        <v>1.2345433504097012</v>
      </c>
    </row>
    <row r="13" spans="1:9" x14ac:dyDescent="0.2">
      <c r="A13">
        <v>1000</v>
      </c>
      <c r="B13">
        <v>2.085908890809399E-2</v>
      </c>
      <c r="C13">
        <f t="shared" si="0"/>
        <v>2.3796923216008608E-2</v>
      </c>
      <c r="D13">
        <v>949.40443490999996</v>
      </c>
      <c r="E13">
        <v>0.24135957829237287</v>
      </c>
      <c r="F13">
        <v>0.21043087702757665</v>
      </c>
      <c r="G13">
        <v>199.7840078919821</v>
      </c>
      <c r="H13">
        <f t="shared" si="1"/>
        <v>152.22589094264896</v>
      </c>
      <c r="I13">
        <v>1.3124180561850063</v>
      </c>
    </row>
    <row r="14" spans="1:9" x14ac:dyDescent="0.2">
      <c r="A14">
        <v>1100</v>
      </c>
      <c r="B14">
        <v>1.9127285133219731E-2</v>
      </c>
      <c r="C14">
        <f t="shared" si="0"/>
        <v>2.1821208857751798E-2</v>
      </c>
      <c r="D14">
        <v>1049.4570045999999</v>
      </c>
      <c r="E14">
        <v>0.2501813930432682</v>
      </c>
      <c r="F14">
        <v>0.20075899604251402</v>
      </c>
      <c r="G14">
        <v>210.68793463327998</v>
      </c>
      <c r="H14">
        <f t="shared" si="1"/>
        <v>152.35285219041168</v>
      </c>
      <c r="I14">
        <v>1.382894587165068</v>
      </c>
    </row>
    <row r="15" spans="1:9" x14ac:dyDescent="0.2">
      <c r="A15">
        <v>1200</v>
      </c>
      <c r="B15">
        <v>1.79473635596685E-2</v>
      </c>
      <c r="C15">
        <f t="shared" si="0"/>
        <v>2.0475104854339871E-2</v>
      </c>
      <c r="D15">
        <v>1149.4592817</v>
      </c>
      <c r="E15">
        <v>0.26020585406724073</v>
      </c>
      <c r="F15">
        <v>0.19193520950439952</v>
      </c>
      <c r="G15">
        <v>220.62170804986607</v>
      </c>
      <c r="H15">
        <f t="shared" si="1"/>
        <v>152.35034450672421</v>
      </c>
      <c r="I15">
        <v>1.4481208346734562</v>
      </c>
    </row>
    <row r="16" spans="1:9" x14ac:dyDescent="0.2">
      <c r="A16">
        <v>1300</v>
      </c>
      <c r="B16">
        <v>1.6726275947790144E-2</v>
      </c>
      <c r="C16">
        <f t="shared" si="0"/>
        <v>1.908203690837541E-2</v>
      </c>
      <c r="D16">
        <v>1249.5687576</v>
      </c>
      <c r="E16">
        <v>0.27323052802364434</v>
      </c>
      <c r="F16">
        <v>0.18191082223443344</v>
      </c>
      <c r="G16">
        <v>227.31008013347545</v>
      </c>
      <c r="H16">
        <f t="shared" si="1"/>
        <v>152.06022504899789</v>
      </c>
      <c r="I16">
        <v>1.4948687604548134</v>
      </c>
    </row>
    <row r="17" spans="1:9" x14ac:dyDescent="0.2">
      <c r="A17">
        <v>1400</v>
      </c>
      <c r="B17">
        <v>1.5847381029506016E-2</v>
      </c>
      <c r="C17">
        <f t="shared" si="0"/>
        <v>1.8079356734878864E-2</v>
      </c>
      <c r="D17">
        <v>1349.4916181999999</v>
      </c>
      <c r="E17">
        <v>0.28064904883928721</v>
      </c>
      <c r="F17">
        <v>0.17362436413004301</v>
      </c>
      <c r="G17">
        <v>234.30462410879778</v>
      </c>
      <c r="H17">
        <f t="shared" si="1"/>
        <v>152.46522023695528</v>
      </c>
      <c r="I17">
        <v>1.5367742475605324</v>
      </c>
    </row>
    <row r="18" spans="1:9" x14ac:dyDescent="0.2">
      <c r="A18">
        <v>1500</v>
      </c>
      <c r="B18">
        <v>1.4985467102031826E-2</v>
      </c>
      <c r="C18">
        <f t="shared" si="0"/>
        <v>1.7096049187685237E-2</v>
      </c>
      <c r="D18">
        <v>1449.7236034</v>
      </c>
      <c r="E18">
        <v>0.29112132798031715</v>
      </c>
      <c r="F18">
        <v>0.16620571654470057</v>
      </c>
      <c r="G18">
        <v>240.9523502948623</v>
      </c>
      <c r="H18">
        <f t="shared" si="1"/>
        <v>152.68917241481756</v>
      </c>
      <c r="I18">
        <v>1.5780578706671891</v>
      </c>
    </row>
    <row r="19" spans="1:9" x14ac:dyDescent="0.2">
      <c r="A19">
        <v>1600</v>
      </c>
      <c r="B19">
        <v>1.4176811736643357E-2</v>
      </c>
      <c r="C19">
        <f t="shared" si="0"/>
        <v>1.6173501241168949E-2</v>
      </c>
      <c r="D19">
        <v>1549.5973337</v>
      </c>
      <c r="E19">
        <v>0.29692393440187492</v>
      </c>
      <c r="F19">
        <v>0.16012607314462735</v>
      </c>
      <c r="G19">
        <v>248.1309360007657</v>
      </c>
      <c r="H19">
        <f t="shared" si="1"/>
        <v>151.44406833643927</v>
      </c>
      <c r="I19">
        <v>1.6384328467030651</v>
      </c>
    </row>
    <row r="20" spans="1:9" x14ac:dyDescent="0.2">
      <c r="A20">
        <v>1700</v>
      </c>
      <c r="B20">
        <v>1.3273217195362955E-2</v>
      </c>
      <c r="C20">
        <f t="shared" si="0"/>
        <v>1.5142642702140887E-2</v>
      </c>
      <c r="D20">
        <v>1649.6160325000001</v>
      </c>
      <c r="E20">
        <v>0.3031610164653753</v>
      </c>
      <c r="F20">
        <v>0.15235716054800058</v>
      </c>
      <c r="G20">
        <v>251.33081470615826</v>
      </c>
      <c r="H20">
        <f t="shared" si="1"/>
        <v>151.58038052086377</v>
      </c>
      <c r="I20">
        <v>1.6580695591509265</v>
      </c>
    </row>
    <row r="21" spans="1:9" x14ac:dyDescent="0.2">
      <c r="A21">
        <v>1800</v>
      </c>
      <c r="B21">
        <v>1.2602982633849444E-2</v>
      </c>
      <c r="C21">
        <f t="shared" si="0"/>
        <v>1.4378011012457483E-2</v>
      </c>
      <c r="D21">
        <v>1749.3510424000001</v>
      </c>
      <c r="E21">
        <v>0.30842151970087167</v>
      </c>
      <c r="F21">
        <v>0.1479883208722762</v>
      </c>
      <c r="G21">
        <v>258.88352338094205</v>
      </c>
      <c r="H21">
        <f t="shared" si="1"/>
        <v>152.02702337050457</v>
      </c>
      <c r="I21">
        <v>1.7028783280852502</v>
      </c>
    </row>
    <row r="22" spans="1:9" x14ac:dyDescent="0.2">
      <c r="A22">
        <v>1900</v>
      </c>
      <c r="B22">
        <v>1.1947928048969061E-2</v>
      </c>
      <c r="C22">
        <f t="shared" si="0"/>
        <v>1.3630697276590328E-2</v>
      </c>
      <c r="D22">
        <v>1849.8108511</v>
      </c>
      <c r="E22">
        <v>0.31245482216760578</v>
      </c>
      <c r="F22">
        <v>0.14275429295574663</v>
      </c>
      <c r="G22">
        <v>264.06844015064843</v>
      </c>
      <c r="H22">
        <f t="shared" si="1"/>
        <v>151.13052604980174</v>
      </c>
      <c r="I22">
        <v>1.7472872427085344</v>
      </c>
    </row>
    <row r="23" spans="1:9" x14ac:dyDescent="0.2">
      <c r="A23">
        <v>2000</v>
      </c>
      <c r="B23">
        <v>1.1421002758381855E-2</v>
      </c>
      <c r="C23">
        <f t="shared" si="0"/>
        <v>1.3029558811917925E-2</v>
      </c>
      <c r="D23">
        <v>1949.5553837</v>
      </c>
      <c r="E23">
        <v>0.31467431925959882</v>
      </c>
      <c r="F23">
        <v>0.13654679502394038</v>
      </c>
      <c r="G23">
        <v>266.20553936590335</v>
      </c>
      <c r="H23">
        <f t="shared" si="1"/>
        <v>151.67339981463329</v>
      </c>
      <c r="I23">
        <v>1.7551234408356695</v>
      </c>
    </row>
    <row r="24" spans="1:9" x14ac:dyDescent="0.2">
      <c r="A24">
        <v>2100</v>
      </c>
      <c r="B24">
        <v>1.0950680770494449E-2</v>
      </c>
      <c r="C24">
        <f t="shared" si="0"/>
        <v>1.2492995768255256E-2</v>
      </c>
      <c r="D24">
        <v>2049.5770287999999</v>
      </c>
      <c r="E24">
        <v>0.31826560572184615</v>
      </c>
      <c r="F24">
        <v>0.13298062313185463</v>
      </c>
      <c r="G24">
        <v>272.55403044655912</v>
      </c>
      <c r="H24">
        <f t="shared" si="1"/>
        <v>151.47994835810044</v>
      </c>
      <c r="I24">
        <v>1.7992746459236841</v>
      </c>
    </row>
    <row r="25" spans="1:9" x14ac:dyDescent="0.2">
      <c r="A25">
        <v>2200</v>
      </c>
      <c r="B25">
        <v>1.0373584370696059E-2</v>
      </c>
      <c r="C25">
        <f t="shared" si="0"/>
        <v>1.1834619998596956E-2</v>
      </c>
      <c r="D25">
        <v>2149.5936998000002</v>
      </c>
      <c r="E25">
        <v>0.32038024743811272</v>
      </c>
      <c r="F25">
        <v>0.12827876233949306</v>
      </c>
      <c r="G25">
        <v>275.74721934311583</v>
      </c>
      <c r="H25">
        <f t="shared" si="1"/>
        <v>150.67100112527334</v>
      </c>
      <c r="I25">
        <v>1.8301280092633723</v>
      </c>
    </row>
    <row r="26" spans="1:9" x14ac:dyDescent="0.2">
      <c r="A26">
        <v>2300</v>
      </c>
      <c r="B26">
        <v>1.0085164814666637E-2</v>
      </c>
      <c r="C26">
        <f t="shared" si="0"/>
        <v>1.1505578876088284E-2</v>
      </c>
      <c r="D26">
        <v>2249.5779269999998</v>
      </c>
      <c r="E26">
        <v>0.32470323973153975</v>
      </c>
      <c r="F26">
        <v>0.12362917431585366</v>
      </c>
      <c r="G26">
        <v>278.11346167417969</v>
      </c>
      <c r="H26">
        <f t="shared" si="1"/>
        <v>150.42105125237546</v>
      </c>
      <c r="I26">
        <v>1.8488998671307166</v>
      </c>
    </row>
    <row r="27" spans="1:9" x14ac:dyDescent="0.2">
      <c r="A27">
        <v>2400</v>
      </c>
      <c r="B27">
        <v>9.5152724715754939E-3</v>
      </c>
      <c r="C27">
        <f t="shared" si="0"/>
        <v>1.0855421796376677E-2</v>
      </c>
      <c r="D27">
        <v>2349.7073338999999</v>
      </c>
      <c r="E27">
        <v>0.32736057183961276</v>
      </c>
      <c r="F27">
        <v>0.11974426416545375</v>
      </c>
      <c r="G27">
        <v>281.36397570202564</v>
      </c>
      <c r="H27">
        <f t="shared" si="1"/>
        <v>150.83334120979183</v>
      </c>
      <c r="I27">
        <v>1.8653964265810483</v>
      </c>
    </row>
    <row r="28" spans="1:9" x14ac:dyDescent="0.2">
      <c r="A28">
        <v>2500</v>
      </c>
      <c r="B28">
        <v>9.3452052757365574E-3</v>
      </c>
      <c r="C28">
        <f t="shared" si="0"/>
        <v>1.0661402008706531E-2</v>
      </c>
      <c r="D28">
        <v>2449.6569696000001</v>
      </c>
      <c r="E28">
        <v>0.32706573996712768</v>
      </c>
      <c r="F28">
        <v>0.11597026600864684</v>
      </c>
      <c r="G28">
        <v>284.0873703944477</v>
      </c>
      <c r="H28">
        <f t="shared" si="1"/>
        <v>150.33597468955713</v>
      </c>
      <c r="I28">
        <v>1.8896832310502285</v>
      </c>
    </row>
    <row r="29" spans="1:9" x14ac:dyDescent="0.2">
      <c r="A29">
        <v>2600</v>
      </c>
      <c r="B29">
        <v>8.7539580502632181E-3</v>
      </c>
      <c r="C29">
        <f t="shared" si="0"/>
        <v>9.986882383795798E-3</v>
      </c>
      <c r="D29">
        <v>2549.5381465999999</v>
      </c>
      <c r="E29">
        <v>0.33120424417515654</v>
      </c>
      <c r="F29">
        <v>0.11316685996694252</v>
      </c>
      <c r="G29">
        <v>288.52322641666035</v>
      </c>
      <c r="H29">
        <f t="shared" si="1"/>
        <v>150.73755336363462</v>
      </c>
      <c r="I29">
        <v>1.9140766184564229</v>
      </c>
    </row>
    <row r="30" spans="1:9" x14ac:dyDescent="0.2">
      <c r="A30">
        <v>2700</v>
      </c>
      <c r="B30">
        <v>8.5164814666636134E-3</v>
      </c>
      <c r="C30">
        <f t="shared" si="0"/>
        <v>9.7159591401958841E-3</v>
      </c>
      <c r="D30">
        <v>2649.6702249999998</v>
      </c>
      <c r="E30">
        <v>0.33329277322818723</v>
      </c>
      <c r="F30">
        <v>0.11117758647497095</v>
      </c>
      <c r="G30">
        <v>294.5839405700932</v>
      </c>
      <c r="H30">
        <f t="shared" si="1"/>
        <v>150.26949132919785</v>
      </c>
      <c r="I30">
        <v>1.9603709173723314</v>
      </c>
    </row>
    <row r="31" spans="1:9" x14ac:dyDescent="0.2">
      <c r="A31">
        <v>2800</v>
      </c>
      <c r="B31">
        <v>8.1447006830217619E-3</v>
      </c>
      <c r="C31">
        <f t="shared" si="0"/>
        <v>9.2918160340183346E-3</v>
      </c>
      <c r="D31">
        <v>2749.6393896999998</v>
      </c>
      <c r="E31">
        <v>0.33077097961559621</v>
      </c>
      <c r="F31">
        <v>0.10793698055628768</v>
      </c>
      <c r="G31">
        <v>296.78777334285161</v>
      </c>
      <c r="H31">
        <f t="shared" si="1"/>
        <v>150.48356675531048</v>
      </c>
      <c r="I31">
        <v>1.9722271324511793</v>
      </c>
    </row>
    <row r="32" spans="1:9" x14ac:dyDescent="0.2">
      <c r="A32">
        <v>2900</v>
      </c>
      <c r="B32">
        <v>7.8784078725931701E-3</v>
      </c>
      <c r="C32">
        <f t="shared" si="0"/>
        <v>8.9880180306316469E-3</v>
      </c>
      <c r="D32">
        <v>2849.764068</v>
      </c>
      <c r="E32">
        <v>0.33553745657984541</v>
      </c>
      <c r="F32">
        <v>0.10455211964585318</v>
      </c>
      <c r="G32">
        <v>297.94887379998926</v>
      </c>
      <c r="H32">
        <f t="shared" si="1"/>
        <v>149.90264177954322</v>
      </c>
      <c r="I32">
        <v>1.9876158969778044</v>
      </c>
    </row>
    <row r="33" spans="1:9" x14ac:dyDescent="0.2">
      <c r="A33">
        <v>3000</v>
      </c>
      <c r="B33">
        <v>7.6391302748167536E-3</v>
      </c>
      <c r="C33">
        <f t="shared" si="0"/>
        <v>8.7150401145450595E-3</v>
      </c>
      <c r="D33">
        <v>2949.5261225999998</v>
      </c>
      <c r="E33">
        <v>0.33646326761645534</v>
      </c>
      <c r="F33">
        <v>0.1026050152298794</v>
      </c>
      <c r="G33">
        <v>302.63617273030013</v>
      </c>
      <c r="H33">
        <f t="shared" si="1"/>
        <v>150.49910892051454</v>
      </c>
      <c r="I33">
        <v>2.0108834856300453</v>
      </c>
    </row>
    <row r="34" spans="1:9" x14ac:dyDescent="0.2">
      <c r="A34">
        <v>3100</v>
      </c>
      <c r="B34">
        <v>7.2773837130171385E-3</v>
      </c>
      <c r="C34">
        <f t="shared" si="0"/>
        <v>8.3023444693646892E-3</v>
      </c>
      <c r="D34">
        <v>3049.4758221000002</v>
      </c>
      <c r="E34">
        <v>0.33421905087751169</v>
      </c>
      <c r="F34">
        <v>0.1003117427087547</v>
      </c>
      <c r="G34">
        <v>305.89823406306346</v>
      </c>
      <c r="H34">
        <f t="shared" si="1"/>
        <v>149.60457668036236</v>
      </c>
      <c r="I34">
        <v>2.0447117384425364</v>
      </c>
    </row>
    <row r="35" spans="1:9" x14ac:dyDescent="0.2">
      <c r="A35">
        <v>3200</v>
      </c>
      <c r="B35">
        <v>6.9668374113868864E-3</v>
      </c>
      <c r="C35">
        <f t="shared" si="0"/>
        <v>7.9480602277340294E-3</v>
      </c>
      <c r="D35">
        <v>3149.7135216000001</v>
      </c>
      <c r="E35">
        <v>0.33949104845010941</v>
      </c>
      <c r="F35">
        <v>9.8709969931666808E-2</v>
      </c>
      <c r="G35">
        <v>310.90812701050038</v>
      </c>
      <c r="H35">
        <f t="shared" si="1"/>
        <v>149.70504610000313</v>
      </c>
      <c r="I35">
        <v>2.0768045908273085</v>
      </c>
    </row>
    <row r="36" spans="1:9" x14ac:dyDescent="0.2">
      <c r="A36">
        <v>3300</v>
      </c>
      <c r="B36">
        <v>6.7116079737587087E-3</v>
      </c>
      <c r="C36">
        <f t="shared" si="0"/>
        <v>7.6568837839083356E-3</v>
      </c>
      <c r="D36">
        <v>3249.4981059000002</v>
      </c>
      <c r="E36">
        <v>0.34140510358500542</v>
      </c>
      <c r="F36">
        <v>9.566131405438133E-2</v>
      </c>
      <c r="G36">
        <v>310.85125882761719</v>
      </c>
      <c r="H36">
        <f t="shared" si="1"/>
        <v>151.17500449485141</v>
      </c>
      <c r="I36">
        <v>2.0562344937003387</v>
      </c>
    </row>
    <row r="37" spans="1:9" x14ac:dyDescent="0.2">
      <c r="A37">
        <v>3400</v>
      </c>
      <c r="B37">
        <v>6.6194989630017657E-3</v>
      </c>
      <c r="C37">
        <f t="shared" si="0"/>
        <v>7.5518019624470469E-3</v>
      </c>
      <c r="D37">
        <v>3349.7696627999999</v>
      </c>
      <c r="E37">
        <v>0.33907502207934387</v>
      </c>
      <c r="F37">
        <v>9.3844811455892935E-2</v>
      </c>
      <c r="G37">
        <v>314.35850242613606</v>
      </c>
      <c r="H37">
        <f t="shared" si="1"/>
        <v>149.05746666299027</v>
      </c>
      <c r="I37">
        <v>2.1089752124721213</v>
      </c>
    </row>
    <row r="38" spans="1:9" x14ac:dyDescent="0.2">
      <c r="A38">
        <v>3500</v>
      </c>
      <c r="B38">
        <v>6.3207878973905616E-3</v>
      </c>
      <c r="C38">
        <f t="shared" si="0"/>
        <v>7.2110198543002407E-3</v>
      </c>
      <c r="D38">
        <v>3449.8662257999999</v>
      </c>
      <c r="E38">
        <v>0.34194144696493584</v>
      </c>
      <c r="F38">
        <v>9.2694326124579285E-2</v>
      </c>
      <c r="G38">
        <v>319.78302502047666</v>
      </c>
      <c r="H38">
        <f t="shared" si="1"/>
        <v>150.57510585294949</v>
      </c>
      <c r="I38">
        <v>2.1237443148987345</v>
      </c>
    </row>
    <row r="39" spans="1:9" x14ac:dyDescent="0.2">
      <c r="A39">
        <v>3600</v>
      </c>
      <c r="B39">
        <v>6.1818525180365137E-3</v>
      </c>
      <c r="C39">
        <f t="shared" si="0"/>
        <v>7.0525165481854475E-3</v>
      </c>
      <c r="D39">
        <v>3549.7953802000002</v>
      </c>
      <c r="E39">
        <v>0.34336371735396903</v>
      </c>
      <c r="F39">
        <v>9.0596235376915246E-2</v>
      </c>
      <c r="G39">
        <v>321.59809780448558</v>
      </c>
      <c r="H39">
        <f t="shared" si="1"/>
        <v>150.79563876677148</v>
      </c>
      <c r="I39">
        <v>2.1326750590041019</v>
      </c>
    </row>
    <row r="40" spans="1:9" x14ac:dyDescent="0.2">
      <c r="A40">
        <v>3700</v>
      </c>
      <c r="B40">
        <v>5.8898309336534683E-3</v>
      </c>
      <c r="C40">
        <f t="shared" si="0"/>
        <v>6.7193660807034284E-3</v>
      </c>
      <c r="D40">
        <v>3649.6508484000001</v>
      </c>
      <c r="E40">
        <v>0.33931648595773911</v>
      </c>
      <c r="F40">
        <v>8.9967800630775266E-2</v>
      </c>
      <c r="G40">
        <v>328.35105990079103</v>
      </c>
      <c r="H40">
        <f t="shared" si="1"/>
        <v>149.67410089502414</v>
      </c>
      <c r="I40">
        <v>2.1937733912367663</v>
      </c>
    </row>
    <row r="41" spans="1:9" x14ac:dyDescent="0.2">
      <c r="A41">
        <v>3800</v>
      </c>
      <c r="B41">
        <v>5.7161617094609075E-3</v>
      </c>
      <c r="C41">
        <f t="shared" si="0"/>
        <v>6.5212369480599358E-3</v>
      </c>
      <c r="D41">
        <v>3749.8355793000001</v>
      </c>
      <c r="E41">
        <v>0.33667385681620737</v>
      </c>
      <c r="F41">
        <v>8.783295602084823E-2</v>
      </c>
      <c r="G41">
        <v>329.35914352206885</v>
      </c>
      <c r="H41">
        <f t="shared" si="1"/>
        <v>150.56701566460143</v>
      </c>
      <c r="I41">
        <v>2.1874588007757252</v>
      </c>
    </row>
    <row r="42" spans="1:9" x14ac:dyDescent="0.2">
      <c r="A42">
        <v>3900</v>
      </c>
      <c r="B42">
        <v>5.5134189706998148E-3</v>
      </c>
      <c r="C42">
        <f t="shared" si="0"/>
        <v>6.2899395309887187E-3</v>
      </c>
      <c r="D42">
        <v>3849.6253585999998</v>
      </c>
      <c r="E42">
        <v>0.34171488924401516</v>
      </c>
      <c r="F42">
        <v>8.6202824218801474E-2</v>
      </c>
      <c r="G42">
        <v>331.84857809563636</v>
      </c>
      <c r="H42">
        <f t="shared" si="1"/>
        <v>149.11329892656278</v>
      </c>
      <c r="I42">
        <v>2.2254794205785049</v>
      </c>
    </row>
    <row r="43" spans="1:9" x14ac:dyDescent="0.2">
      <c r="A43">
        <v>4000</v>
      </c>
      <c r="B43">
        <v>5.3528714212240256E-3</v>
      </c>
      <c r="C43">
        <f t="shared" si="0"/>
        <v>6.106780155033846E-3</v>
      </c>
      <c r="D43">
        <v>3949.8122156999998</v>
      </c>
      <c r="E43">
        <v>0.34220102001813013</v>
      </c>
      <c r="F43">
        <v>8.3581735509440855E-2</v>
      </c>
      <c r="G43">
        <v>330.13215992459595</v>
      </c>
      <c r="H43">
        <f t="shared" si="1"/>
        <v>150.38724802977057</v>
      </c>
      <c r="I43">
        <v>2.1952137847435256</v>
      </c>
    </row>
    <row r="44" spans="1:9" x14ac:dyDescent="0.2">
      <c r="A44">
        <v>4100</v>
      </c>
      <c r="B44">
        <v>5.2059601219440971E-3</v>
      </c>
      <c r="C44">
        <f t="shared" si="0"/>
        <v>5.9391775850495005E-3</v>
      </c>
      <c r="D44">
        <v>4049.8220792000002</v>
      </c>
      <c r="E44">
        <v>0.3347068440773871</v>
      </c>
      <c r="F44">
        <v>8.1080444355127748E-2</v>
      </c>
      <c r="G44">
        <v>328.36137374074337</v>
      </c>
      <c r="H44">
        <f t="shared" si="1"/>
        <v>150.65504212037555</v>
      </c>
      <c r="I44">
        <v>2.1795578104739297</v>
      </c>
    </row>
    <row r="45" spans="1:9" x14ac:dyDescent="0.2">
      <c r="A45">
        <v>4200</v>
      </c>
      <c r="B45">
        <v>5.039752242198328E-3</v>
      </c>
      <c r="C45">
        <f t="shared" si="0"/>
        <v>5.7495606669936547E-3</v>
      </c>
      <c r="D45">
        <v>4149.3660362999999</v>
      </c>
      <c r="E45">
        <v>0.33818475215204397</v>
      </c>
      <c r="F45">
        <v>8.1186472360775627E-2</v>
      </c>
      <c r="G45">
        <v>336.87239102081105</v>
      </c>
      <c r="H45">
        <f t="shared" si="1"/>
        <v>149.08328910318437</v>
      </c>
      <c r="I45">
        <v>2.2596254284922104</v>
      </c>
    </row>
    <row r="46" spans="1:9" x14ac:dyDescent="0.2">
      <c r="A46">
        <v>4300</v>
      </c>
      <c r="B46">
        <v>4.8431844091863041E-3</v>
      </c>
      <c r="C46">
        <f t="shared" si="0"/>
        <v>5.5253078413053172E-3</v>
      </c>
      <c r="D46">
        <v>4250.1688647000001</v>
      </c>
      <c r="E46">
        <v>0.33615721145194488</v>
      </c>
      <c r="F46">
        <v>8.0940929309302981E-2</v>
      </c>
      <c r="G46">
        <v>344.01261763028322</v>
      </c>
      <c r="H46">
        <f t="shared" si="1"/>
        <v>150.75382626150486</v>
      </c>
      <c r="I46">
        <v>2.2819494944927126</v>
      </c>
    </row>
    <row r="47" spans="1:9" x14ac:dyDescent="0.2">
      <c r="A47">
        <v>4400</v>
      </c>
      <c r="B47">
        <v>4.7029625911345335E-3</v>
      </c>
      <c r="C47">
        <f t="shared" si="0"/>
        <v>5.3653369119857569E-3</v>
      </c>
      <c r="D47">
        <v>4349.8288124000001</v>
      </c>
      <c r="E47">
        <v>0.33864079776092731</v>
      </c>
      <c r="F47">
        <v>7.7961603426809328E-2</v>
      </c>
      <c r="G47">
        <v>339.11962884683777</v>
      </c>
      <c r="H47">
        <f t="shared" si="1"/>
        <v>149.13571395971155</v>
      </c>
      <c r="I47">
        <v>2.2738995230776826</v>
      </c>
    </row>
    <row r="48" spans="1:9" x14ac:dyDescent="0.2">
      <c r="A48">
        <v>4500</v>
      </c>
      <c r="B48">
        <v>4.5704594052690985E-3</v>
      </c>
      <c r="C48">
        <f t="shared" si="0"/>
        <v>5.2141717218947966E-3</v>
      </c>
      <c r="D48">
        <v>4449.9582344999999</v>
      </c>
      <c r="E48">
        <v>0.33876967203788516</v>
      </c>
      <c r="F48">
        <v>7.640094975931469E-2</v>
      </c>
      <c r="G48">
        <v>339.98103550508318</v>
      </c>
      <c r="H48">
        <f t="shared" si="1"/>
        <v>149.22707090295873</v>
      </c>
      <c r="I48">
        <v>2.2782798955168824</v>
      </c>
    </row>
    <row r="49" spans="1:9" x14ac:dyDescent="0.2">
      <c r="A49">
        <v>4600</v>
      </c>
      <c r="B49">
        <v>4.4333250400918622E-3</v>
      </c>
      <c r="C49">
        <f t="shared" si="0"/>
        <v>5.057723088266677E-3</v>
      </c>
      <c r="D49">
        <v>4549.7896828000003</v>
      </c>
      <c r="E49">
        <v>0.33866628531247378</v>
      </c>
      <c r="F49">
        <v>7.6099332435418318E-2</v>
      </c>
      <c r="G49">
        <v>346.23595758263366</v>
      </c>
      <c r="H49">
        <f t="shared" si="1"/>
        <v>149.66774623465619</v>
      </c>
      <c r="I49">
        <v>2.313363876274241</v>
      </c>
    </row>
    <row r="50" spans="1:9" x14ac:dyDescent="0.2">
      <c r="A50">
        <v>4700</v>
      </c>
      <c r="B50">
        <v>4.3152299676409208E-3</v>
      </c>
      <c r="C50">
        <f t="shared" si="0"/>
        <v>4.9229952780691019E-3</v>
      </c>
      <c r="D50">
        <v>4649.8572821999996</v>
      </c>
      <c r="E50">
        <v>0.33612820649582403</v>
      </c>
      <c r="F50">
        <v>7.3949225292838067E-2</v>
      </c>
      <c r="G50">
        <v>343.85334374095146</v>
      </c>
      <c r="H50">
        <f t="shared" si="1"/>
        <v>149.61404404846223</v>
      </c>
      <c r="I50">
        <v>2.298269162683499</v>
      </c>
    </row>
    <row r="51" spans="1:9" x14ac:dyDescent="0.2">
      <c r="A51">
        <v>4800</v>
      </c>
      <c r="B51">
        <v>4.176037300547328E-3</v>
      </c>
      <c r="C51">
        <f t="shared" si="0"/>
        <v>4.7641984473133555E-3</v>
      </c>
      <c r="D51">
        <v>4749.7428129999998</v>
      </c>
      <c r="E51">
        <v>0.33808409936329087</v>
      </c>
      <c r="F51">
        <v>7.4215420777773905E-2</v>
      </c>
      <c r="G51">
        <v>352.5041614530025</v>
      </c>
      <c r="H51">
        <f t="shared" si="1"/>
        <v>149.73233919290709</v>
      </c>
      <c r="I51">
        <v>2.3542286412747155</v>
      </c>
    </row>
    <row r="52" spans="1:9" x14ac:dyDescent="0.2">
      <c r="A52">
        <v>4900</v>
      </c>
      <c r="B52">
        <v>4.1405315924901822E-3</v>
      </c>
      <c r="C52">
        <f t="shared" si="0"/>
        <v>4.7236920468617973E-3</v>
      </c>
      <c r="D52">
        <v>4849.2001688999999</v>
      </c>
      <c r="E52">
        <v>0.33255915167887534</v>
      </c>
      <c r="F52">
        <v>7.252327977701481E-2</v>
      </c>
      <c r="G52">
        <v>351.67990054388218</v>
      </c>
      <c r="H52">
        <f t="shared" si="1"/>
        <v>148.80611186896553</v>
      </c>
      <c r="I52">
        <v>2.3633431189544258</v>
      </c>
    </row>
    <row r="53" spans="1:9" x14ac:dyDescent="0.2">
      <c r="A53">
        <v>5000</v>
      </c>
      <c r="B53">
        <v>3.9946494441684315E-3</v>
      </c>
      <c r="C53">
        <f t="shared" si="0"/>
        <v>4.5572635754412638E-3</v>
      </c>
      <c r="D53">
        <v>4949.4575961999999</v>
      </c>
      <c r="E53">
        <v>0.33751955349784818</v>
      </c>
      <c r="F53">
        <v>7.0986930571881171E-2</v>
      </c>
      <c r="G53">
        <v>351.34680274991928</v>
      </c>
      <c r="H53">
        <f t="shared" si="1"/>
        <v>148.68487279512286</v>
      </c>
      <c r="I53">
        <v>2.3630299178723453</v>
      </c>
    </row>
    <row r="54" spans="1:9" x14ac:dyDescent="0.2">
      <c r="A54">
        <v>5100</v>
      </c>
      <c r="B54">
        <v>3.8804136878106588E-3</v>
      </c>
      <c r="C54">
        <f t="shared" si="0"/>
        <v>4.4269386348579891E-3</v>
      </c>
      <c r="D54">
        <v>5049.5342657000001</v>
      </c>
      <c r="E54">
        <v>0.3345725334673505</v>
      </c>
      <c r="F54">
        <v>6.9717219465541644E-2</v>
      </c>
      <c r="G54">
        <v>352.0394886005796</v>
      </c>
      <c r="H54">
        <f t="shared" si="1"/>
        <v>148.56002737652182</v>
      </c>
      <c r="I54">
        <v>2.369678404193774</v>
      </c>
    </row>
    <row r="55" spans="1:9" x14ac:dyDescent="0.2">
      <c r="A55">
        <v>5200</v>
      </c>
      <c r="B55">
        <v>3.7924212808864285E-3</v>
      </c>
      <c r="C55">
        <f t="shared" si="0"/>
        <v>4.3265532076519541E-3</v>
      </c>
      <c r="D55">
        <v>5149.819281</v>
      </c>
      <c r="E55">
        <v>0.33331962669114629</v>
      </c>
      <c r="F55">
        <v>6.8844666927423262E-2</v>
      </c>
      <c r="G55">
        <v>354.53759313686732</v>
      </c>
      <c r="H55">
        <f t="shared" si="1"/>
        <v>149.4735994718406</v>
      </c>
      <c r="I55">
        <v>2.3719077776250299</v>
      </c>
    </row>
    <row r="56" spans="1:9" x14ac:dyDescent="0.2">
      <c r="A56">
        <v>5300</v>
      </c>
      <c r="B56">
        <v>3.6714960433004975E-3</v>
      </c>
      <c r="C56">
        <f t="shared" si="0"/>
        <v>4.1885966264038933E-3</v>
      </c>
      <c r="D56">
        <v>5249.8320856</v>
      </c>
      <c r="E56">
        <v>0.32882073861614874</v>
      </c>
      <c r="F56">
        <v>6.880319990785555E-2</v>
      </c>
      <c r="G56">
        <v>361.20524646821104</v>
      </c>
      <c r="H56">
        <f t="shared" si="1"/>
        <v>149.05921813204787</v>
      </c>
      <c r="I56">
        <v>2.4232332021775953</v>
      </c>
    </row>
    <row r="57" spans="1:9" x14ac:dyDescent="0.2">
      <c r="A57">
        <v>5400</v>
      </c>
      <c r="B57">
        <v>3.585561938292623E-3</v>
      </c>
      <c r="C57">
        <f t="shared" si="0"/>
        <v>4.0905593963254834E-3</v>
      </c>
      <c r="D57">
        <v>5349.6850807999999</v>
      </c>
      <c r="E57">
        <v>0.33757795949064168</v>
      </c>
      <c r="F57">
        <v>6.6041127180424986E-2</v>
      </c>
      <c r="G57">
        <v>353.29923279633493</v>
      </c>
      <c r="H57">
        <f t="shared" si="1"/>
        <v>149.34137407650437</v>
      </c>
      <c r="I57">
        <v>2.3657156965446653</v>
      </c>
    </row>
    <row r="58" spans="1:9" x14ac:dyDescent="0.2">
      <c r="A58">
        <v>5500</v>
      </c>
      <c r="B58">
        <v>3.5088901919083522E-3</v>
      </c>
      <c r="C58">
        <f t="shared" si="0"/>
        <v>4.0030890533213938E-3</v>
      </c>
      <c r="D58">
        <v>5449.7602567000004</v>
      </c>
      <c r="E58">
        <v>0.33399385578313906</v>
      </c>
      <c r="F58">
        <v>6.7093895297970468E-2</v>
      </c>
      <c r="G58">
        <v>365.64564406207046</v>
      </c>
      <c r="H58">
        <f t="shared" si="1"/>
        <v>149.10647294077833</v>
      </c>
      <c r="I58">
        <v>2.4522452771537058</v>
      </c>
    </row>
    <row r="59" spans="1:9" x14ac:dyDescent="0.2">
      <c r="A59">
        <v>5600</v>
      </c>
      <c r="B59">
        <v>3.3702121002938483E-3</v>
      </c>
      <c r="C59">
        <f t="shared" si="0"/>
        <v>3.8448792718475538E-3</v>
      </c>
      <c r="D59">
        <v>5549.5926741000003</v>
      </c>
      <c r="E59">
        <v>0.33415971303793002</v>
      </c>
      <c r="F59">
        <v>6.5400446611235022E-2</v>
      </c>
      <c r="G59">
        <v>362.94583939657804</v>
      </c>
      <c r="H59">
        <f t="shared" si="1"/>
        <v>150.01130944507022</v>
      </c>
      <c r="I59">
        <v>2.4194565112404289</v>
      </c>
    </row>
    <row r="60" spans="1:9" x14ac:dyDescent="0.2">
      <c r="A60">
        <v>5700</v>
      </c>
      <c r="B60">
        <v>3.3354782554553364E-3</v>
      </c>
      <c r="C60">
        <f t="shared" si="0"/>
        <v>3.8052534453188553E-3</v>
      </c>
      <c r="D60">
        <v>5650.1906062999997</v>
      </c>
      <c r="E60">
        <v>0.33705103646059636</v>
      </c>
      <c r="F60">
        <v>6.4366324232704011E-2</v>
      </c>
      <c r="G60">
        <v>363.68200054168426</v>
      </c>
      <c r="H60">
        <f t="shared" si="1"/>
        <v>148.11772829556494</v>
      </c>
      <c r="I60">
        <v>2.4553576720807291</v>
      </c>
    </row>
    <row r="61" spans="1:9" x14ac:dyDescent="0.2">
      <c r="A61">
        <v>5800</v>
      </c>
      <c r="B61">
        <v>3.2526316033219963E-3</v>
      </c>
      <c r="C61">
        <f t="shared" si="0"/>
        <v>3.7107385109318861E-3</v>
      </c>
      <c r="D61">
        <v>5749.9995791000001</v>
      </c>
      <c r="E61">
        <v>0.33147471889739721</v>
      </c>
      <c r="F61">
        <v>6.3583808573601477E-2</v>
      </c>
      <c r="G61">
        <v>365.60687253578351</v>
      </c>
      <c r="H61">
        <f t="shared" si="1"/>
        <v>147.95118166673663</v>
      </c>
      <c r="I61">
        <v>2.4711318180568589</v>
      </c>
    </row>
    <row r="62" spans="1:9" x14ac:dyDescent="0.2">
      <c r="A62">
        <v>5900</v>
      </c>
      <c r="B62">
        <v>3.1957710128826546E-3</v>
      </c>
      <c r="C62">
        <f t="shared" si="0"/>
        <v>3.6458695652812024E-3</v>
      </c>
      <c r="D62">
        <v>5849.8157031000001</v>
      </c>
      <c r="E62">
        <v>0.32721929465387473</v>
      </c>
      <c r="F62">
        <v>6.2645645983648635E-2</v>
      </c>
      <c r="G62">
        <v>366.46548360599121</v>
      </c>
      <c r="H62">
        <f t="shared" si="1"/>
        <v>148.74757358210735</v>
      </c>
      <c r="I62">
        <v>2.4636736908095211</v>
      </c>
    </row>
    <row r="63" spans="1:9" x14ac:dyDescent="0.2">
      <c r="A63">
        <v>6000</v>
      </c>
      <c r="B63">
        <v>3.0370244775836772E-3</v>
      </c>
      <c r="C63">
        <f t="shared" si="0"/>
        <v>3.4647648618130029E-3</v>
      </c>
      <c r="D63">
        <v>5949.7955181999996</v>
      </c>
      <c r="E63">
        <v>0.32841842180045511</v>
      </c>
      <c r="F63">
        <v>6.2947913988606552E-2</v>
      </c>
      <c r="G63">
        <v>374.5272165294503</v>
      </c>
      <c r="H63">
        <f t="shared" si="1"/>
        <v>147.64389423105848</v>
      </c>
      <c r="I63">
        <v>2.536692888520848</v>
      </c>
    </row>
    <row r="64" spans="1:9" x14ac:dyDescent="0.2">
      <c r="A64">
        <v>6100</v>
      </c>
      <c r="B64">
        <v>3.0218445009505494E-3</v>
      </c>
      <c r="C64">
        <f t="shared" si="0"/>
        <v>3.4474469079967566E-3</v>
      </c>
      <c r="D64">
        <v>6049.5534015000003</v>
      </c>
      <c r="E64">
        <v>0.3301566098156769</v>
      </c>
      <c r="F64">
        <v>6.1796015347210471E-2</v>
      </c>
      <c r="G64">
        <v>373.83829484286332</v>
      </c>
      <c r="H64">
        <f t="shared" si="1"/>
        <v>150.34361104685865</v>
      </c>
      <c r="I64">
        <v>2.4865592374680059</v>
      </c>
    </row>
    <row r="65" spans="1:9" x14ac:dyDescent="0.2">
      <c r="A65">
        <v>6200</v>
      </c>
      <c r="B65">
        <v>2.8808508196801448E-3</v>
      </c>
      <c r="C65">
        <f t="shared" si="0"/>
        <v>3.2865954047543366E-3</v>
      </c>
      <c r="D65">
        <v>6149.9152456000002</v>
      </c>
      <c r="E65">
        <v>0.32556688812139212</v>
      </c>
      <c r="F65">
        <v>6.017293948719591E-2</v>
      </c>
      <c r="G65">
        <v>370.05847792487236</v>
      </c>
      <c r="H65">
        <f t="shared" si="1"/>
        <v>148.98711676098262</v>
      </c>
      <c r="I65">
        <v>2.483828709287331</v>
      </c>
    </row>
    <row r="66" spans="1:9" x14ac:dyDescent="0.2">
      <c r="A66">
        <v>6300</v>
      </c>
      <c r="B66">
        <v>2.807523813909953E-3</v>
      </c>
      <c r="C66">
        <f t="shared" si="0"/>
        <v>3.2029408820826405E-3</v>
      </c>
      <c r="D66">
        <v>6249.5734666999997</v>
      </c>
      <c r="E66">
        <v>0.33063737082160244</v>
      </c>
      <c r="F66">
        <v>5.9313217848180978E-2</v>
      </c>
      <c r="G66">
        <v>370.68231248858871</v>
      </c>
      <c r="H66">
        <f t="shared" si="1"/>
        <v>149.57340093602647</v>
      </c>
      <c r="I66">
        <v>2.4782635827551447</v>
      </c>
    </row>
    <row r="67" spans="1:9" x14ac:dyDescent="0.2">
      <c r="A67">
        <v>6400</v>
      </c>
      <c r="B67">
        <v>2.7087253219248517E-3</v>
      </c>
      <c r="C67">
        <f t="shared" si="0"/>
        <v>3.0902274199565648E-3</v>
      </c>
      <c r="D67">
        <v>6349.5611363999997</v>
      </c>
      <c r="E67">
        <v>0.3395335357466876</v>
      </c>
      <c r="F67">
        <v>5.9515039450133367E-2</v>
      </c>
      <c r="G67">
        <v>377.89438152387964</v>
      </c>
      <c r="H67">
        <f t="shared" si="1"/>
        <v>148.96061610858317</v>
      </c>
      <c r="I67">
        <v>2.5368744530998568</v>
      </c>
    </row>
    <row r="68" spans="1:9" x14ac:dyDescent="0.2">
      <c r="A68">
        <v>6500</v>
      </c>
      <c r="B68">
        <v>2.7347113836188497E-3</v>
      </c>
      <c r="C68">
        <f t="shared" si="0"/>
        <v>3.1198734086928504E-3</v>
      </c>
      <c r="D68">
        <v>6449.8851083</v>
      </c>
      <c r="E68">
        <v>0.33101431825943178</v>
      </c>
      <c r="F68">
        <v>5.7864297912117203E-2</v>
      </c>
      <c r="G68">
        <v>373.21807340559951</v>
      </c>
      <c r="H68">
        <f t="shared" si="1"/>
        <v>148.8942777126104</v>
      </c>
      <c r="I68">
        <v>2.506597829944611</v>
      </c>
    </row>
    <row r="69" spans="1:9" x14ac:dyDescent="0.2">
      <c r="A69">
        <v>7500</v>
      </c>
      <c r="B69">
        <v>2.3824844681823831E-2</v>
      </c>
      <c r="C69">
        <f t="shared" ref="C69:C86" si="2">B69/(SUM(B$4:B$86))</f>
        <v>2.7180381752277539E-2</v>
      </c>
      <c r="D69">
        <v>6982.1209214</v>
      </c>
      <c r="E69">
        <v>0.32362482430921741</v>
      </c>
      <c r="F69">
        <v>5.4747182541538549E-2</v>
      </c>
      <c r="G69">
        <v>382.25144861098113</v>
      </c>
      <c r="H69">
        <f t="shared" ref="H69:H86" si="3">G69/I69</f>
        <v>149.19524794085285</v>
      </c>
      <c r="I69">
        <v>2.5620886314188867</v>
      </c>
    </row>
    <row r="70" spans="1:9" x14ac:dyDescent="0.2">
      <c r="A70">
        <v>10000</v>
      </c>
      <c r="B70">
        <v>4.2034899023567301E-2</v>
      </c>
      <c r="C70">
        <f t="shared" si="2"/>
        <v>4.795517526503075E-2</v>
      </c>
      <c r="D70">
        <v>8654.5769748000002</v>
      </c>
      <c r="E70">
        <v>0.30754159791302688</v>
      </c>
      <c r="F70">
        <v>4.6476041341003908E-2</v>
      </c>
      <c r="G70">
        <v>402.23047726970537</v>
      </c>
      <c r="H70">
        <f t="shared" si="3"/>
        <v>148.76237825630793</v>
      </c>
      <c r="I70">
        <v>2.7038454344732803</v>
      </c>
    </row>
    <row r="71" spans="1:9" x14ac:dyDescent="0.2">
      <c r="A71">
        <v>15000</v>
      </c>
      <c r="B71">
        <v>4.7443859172012035E-2</v>
      </c>
      <c r="C71">
        <f t="shared" si="2"/>
        <v>5.4125943791792419E-2</v>
      </c>
      <c r="D71">
        <v>12213.66762</v>
      </c>
      <c r="E71">
        <v>0.26263495594722575</v>
      </c>
      <c r="F71">
        <v>3.396753117809042E-2</v>
      </c>
      <c r="G71">
        <v>414.86813568118339</v>
      </c>
      <c r="H71">
        <f t="shared" si="3"/>
        <v>149.5013493792863</v>
      </c>
      <c r="I71">
        <v>2.7750126497431076</v>
      </c>
    </row>
    <row r="72" spans="1:9" x14ac:dyDescent="0.2">
      <c r="A72">
        <v>20000</v>
      </c>
      <c r="B72">
        <v>2.5286239042436782E-2</v>
      </c>
      <c r="C72">
        <f t="shared" si="2"/>
        <v>2.8847601712892402E-2</v>
      </c>
      <c r="D72">
        <v>17271.077359999999</v>
      </c>
      <c r="E72">
        <v>0.21414625797265913</v>
      </c>
      <c r="F72">
        <v>2.4742470623760775E-2</v>
      </c>
      <c r="G72">
        <v>427.32912422049975</v>
      </c>
      <c r="H72">
        <f t="shared" si="3"/>
        <v>150.03738568525239</v>
      </c>
      <c r="I72">
        <v>2.8481509609674784</v>
      </c>
    </row>
    <row r="73" spans="1:9" x14ac:dyDescent="0.2">
      <c r="A73">
        <v>25000</v>
      </c>
      <c r="B73">
        <v>1.4671833347527041E-2</v>
      </c>
      <c r="C73">
        <f t="shared" si="2"/>
        <v>1.6738242650363139E-2</v>
      </c>
      <c r="D73">
        <v>22286.980856999999</v>
      </c>
      <c r="E73">
        <v>0.19651580527579088</v>
      </c>
      <c r="F73">
        <v>2.0227692580218413E-2</v>
      </c>
      <c r="G73">
        <v>450.81419731660873</v>
      </c>
      <c r="H73">
        <f t="shared" si="3"/>
        <v>151.39896490253963</v>
      </c>
      <c r="I73">
        <v>2.9776570639489663</v>
      </c>
    </row>
    <row r="74" spans="1:9" x14ac:dyDescent="0.2">
      <c r="A74">
        <v>30000</v>
      </c>
      <c r="B74">
        <v>9.2446057695746448E-3</v>
      </c>
      <c r="C74">
        <f t="shared" si="2"/>
        <v>1.0546633874093783E-2</v>
      </c>
      <c r="D74">
        <v>27326.440060000001</v>
      </c>
      <c r="E74">
        <v>0.20179261864426018</v>
      </c>
      <c r="F74">
        <v>1.7200073905793173E-2</v>
      </c>
      <c r="G74">
        <v>470.01678861422721</v>
      </c>
      <c r="H74">
        <f t="shared" si="3"/>
        <v>153.56398472399192</v>
      </c>
      <c r="I74">
        <v>3.0607227955110141</v>
      </c>
    </row>
    <row r="75" spans="1:9" x14ac:dyDescent="0.2">
      <c r="A75">
        <v>35000</v>
      </c>
      <c r="B75">
        <v>6.3274773786187195E-3</v>
      </c>
      <c r="C75">
        <f t="shared" si="2"/>
        <v>7.2186514949650268E-3</v>
      </c>
      <c r="D75">
        <v>32359.214279</v>
      </c>
      <c r="E75">
        <v>0.21347552619888535</v>
      </c>
      <c r="F75">
        <v>1.5243879585166912E-2</v>
      </c>
      <c r="G75">
        <v>493.2799659396897</v>
      </c>
      <c r="H75">
        <f t="shared" si="3"/>
        <v>154.63663726212718</v>
      </c>
      <c r="I75">
        <v>3.1899294673843848</v>
      </c>
    </row>
    <row r="76" spans="1:9" x14ac:dyDescent="0.2">
      <c r="A76">
        <v>40000</v>
      </c>
      <c r="B76">
        <v>4.4760348048562548E-3</v>
      </c>
      <c r="C76">
        <f t="shared" si="2"/>
        <v>5.1064481786649287E-3</v>
      </c>
      <c r="D76">
        <v>37367.143090999998</v>
      </c>
      <c r="E76">
        <v>0.20276649511289949</v>
      </c>
      <c r="F76">
        <v>1.3958681387412814E-2</v>
      </c>
      <c r="G76">
        <v>521.596044765133</v>
      </c>
      <c r="H76">
        <f t="shared" si="3"/>
        <v>160.90261854644515</v>
      </c>
      <c r="I76">
        <v>3.2416877330966014</v>
      </c>
    </row>
    <row r="77" spans="1:9" x14ac:dyDescent="0.2">
      <c r="A77">
        <v>45000</v>
      </c>
      <c r="B77">
        <v>3.2871081604209638E-3</v>
      </c>
      <c r="C77">
        <f t="shared" si="2"/>
        <v>3.7500708128196309E-3</v>
      </c>
      <c r="D77">
        <v>42376.995106000002</v>
      </c>
      <c r="E77">
        <v>0.18792924998060884</v>
      </c>
      <c r="F77">
        <v>1.3065016134695002E-2</v>
      </c>
      <c r="G77">
        <v>553.6561247997812</v>
      </c>
      <c r="H77">
        <f t="shared" si="3"/>
        <v>165.2761482121559</v>
      </c>
      <c r="I77">
        <v>3.349885212045741</v>
      </c>
    </row>
    <row r="78" spans="1:9" x14ac:dyDescent="0.2">
      <c r="A78">
        <v>50000</v>
      </c>
      <c r="B78">
        <v>2.6027227732325041E-3</v>
      </c>
      <c r="C78">
        <f t="shared" si="2"/>
        <v>2.969295267883797E-3</v>
      </c>
      <c r="D78">
        <v>47409.342155999999</v>
      </c>
      <c r="E78">
        <v>0.18440341508686522</v>
      </c>
      <c r="F78">
        <v>1.122460150263583E-2</v>
      </c>
      <c r="G78">
        <v>532.15097320321377</v>
      </c>
      <c r="H78">
        <f t="shared" si="3"/>
        <v>164.66927763330176</v>
      </c>
      <c r="I78">
        <v>3.2316348310475287</v>
      </c>
    </row>
    <row r="79" spans="1:9" x14ac:dyDescent="0.2">
      <c r="A79">
        <v>100000</v>
      </c>
      <c r="B79">
        <v>1.0226415783676585E-2</v>
      </c>
      <c r="C79">
        <f t="shared" si="2"/>
        <v>1.1666723903971655E-2</v>
      </c>
      <c r="D79">
        <v>67790.064784000002</v>
      </c>
      <c r="E79">
        <v>0.15423071230073254</v>
      </c>
      <c r="F79">
        <v>8.595151851108521E-3</v>
      </c>
      <c r="G79">
        <v>582.66590081496417</v>
      </c>
      <c r="H79">
        <f t="shared" si="3"/>
        <v>171.82877380709627</v>
      </c>
      <c r="I79">
        <v>3.3909681592042005</v>
      </c>
    </row>
    <row r="80" spans="1:9" x14ac:dyDescent="0.2">
      <c r="A80">
        <v>200000</v>
      </c>
      <c r="B80">
        <v>3.4219269359422998E-3</v>
      </c>
      <c r="C80">
        <f t="shared" si="2"/>
        <v>3.9038777246791717E-3</v>
      </c>
      <c r="D80">
        <v>135528.84332000001</v>
      </c>
      <c r="E80">
        <v>8.1190295408644961E-2</v>
      </c>
      <c r="F80">
        <v>6.05371677228518E-3</v>
      </c>
      <c r="G80">
        <v>820.45323193469437</v>
      </c>
      <c r="H80">
        <f t="shared" si="3"/>
        <v>225.84115152258642</v>
      </c>
      <c r="I80">
        <v>3.6328774734069698</v>
      </c>
    </row>
    <row r="81" spans="1:9" x14ac:dyDescent="0.2">
      <c r="A81">
        <v>300000</v>
      </c>
      <c r="B81">
        <v>7.8961607266217428E-4</v>
      </c>
      <c r="C81">
        <f t="shared" si="2"/>
        <v>9.0082712308574265E-4</v>
      </c>
      <c r="D81">
        <v>239942.79032</v>
      </c>
      <c r="E81">
        <v>5.8876438742977773E-2</v>
      </c>
      <c r="F81">
        <v>5.0553218336360879E-3</v>
      </c>
      <c r="G81">
        <v>1212.9880267282617</v>
      </c>
      <c r="H81">
        <f t="shared" si="3"/>
        <v>321.05510135622364</v>
      </c>
      <c r="I81">
        <v>3.778130363306087</v>
      </c>
    </row>
    <row r="82" spans="1:9" x14ac:dyDescent="0.2">
      <c r="A82">
        <v>400000</v>
      </c>
      <c r="B82">
        <v>2.6269078207496902E-4</v>
      </c>
      <c r="C82">
        <f t="shared" si="2"/>
        <v>2.9968865841334088E-4</v>
      </c>
      <c r="D82">
        <v>342869.84759000002</v>
      </c>
      <c r="E82">
        <v>4.2561390372920088E-2</v>
      </c>
      <c r="F82">
        <v>3.2038630668536502E-3</v>
      </c>
      <c r="G82">
        <v>1098.5080414313411</v>
      </c>
      <c r="H82">
        <f t="shared" si="3"/>
        <v>308.8567467648403</v>
      </c>
      <c r="I82">
        <v>3.5566910968848982</v>
      </c>
    </row>
    <row r="83" spans="1:9" x14ac:dyDescent="0.2">
      <c r="A83">
        <v>500000</v>
      </c>
      <c r="B83">
        <v>1.2298353950228715E-4</v>
      </c>
      <c r="C83">
        <f t="shared" si="2"/>
        <v>1.403047783756875E-4</v>
      </c>
      <c r="D83">
        <v>443571.48762999999</v>
      </c>
      <c r="E83">
        <v>5.2150854702691062E-2</v>
      </c>
      <c r="F83">
        <v>2.2190412506291161E-3</v>
      </c>
      <c r="G83">
        <v>984.30342865389264</v>
      </c>
      <c r="H83">
        <f t="shared" si="3"/>
        <v>269.62275087160646</v>
      </c>
      <c r="I83">
        <v>3.650669038395113</v>
      </c>
    </row>
    <row r="84" spans="1:9" x14ac:dyDescent="0.2">
      <c r="A84">
        <v>1000000</v>
      </c>
      <c r="B84">
        <v>1.5385806824763122E-4</v>
      </c>
      <c r="C84">
        <f t="shared" si="2"/>
        <v>1.7552773529008606E-4</v>
      </c>
      <c r="D84">
        <v>648500.43969000003</v>
      </c>
      <c r="E84">
        <v>3.4848884955968856E-2</v>
      </c>
      <c r="F84">
        <v>1.6800981923757482E-3</v>
      </c>
      <c r="G84">
        <v>1089.544416478047</v>
      </c>
      <c r="H84">
        <f t="shared" si="3"/>
        <v>326.12769300613252</v>
      </c>
      <c r="I84">
        <v>3.3408521871755279</v>
      </c>
    </row>
    <row r="85" spans="1:9" x14ac:dyDescent="0.2">
      <c r="A85">
        <v>2000000</v>
      </c>
      <c r="B85">
        <v>2.7015212652176048E-5</v>
      </c>
      <c r="C85">
        <f t="shared" si="2"/>
        <v>3.0820087300098723E-5</v>
      </c>
      <c r="D85">
        <v>1343127.7834000001</v>
      </c>
      <c r="E85">
        <v>1.2265971378725345E-2</v>
      </c>
      <c r="F85">
        <v>2.893513116216023E-4</v>
      </c>
      <c r="G85">
        <v>388.63578580220542</v>
      </c>
      <c r="H85">
        <f t="shared" si="3"/>
        <v>196.19368722370592</v>
      </c>
      <c r="I85">
        <v>1.9808781378325961</v>
      </c>
    </row>
    <row r="86" spans="1:9" x14ac:dyDescent="0.2">
      <c r="B86" s="105">
        <v>3.0874528745344101E-6</v>
      </c>
      <c r="C86">
        <f t="shared" si="2"/>
        <v>3.522295691439859E-6</v>
      </c>
      <c r="D86">
        <v>2694283.6702999999</v>
      </c>
      <c r="E86">
        <v>4.9202855087564397E-2</v>
      </c>
      <c r="F86">
        <v>2.1653026138773612E-4</v>
      </c>
      <c r="G86">
        <v>583.39394738276803</v>
      </c>
      <c r="H86">
        <f t="shared" si="3"/>
        <v>186.44244627998461</v>
      </c>
      <c r="I86">
        <v>3.1290833124270043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zoomScale="80" zoomScaleNormal="80" zoomScalePageLayoutView="80" workbookViewId="0">
      <selection activeCell="A2" sqref="A2:V85"/>
    </sheetView>
  </sheetViews>
  <sheetFormatPr baseColWidth="10" defaultColWidth="8.83203125" defaultRowHeight="15" x14ac:dyDescent="0.2"/>
  <sheetData>
    <row r="1" spans="1:22" s="63" customFormat="1" ht="45" customHeight="1" x14ac:dyDescent="0.2">
      <c r="A1" s="59" t="s">
        <v>10</v>
      </c>
      <c r="B1" s="60" t="s">
        <v>0</v>
      </c>
      <c r="C1" s="61" t="s">
        <v>12</v>
      </c>
      <c r="D1" s="60" t="s">
        <v>22</v>
      </c>
      <c r="E1" s="62" t="s">
        <v>138</v>
      </c>
      <c r="F1" s="60" t="s">
        <v>139</v>
      </c>
      <c r="G1" s="60" t="s">
        <v>140</v>
      </c>
      <c r="H1" s="60" t="s">
        <v>141</v>
      </c>
      <c r="I1" s="60" t="s">
        <v>139</v>
      </c>
      <c r="J1" s="60" t="s">
        <v>140</v>
      </c>
      <c r="K1" s="60" t="s">
        <v>142</v>
      </c>
      <c r="L1" s="60" t="s">
        <v>143</v>
      </c>
      <c r="M1" s="60" t="s">
        <v>140</v>
      </c>
      <c r="N1" s="60" t="s">
        <v>144</v>
      </c>
      <c r="O1" s="60" t="s">
        <v>143</v>
      </c>
      <c r="P1" s="60" t="s">
        <v>140</v>
      </c>
      <c r="Q1" s="60" t="s">
        <v>145</v>
      </c>
      <c r="R1" s="60" t="s">
        <v>143</v>
      </c>
      <c r="S1" s="60" t="s">
        <v>140</v>
      </c>
      <c r="T1" s="60" t="s">
        <v>146</v>
      </c>
      <c r="U1" s="60" t="s">
        <v>143</v>
      </c>
      <c r="V1" s="60" t="s">
        <v>140</v>
      </c>
    </row>
    <row r="2" spans="1:22" x14ac:dyDescent="0.2">
      <c r="A2">
        <v>0</v>
      </c>
      <c r="B2">
        <v>8.5821747412468036E-2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">
      <c r="A3">
        <v>100</v>
      </c>
      <c r="B3">
        <v>1.9199955587785252E-2</v>
      </c>
      <c r="C3">
        <v>44.565396358000001</v>
      </c>
      <c r="D3">
        <v>0.45630527340959337</v>
      </c>
      <c r="E3">
        <v>0.10351221410954715</v>
      </c>
      <c r="F3">
        <v>4.6130628496861288</v>
      </c>
      <c r="G3">
        <v>5.931420874520385E-2</v>
      </c>
      <c r="H3">
        <v>3.7042340254636083E-2</v>
      </c>
      <c r="I3">
        <v>1.6508065754757557</v>
      </c>
      <c r="J3">
        <v>2.0944544180540696E-2</v>
      </c>
      <c r="K3">
        <v>0.42521646180157613</v>
      </c>
      <c r="L3">
        <v>18.949940158133607</v>
      </c>
      <c r="M3">
        <v>1.3634236490901221</v>
      </c>
      <c r="N3">
        <v>2.4298693063881431E-2</v>
      </c>
      <c r="O3">
        <v>1.0828808873732614</v>
      </c>
      <c r="P3">
        <v>2.3742766411565707E-2</v>
      </c>
      <c r="Q3">
        <v>6.790118544135847E-3</v>
      </c>
      <c r="R3">
        <v>0.30260432423721995</v>
      </c>
      <c r="S3">
        <v>7.4668169454062449E-3</v>
      </c>
      <c r="T3">
        <v>0</v>
      </c>
      <c r="U3">
        <v>0</v>
      </c>
      <c r="V3">
        <v>0</v>
      </c>
    </row>
    <row r="4" spans="1:22" x14ac:dyDescent="0.2">
      <c r="A4">
        <v>200</v>
      </c>
      <c r="B4">
        <v>2.7478669992956499E-2</v>
      </c>
      <c r="C4">
        <v>151.2473181</v>
      </c>
      <c r="D4">
        <v>0.17151862491635822</v>
      </c>
      <c r="E4">
        <v>0.3528677485224147</v>
      </c>
      <c r="F4">
        <v>53.370300608000463</v>
      </c>
      <c r="G4">
        <v>0.4295899508689176</v>
      </c>
      <c r="H4">
        <v>0.10789990877837861</v>
      </c>
      <c r="I4">
        <v>16.319571825964413</v>
      </c>
      <c r="J4">
        <v>0.12980934033781505</v>
      </c>
      <c r="K4">
        <v>0.13373165127796446</v>
      </c>
      <c r="L4">
        <v>20.226553600876564</v>
      </c>
      <c r="M4">
        <v>1.0797572411156853</v>
      </c>
      <c r="N4">
        <v>3.0808735757514302E-2</v>
      </c>
      <c r="O4">
        <v>4.6597386573756099</v>
      </c>
      <c r="P4">
        <v>4.7729221155305819E-2</v>
      </c>
      <c r="Q4">
        <v>6.9713314716291584E-3</v>
      </c>
      <c r="R4">
        <v>1.0543951886700365</v>
      </c>
      <c r="S4">
        <v>1.1395825231827365E-2</v>
      </c>
      <c r="T4">
        <v>6.9064092503201886E-6</v>
      </c>
      <c r="U4">
        <v>1.0445758768119601E-3</v>
      </c>
      <c r="V4">
        <v>2.7587034330476286E-5</v>
      </c>
    </row>
    <row r="5" spans="1:22" x14ac:dyDescent="0.2">
      <c r="A5">
        <v>300</v>
      </c>
      <c r="B5">
        <v>2.7260078623498919E-2</v>
      </c>
      <c r="C5">
        <v>249.25362744</v>
      </c>
      <c r="D5">
        <v>0.16301178512651554</v>
      </c>
      <c r="E5">
        <v>0.3214628529338569</v>
      </c>
      <c r="F5">
        <v>80.125782180975079</v>
      </c>
      <c r="G5">
        <v>0.55124547898895448</v>
      </c>
      <c r="H5">
        <v>0.11150627694820096</v>
      </c>
      <c r="I5">
        <v>27.793344011668342</v>
      </c>
      <c r="J5">
        <v>0.18243283197777152</v>
      </c>
      <c r="K5">
        <v>0.11796869903004022</v>
      </c>
      <c r="L5">
        <v>29.404126157615135</v>
      </c>
      <c r="M5">
        <v>1.4100997933858921</v>
      </c>
      <c r="N5">
        <v>3.659310090030473E-2</v>
      </c>
      <c r="O5">
        <v>9.1209631386788832</v>
      </c>
      <c r="P5">
        <v>7.9740748626072361E-2</v>
      </c>
      <c r="Q5">
        <v>8.4191930415600923E-3</v>
      </c>
      <c r="R5">
        <v>2.0985144057264598</v>
      </c>
      <c r="S5">
        <v>1.8500700406374259E-2</v>
      </c>
      <c r="T5">
        <v>3.0792154610469527E-5</v>
      </c>
      <c r="U5">
        <v>7.6750562333528496E-3</v>
      </c>
      <c r="V5">
        <v>2.5768732949942724E-5</v>
      </c>
    </row>
    <row r="6" spans="1:22" x14ac:dyDescent="0.2">
      <c r="A6">
        <v>400</v>
      </c>
      <c r="B6">
        <v>2.5417665652356449E-2</v>
      </c>
      <c r="C6">
        <v>349.86338820999998</v>
      </c>
      <c r="D6">
        <v>0.16499385378142553</v>
      </c>
      <c r="E6">
        <v>0.29945850088518849</v>
      </c>
      <c r="F6">
        <v>104.76956574797933</v>
      </c>
      <c r="G6">
        <v>0.70018950317522666</v>
      </c>
      <c r="H6">
        <v>0.10382214446822877</v>
      </c>
      <c r="I6">
        <v>36.323567234882624</v>
      </c>
      <c r="J6">
        <v>0.23544010500104293</v>
      </c>
      <c r="K6">
        <v>0.11294738501326801</v>
      </c>
      <c r="L6">
        <v>39.516154810201321</v>
      </c>
      <c r="M6">
        <v>1.7854319201369875</v>
      </c>
      <c r="N6">
        <v>4.3004292682238147E-2</v>
      </c>
      <c r="O6">
        <v>15.045627545382347</v>
      </c>
      <c r="P6">
        <v>0.12310198237725239</v>
      </c>
      <c r="Q6">
        <v>8.9880409422916935E-3</v>
      </c>
      <c r="R6">
        <v>3.144586457440373</v>
      </c>
      <c r="S6">
        <v>2.5038188887626954E-2</v>
      </c>
      <c r="T6">
        <v>5.4135143627663151E-5</v>
      </c>
      <c r="U6">
        <v>1.8939904770809219E-2</v>
      </c>
      <c r="V6">
        <v>2.8977667844570272E-4</v>
      </c>
    </row>
    <row r="7" spans="1:22" x14ac:dyDescent="0.2">
      <c r="A7">
        <v>500</v>
      </c>
      <c r="B7">
        <v>2.4424636288249153E-2</v>
      </c>
      <c r="C7">
        <v>449.62819292</v>
      </c>
      <c r="D7">
        <v>0.17444662087179438</v>
      </c>
      <c r="E7">
        <v>0.28010137473856883</v>
      </c>
      <c r="F7">
        <v>125.94147495811043</v>
      </c>
      <c r="G7">
        <v>0.81837066825109517</v>
      </c>
      <c r="H7">
        <v>9.8488755435807651E-2</v>
      </c>
      <c r="I7">
        <v>44.283321129542024</v>
      </c>
      <c r="J7">
        <v>0.2774176526558258</v>
      </c>
      <c r="K7">
        <v>0.11477085632486987</v>
      </c>
      <c r="L7">
        <v>51.604212729232195</v>
      </c>
      <c r="M7">
        <v>2.2174968672920428</v>
      </c>
      <c r="N7">
        <v>4.9573343107966822E-2</v>
      </c>
      <c r="O7">
        <v>22.289572678638258</v>
      </c>
      <c r="P7">
        <v>0.17397444572124898</v>
      </c>
      <c r="Q7">
        <v>1.0049941387467598E-2</v>
      </c>
      <c r="R7">
        <v>4.5187369849989736</v>
      </c>
      <c r="S7">
        <v>3.2392586364644711E-2</v>
      </c>
      <c r="T7">
        <v>5.248005149011273E-5</v>
      </c>
      <c r="U7">
        <v>2.3596510715847941E-2</v>
      </c>
      <c r="V7">
        <v>2.3899590637270214E-4</v>
      </c>
    </row>
    <row r="8" spans="1:22" x14ac:dyDescent="0.2">
      <c r="A8">
        <v>600</v>
      </c>
      <c r="B8">
        <v>2.3264367177985419E-2</v>
      </c>
      <c r="C8">
        <v>549.62643854999999</v>
      </c>
      <c r="D8">
        <v>0.17949646809507508</v>
      </c>
      <c r="E8">
        <v>0.26107360662736734</v>
      </c>
      <c r="F8">
        <v>143.49295661000357</v>
      </c>
      <c r="G8">
        <v>0.92288868539183289</v>
      </c>
      <c r="H8">
        <v>9.581538081393362E-2</v>
      </c>
      <c r="I8">
        <v>52.662666515074335</v>
      </c>
      <c r="J8">
        <v>0.32703725966714692</v>
      </c>
      <c r="K8">
        <v>0.11275927200311034</v>
      </c>
      <c r="L8">
        <v>61.975477084560261</v>
      </c>
      <c r="M8">
        <v>2.5851570414627036</v>
      </c>
      <c r="N8">
        <v>5.5839918529333746E-2</v>
      </c>
      <c r="O8">
        <v>30.691095550199858</v>
      </c>
      <c r="P8">
        <v>0.2309863829547919</v>
      </c>
      <c r="Q8">
        <v>1.084788425193365E-2</v>
      </c>
      <c r="R8">
        <v>5.9622839871929223</v>
      </c>
      <c r="S8">
        <v>4.1080738311212533E-2</v>
      </c>
      <c r="T8">
        <v>4.9393310697342636E-5</v>
      </c>
      <c r="U8">
        <v>2.714786944677405E-2</v>
      </c>
      <c r="V8">
        <v>4.5911121434750194E-4</v>
      </c>
    </row>
    <row r="9" spans="1:22" x14ac:dyDescent="0.2">
      <c r="A9">
        <v>700</v>
      </c>
      <c r="B9">
        <v>2.2297707566384117E-2</v>
      </c>
      <c r="C9">
        <v>649.56473409</v>
      </c>
      <c r="D9">
        <v>0.18917709542156172</v>
      </c>
      <c r="E9">
        <v>0.24070484362414793</v>
      </c>
      <c r="F9">
        <v>156.35337774289468</v>
      </c>
      <c r="G9">
        <v>1.0027302391106063</v>
      </c>
      <c r="H9">
        <v>9.2505877988881574E-2</v>
      </c>
      <c r="I9">
        <v>60.088556037609841</v>
      </c>
      <c r="J9">
        <v>0.37128658498958061</v>
      </c>
      <c r="K9">
        <v>0.11701424353855049</v>
      </c>
      <c r="L9">
        <v>76.008325988861046</v>
      </c>
      <c r="M9">
        <v>3.0050710525871809</v>
      </c>
      <c r="N9">
        <v>6.1451427131141205E-2</v>
      </c>
      <c r="O9">
        <v>39.916679923890747</v>
      </c>
      <c r="P9">
        <v>0.3102790683677456</v>
      </c>
      <c r="Q9">
        <v>1.0630126294697461E-2</v>
      </c>
      <c r="R9">
        <v>6.9049551599582735</v>
      </c>
      <c r="S9">
        <v>4.7039775050977194E-2</v>
      </c>
      <c r="T9">
        <v>8.1298457172546246E-5</v>
      </c>
      <c r="U9">
        <v>5.2808610715212256E-2</v>
      </c>
      <c r="V9">
        <v>5.4799215296900288E-4</v>
      </c>
    </row>
    <row r="10" spans="1:22" x14ac:dyDescent="0.2">
      <c r="A10">
        <v>800</v>
      </c>
      <c r="B10">
        <v>2.1199199192252844E-2</v>
      </c>
      <c r="C10">
        <v>749.69570052999995</v>
      </c>
      <c r="D10">
        <v>0.19917142050541903</v>
      </c>
      <c r="E10">
        <v>0.22486840035257016</v>
      </c>
      <c r="F10">
        <v>168.58287292938058</v>
      </c>
      <c r="G10">
        <v>1.0882473436396929</v>
      </c>
      <c r="H10">
        <v>8.9311120522780937E-2</v>
      </c>
      <c r="I10">
        <v>66.956163065445509</v>
      </c>
      <c r="J10">
        <v>0.41025141057122666</v>
      </c>
      <c r="K10">
        <v>0.11767467087538637</v>
      </c>
      <c r="L10">
        <v>88.220194816559967</v>
      </c>
      <c r="M10">
        <v>3.3461554077971001</v>
      </c>
      <c r="N10">
        <v>6.8647013074752641E-2</v>
      </c>
      <c r="O10">
        <v>51.464370556368749</v>
      </c>
      <c r="P10">
        <v>0.37658525981504459</v>
      </c>
      <c r="Q10">
        <v>1.2798471093024059E-2</v>
      </c>
      <c r="R10">
        <v>9.5949587517976269</v>
      </c>
      <c r="S10">
        <v>5.8246751826986201E-2</v>
      </c>
      <c r="T10">
        <v>5.1265462255934497E-5</v>
      </c>
      <c r="U10">
        <v>3.8433496638957086E-2</v>
      </c>
      <c r="V10">
        <v>6.6933000014730458E-4</v>
      </c>
    </row>
    <row r="11" spans="1:22" x14ac:dyDescent="0.2">
      <c r="A11">
        <v>900</v>
      </c>
      <c r="B11">
        <v>1.9916796491435036E-2</v>
      </c>
      <c r="C11">
        <v>849.81306943000004</v>
      </c>
      <c r="D11">
        <v>0.20549122376774825</v>
      </c>
      <c r="E11">
        <v>0.21222052975816783</v>
      </c>
      <c r="F11">
        <v>180.34777978984926</v>
      </c>
      <c r="G11">
        <v>1.1631932654575521</v>
      </c>
      <c r="H11">
        <v>8.8186989831976106E-2</v>
      </c>
      <c r="I11">
        <v>74.942456512903817</v>
      </c>
      <c r="J11">
        <v>0.45268017017744283</v>
      </c>
      <c r="K11">
        <v>0.11660462257696641</v>
      </c>
      <c r="L11">
        <v>99.092132221858506</v>
      </c>
      <c r="M11">
        <v>3.7046438951910425</v>
      </c>
      <c r="N11">
        <v>7.4936337433714903E-2</v>
      </c>
      <c r="O11">
        <v>63.681878926387469</v>
      </c>
      <c r="P11">
        <v>0.46780333575645444</v>
      </c>
      <c r="Q11">
        <v>1.3914396661084035E-2</v>
      </c>
      <c r="R11">
        <v>11.824636135822368</v>
      </c>
      <c r="S11">
        <v>6.9439964197804946E-2</v>
      </c>
      <c r="T11">
        <v>3.5867095982945537E-5</v>
      </c>
      <c r="U11">
        <v>3.0480326928807373E-2</v>
      </c>
      <c r="V11">
        <v>4.2660090025086232E-4</v>
      </c>
    </row>
    <row r="12" spans="1:22" x14ac:dyDescent="0.2">
      <c r="A12">
        <v>1000</v>
      </c>
      <c r="B12">
        <v>1.8624678618641335E-2</v>
      </c>
      <c r="C12">
        <v>949.95641472</v>
      </c>
      <c r="D12">
        <v>0.21126293006840632</v>
      </c>
      <c r="E12">
        <v>0.19980581768217992</v>
      </c>
      <c r="F12">
        <v>189.80681820556163</v>
      </c>
      <c r="G12">
        <v>1.231101531837923</v>
      </c>
      <c r="H12">
        <v>8.8291845776179392E-2</v>
      </c>
      <c r="I12">
        <v>83.873405262550548</v>
      </c>
      <c r="J12">
        <v>0.50122771115001674</v>
      </c>
      <c r="K12">
        <v>0.11471581180785011</v>
      </c>
      <c r="L12">
        <v>108.97502129667953</v>
      </c>
      <c r="M12">
        <v>3.9619103018195219</v>
      </c>
      <c r="N12">
        <v>8.2601837733455058E-2</v>
      </c>
      <c r="O12">
        <v>78.468145622556179</v>
      </c>
      <c r="P12">
        <v>0.57855926972926697</v>
      </c>
      <c r="Q12">
        <v>1.3873952544696571E-2</v>
      </c>
      <c r="R12">
        <v>13.179650217355375</v>
      </c>
      <c r="S12">
        <v>7.9448862264894393E-2</v>
      </c>
      <c r="T12">
        <v>7.1327982404608729E-5</v>
      </c>
      <c r="U12">
        <v>6.775847443429335E-2</v>
      </c>
      <c r="V12">
        <v>1.9233555771079383E-4</v>
      </c>
    </row>
    <row r="13" spans="1:22" x14ac:dyDescent="0.2">
      <c r="A13">
        <v>1100</v>
      </c>
      <c r="B13">
        <v>1.7675367528425551E-2</v>
      </c>
      <c r="C13">
        <v>1049.7185950000001</v>
      </c>
      <c r="D13">
        <v>0.2216420157724219</v>
      </c>
      <c r="E13">
        <v>0.1906228536070603</v>
      </c>
      <c r="F13">
        <v>200.10035406329402</v>
      </c>
      <c r="G13">
        <v>1.298667305664003</v>
      </c>
      <c r="H13">
        <v>8.4886921443834598E-2</v>
      </c>
      <c r="I13">
        <v>89.107379911897425</v>
      </c>
      <c r="J13">
        <v>0.53788294447809293</v>
      </c>
      <c r="K13">
        <v>0.11731937054942337</v>
      </c>
      <c r="L13">
        <v>123.15232481942509</v>
      </c>
      <c r="M13">
        <v>4.3581368795221129</v>
      </c>
      <c r="N13">
        <v>8.8876033499185061E-2</v>
      </c>
      <c r="O13">
        <v>93.294825013937484</v>
      </c>
      <c r="P13">
        <v>0.67401889928202297</v>
      </c>
      <c r="Q13">
        <v>1.535833070549553E-2</v>
      </c>
      <c r="R13">
        <v>16.121925329718128</v>
      </c>
      <c r="S13">
        <v>9.1428930007958015E-2</v>
      </c>
      <c r="T13">
        <v>8.8281018317933789E-5</v>
      </c>
      <c r="U13">
        <v>9.2670226513870732E-2</v>
      </c>
      <c r="V13">
        <v>1.0196781037415093E-3</v>
      </c>
    </row>
    <row r="14" spans="1:22" x14ac:dyDescent="0.2">
      <c r="A14">
        <v>1200</v>
      </c>
      <c r="B14">
        <v>1.6753120131571188E-2</v>
      </c>
      <c r="C14">
        <v>1149.6736409</v>
      </c>
      <c r="D14">
        <v>0.22803498037094561</v>
      </c>
      <c r="E14">
        <v>0.18045095896771715</v>
      </c>
      <c r="F14">
        <v>207.45971100031187</v>
      </c>
      <c r="G14">
        <v>1.3507373981013826</v>
      </c>
      <c r="H14">
        <v>8.3170624796729514E-2</v>
      </c>
      <c r="I14">
        <v>95.619075025983847</v>
      </c>
      <c r="J14">
        <v>0.57502570129141795</v>
      </c>
      <c r="K14">
        <v>0.11404599482425239</v>
      </c>
      <c r="L14">
        <v>131.11567409966079</v>
      </c>
      <c r="M14">
        <v>4.5855610389610879</v>
      </c>
      <c r="N14">
        <v>9.7946784738107695E-2</v>
      </c>
      <c r="O14">
        <v>112.60683662430883</v>
      </c>
      <c r="P14">
        <v>0.8180936961577413</v>
      </c>
      <c r="Q14">
        <v>1.5916068764617496E-2</v>
      </c>
      <c r="R14">
        <v>18.298284725432563</v>
      </c>
      <c r="S14">
        <v>9.8806202294772619E-2</v>
      </c>
      <c r="T14">
        <v>1.2613204396805645E-4</v>
      </c>
      <c r="U14">
        <v>0.14501068622291435</v>
      </c>
      <c r="V14">
        <v>1.9725478211830008E-3</v>
      </c>
    </row>
    <row r="15" spans="1:22" x14ac:dyDescent="0.2">
      <c r="A15">
        <v>1300</v>
      </c>
      <c r="B15">
        <v>1.5831566675572242E-2</v>
      </c>
      <c r="C15">
        <v>1249.6256057999999</v>
      </c>
      <c r="D15">
        <v>0.24225101747100289</v>
      </c>
      <c r="E15">
        <v>0.17109304830391464</v>
      </c>
      <c r="F15">
        <v>213.80225413494799</v>
      </c>
      <c r="G15">
        <v>1.3950949803928459</v>
      </c>
      <c r="H15">
        <v>8.2947342032032287E-2</v>
      </c>
      <c r="I15">
        <v>103.65312253627813</v>
      </c>
      <c r="J15">
        <v>0.62717893656317092</v>
      </c>
      <c r="K15">
        <v>0.11206615044098837</v>
      </c>
      <c r="L15">
        <v>140.04073113449402</v>
      </c>
      <c r="M15">
        <v>4.7741118494783628</v>
      </c>
      <c r="N15">
        <v>0.11191885856553291</v>
      </c>
      <c r="O15">
        <v>139.85667143539857</v>
      </c>
      <c r="P15">
        <v>1.0164776081413254</v>
      </c>
      <c r="Q15">
        <v>1.8156146811225068E-2</v>
      </c>
      <c r="R15">
        <v>22.688385957970862</v>
      </c>
      <c r="S15">
        <v>0.11623179266936089</v>
      </c>
      <c r="T15">
        <v>1.0986165325649665E-4</v>
      </c>
      <c r="U15">
        <v>0.13728593500483915</v>
      </c>
      <c r="V15">
        <v>1.4874349835101251E-3</v>
      </c>
    </row>
    <row r="16" spans="1:22" x14ac:dyDescent="0.2">
      <c r="A16">
        <v>1400</v>
      </c>
      <c r="B16">
        <v>1.5145953110416398E-2</v>
      </c>
      <c r="C16">
        <v>1349.9348284</v>
      </c>
      <c r="D16">
        <v>0.25088308408210519</v>
      </c>
      <c r="E16">
        <v>0.16484908185962155</v>
      </c>
      <c r="F16">
        <v>222.53551703206577</v>
      </c>
      <c r="G16">
        <v>1.4520652638349028</v>
      </c>
      <c r="H16">
        <v>8.0811895550911297E-2</v>
      </c>
      <c r="I16">
        <v>109.09079235319817</v>
      </c>
      <c r="J16">
        <v>0.66565008031250861</v>
      </c>
      <c r="K16">
        <v>0.11152500934622435</v>
      </c>
      <c r="L16">
        <v>150.55149435410377</v>
      </c>
      <c r="M16">
        <v>5.0164594806520251</v>
      </c>
      <c r="N16">
        <v>0.12018602055953978</v>
      </c>
      <c r="O16">
        <v>162.24329504012121</v>
      </c>
      <c r="P16">
        <v>1.1807286340944101</v>
      </c>
      <c r="Q16">
        <v>1.9050166547357153E-2</v>
      </c>
      <c r="R16">
        <v>25.716483309097999</v>
      </c>
      <c r="S16">
        <v>0.13479537174881345</v>
      </c>
      <c r="T16">
        <v>1.2188762898388828E-4</v>
      </c>
      <c r="U16">
        <v>0.16454035551644811</v>
      </c>
      <c r="V16">
        <v>1.6481186388710731E-3</v>
      </c>
    </row>
    <row r="17" spans="1:22" x14ac:dyDescent="0.2">
      <c r="A17">
        <v>1500</v>
      </c>
      <c r="B17">
        <v>1.4688646086694032E-2</v>
      </c>
      <c r="C17">
        <v>1449.7961092999999</v>
      </c>
      <c r="D17">
        <v>0.25744989714615546</v>
      </c>
      <c r="E17">
        <v>0.15728967666922145</v>
      </c>
      <c r="F17">
        <v>228.0379612680922</v>
      </c>
      <c r="G17">
        <v>1.4916620145511419</v>
      </c>
      <c r="H17">
        <v>7.8978326959936229E-2</v>
      </c>
      <c r="I17">
        <v>114.50247114553883</v>
      </c>
      <c r="J17">
        <v>0.68829835071441403</v>
      </c>
      <c r="K17">
        <v>0.1097974386004938</v>
      </c>
      <c r="L17">
        <v>159.18389929410154</v>
      </c>
      <c r="M17">
        <v>5.2417364112420177</v>
      </c>
      <c r="N17">
        <v>0.12934536473421143</v>
      </c>
      <c r="O17">
        <v>187.52440654764914</v>
      </c>
      <c r="P17">
        <v>1.3432150284295707</v>
      </c>
      <c r="Q17">
        <v>1.8179224712350218E-2</v>
      </c>
      <c r="R17">
        <v>26.356169258055758</v>
      </c>
      <c r="S17">
        <v>0.1356601442622476</v>
      </c>
      <c r="T17">
        <v>1.2786909910003592E-4</v>
      </c>
      <c r="U17">
        <v>0.18538412237492821</v>
      </c>
      <c r="V17">
        <v>2.2731864516228073E-3</v>
      </c>
    </row>
    <row r="18" spans="1:22" x14ac:dyDescent="0.2">
      <c r="A18">
        <v>1600</v>
      </c>
      <c r="B18">
        <v>1.3943353607971993E-2</v>
      </c>
      <c r="C18">
        <v>1549.5649264000001</v>
      </c>
      <c r="D18">
        <v>0.25980726785208619</v>
      </c>
      <c r="E18">
        <v>0.15103493117230124</v>
      </c>
      <c r="F18">
        <v>234.03843200583606</v>
      </c>
      <c r="G18">
        <v>1.524193357493794</v>
      </c>
      <c r="H18">
        <v>7.9074684883656793E-2</v>
      </c>
      <c r="I18">
        <v>122.53135826184683</v>
      </c>
      <c r="J18">
        <v>0.74449690760902809</v>
      </c>
      <c r="K18">
        <v>0.10454757440934613</v>
      </c>
      <c r="L18">
        <v>162.00325444491696</v>
      </c>
      <c r="M18">
        <v>5.2704995880201357</v>
      </c>
      <c r="N18">
        <v>0.13486287637995636</v>
      </c>
      <c r="O18">
        <v>208.9787831117994</v>
      </c>
      <c r="P18">
        <v>1.4968515835996954</v>
      </c>
      <c r="Q18">
        <v>2.0276427904681177E-2</v>
      </c>
      <c r="R18">
        <v>31.419641513772195</v>
      </c>
      <c r="S18">
        <v>0.15874160279317198</v>
      </c>
      <c r="T18">
        <v>1.2038915810251559E-4</v>
      </c>
      <c r="U18">
        <v>0.18655081691448255</v>
      </c>
      <c r="V18">
        <v>7.4421315639775182E-4</v>
      </c>
    </row>
    <row r="19" spans="1:22" x14ac:dyDescent="0.2">
      <c r="A19">
        <v>1700</v>
      </c>
      <c r="B19">
        <v>1.3331991714346186E-2</v>
      </c>
      <c r="C19">
        <v>1649.5070595</v>
      </c>
      <c r="D19">
        <v>0.2676990568602563</v>
      </c>
      <c r="E19">
        <v>0.14609018380337099</v>
      </c>
      <c r="F19">
        <v>240.97678950731299</v>
      </c>
      <c r="G19">
        <v>1.5685325331051714</v>
      </c>
      <c r="H19">
        <v>7.7963779002029707E-2</v>
      </c>
      <c r="I19">
        <v>128.60180384914585</v>
      </c>
      <c r="J19">
        <v>0.78002379095681729</v>
      </c>
      <c r="K19">
        <v>0.10511636311735284</v>
      </c>
      <c r="L19">
        <v>173.39018303103893</v>
      </c>
      <c r="M19">
        <v>5.4464416246292569</v>
      </c>
      <c r="N19">
        <v>0.14096551657654699</v>
      </c>
      <c r="O19">
        <v>232.52361473907851</v>
      </c>
      <c r="P19">
        <v>1.6471902924252246</v>
      </c>
      <c r="Q19">
        <v>2.1521036642365404E-2</v>
      </c>
      <c r="R19">
        <v>35.49910186933991</v>
      </c>
      <c r="S19">
        <v>0.16879298840644369</v>
      </c>
      <c r="T19">
        <v>9.6140523991074053E-5</v>
      </c>
      <c r="U19">
        <v>0.15858447302730577</v>
      </c>
      <c r="V19">
        <v>1.8031526953050168E-3</v>
      </c>
    </row>
    <row r="20" spans="1:22" x14ac:dyDescent="0.2">
      <c r="A20">
        <v>1800</v>
      </c>
      <c r="B20">
        <v>1.2715078293877012E-2</v>
      </c>
      <c r="C20">
        <v>1749.4850610000001</v>
      </c>
      <c r="D20">
        <v>0.27179183352801806</v>
      </c>
      <c r="E20">
        <v>0.13873594905766551</v>
      </c>
      <c r="F20">
        <v>242.71647030004283</v>
      </c>
      <c r="G20">
        <v>1.5812683037131439</v>
      </c>
      <c r="H20">
        <v>7.6117287367295325E-2</v>
      </c>
      <c r="I20">
        <v>133.16605713292719</v>
      </c>
      <c r="J20">
        <v>0.80882173513332467</v>
      </c>
      <c r="K20">
        <v>0.10248841985836658</v>
      </c>
      <c r="L20">
        <v>179.30195946770809</v>
      </c>
      <c r="M20">
        <v>5.6202445136311789</v>
      </c>
      <c r="N20">
        <v>0.14807129887301904</v>
      </c>
      <c r="O20">
        <v>259.04852534121295</v>
      </c>
      <c r="P20">
        <v>1.8419949352754734</v>
      </c>
      <c r="Q20">
        <v>2.1065601060994543E-2</v>
      </c>
      <c r="R20">
        <v>36.853954357195704</v>
      </c>
      <c r="S20">
        <v>0.17705607285449998</v>
      </c>
      <c r="T20">
        <v>1.6651373563795436E-4</v>
      </c>
      <c r="U20">
        <v>0.29131329294990449</v>
      </c>
      <c r="V20">
        <v>2.2680552735196194E-3</v>
      </c>
    </row>
    <row r="21" spans="1:22" x14ac:dyDescent="0.2">
      <c r="A21">
        <v>1900</v>
      </c>
      <c r="B21">
        <v>1.2188377184612555E-2</v>
      </c>
      <c r="C21">
        <v>1850.0144057</v>
      </c>
      <c r="D21">
        <v>0.27582326303118709</v>
      </c>
      <c r="E21">
        <v>0.13817418534853584</v>
      </c>
      <c r="F21">
        <v>255.62423339065319</v>
      </c>
      <c r="G21">
        <v>1.6731230404340456</v>
      </c>
      <c r="H21">
        <v>7.374074288803148E-2</v>
      </c>
      <c r="I21">
        <v>136.42143662987806</v>
      </c>
      <c r="J21">
        <v>0.82487206932155055</v>
      </c>
      <c r="K21">
        <v>0.10148092561316205</v>
      </c>
      <c r="L21">
        <v>187.74117428811991</v>
      </c>
      <c r="M21">
        <v>5.728537745565446</v>
      </c>
      <c r="N21">
        <v>0.15259485873329368</v>
      </c>
      <c r="O21">
        <v>282.30268689234975</v>
      </c>
      <c r="P21">
        <v>1.9825082732757129</v>
      </c>
      <c r="Q21">
        <v>2.1643719015171689E-2</v>
      </c>
      <c r="R21">
        <v>40.041191970990639</v>
      </c>
      <c r="S21">
        <v>0.19124089966246857</v>
      </c>
      <c r="T21">
        <v>1.0375966955966377E-4</v>
      </c>
      <c r="U21">
        <v>0.19195688341604975</v>
      </c>
      <c r="V21">
        <v>1.8764690430198175E-3</v>
      </c>
    </row>
    <row r="22" spans="1:22" x14ac:dyDescent="0.2">
      <c r="A22">
        <v>2000</v>
      </c>
      <c r="B22">
        <v>1.1862918923420156E-2</v>
      </c>
      <c r="C22">
        <v>1949.5198978999999</v>
      </c>
      <c r="D22">
        <v>0.27949192557507041</v>
      </c>
      <c r="E22">
        <v>0.13083016001344652</v>
      </c>
      <c r="F22">
        <v>255.05600019165493</v>
      </c>
      <c r="G22">
        <v>1.6730700626105024</v>
      </c>
      <c r="H22">
        <v>7.2919418522129492E-2</v>
      </c>
      <c r="I22">
        <v>142.15785735218924</v>
      </c>
      <c r="J22">
        <v>0.87687345339145972</v>
      </c>
      <c r="K22">
        <v>0.10038402470808676</v>
      </c>
      <c r="L22">
        <v>195.70065359970036</v>
      </c>
      <c r="M22">
        <v>5.8893576479993888</v>
      </c>
      <c r="N22">
        <v>0.15779606583237074</v>
      </c>
      <c r="O22">
        <v>307.62657015054509</v>
      </c>
      <c r="P22">
        <v>2.1406928143381969</v>
      </c>
      <c r="Q22">
        <v>2.1150675792238116E-2</v>
      </c>
      <c r="R22">
        <v>41.233663311000051</v>
      </c>
      <c r="S22">
        <v>0.19743918311512143</v>
      </c>
      <c r="T22">
        <v>1.6115924237473819E-4</v>
      </c>
      <c r="U22">
        <v>0.31418314974004097</v>
      </c>
      <c r="V22">
        <v>1.7057947299502763E-3</v>
      </c>
    </row>
    <row r="23" spans="1:22" x14ac:dyDescent="0.2">
      <c r="A23">
        <v>2100</v>
      </c>
      <c r="B23">
        <v>1.1341075400143646E-2</v>
      </c>
      <c r="C23">
        <v>2049.5413963000001</v>
      </c>
      <c r="D23">
        <v>0.27992791607257833</v>
      </c>
      <c r="E23">
        <v>0.12758398766696302</v>
      </c>
      <c r="F23">
        <v>261.48866422846936</v>
      </c>
      <c r="G23">
        <v>1.716424597744248</v>
      </c>
      <c r="H23">
        <v>7.0798053728284377E-2</v>
      </c>
      <c r="I23">
        <v>145.10354189359037</v>
      </c>
      <c r="J23">
        <v>0.88872495236597393</v>
      </c>
      <c r="K23">
        <v>9.6736847768695136E-2</v>
      </c>
      <c r="L23">
        <v>198.26617404951199</v>
      </c>
      <c r="M23">
        <v>5.9023881810845218</v>
      </c>
      <c r="N23">
        <v>0.16231519571629438</v>
      </c>
      <c r="O23">
        <v>332.67171286908177</v>
      </c>
      <c r="P23">
        <v>2.2794363338318675</v>
      </c>
      <c r="Q23">
        <v>2.0777337115970171E-2</v>
      </c>
      <c r="R23">
        <v>42.584012524061322</v>
      </c>
      <c r="S23">
        <v>0.19362096084254438</v>
      </c>
      <c r="T23">
        <v>9.8535471618608266E-5</v>
      </c>
      <c r="U23">
        <v>0.20195252808628142</v>
      </c>
      <c r="V23">
        <v>2.2233140769564921E-3</v>
      </c>
    </row>
    <row r="24" spans="1:22" x14ac:dyDescent="0.2">
      <c r="A24">
        <v>2200</v>
      </c>
      <c r="B24">
        <v>1.0796331828638246E-2</v>
      </c>
      <c r="C24">
        <v>2149.3183153999998</v>
      </c>
      <c r="D24">
        <v>0.28549709024781517</v>
      </c>
      <c r="E24">
        <v>0.12115217112411621</v>
      </c>
      <c r="F24">
        <v>260.39458034753795</v>
      </c>
      <c r="G24">
        <v>1.7114715859303546</v>
      </c>
      <c r="H24">
        <v>7.0471087878665489E-2</v>
      </c>
      <c r="I24">
        <v>151.46479988377865</v>
      </c>
      <c r="J24">
        <v>0.93388498004398079</v>
      </c>
      <c r="K24">
        <v>9.6685592735501535E-2</v>
      </c>
      <c r="L24">
        <v>207.80811530171863</v>
      </c>
      <c r="M24">
        <v>6.1548170635556563</v>
      </c>
      <c r="N24">
        <v>0.16555825175529837</v>
      </c>
      <c r="O24">
        <v>355.83738276326693</v>
      </c>
      <c r="P24">
        <v>2.4150365430801761</v>
      </c>
      <c r="Q24">
        <v>2.3136494707035195E-2</v>
      </c>
      <c r="R24">
        <v>49.7276918279859</v>
      </c>
      <c r="S24">
        <v>0.23123586376367158</v>
      </c>
      <c r="T24">
        <v>1.1675104998002886E-4</v>
      </c>
      <c r="U24">
        <v>0.25093517006425681</v>
      </c>
      <c r="V24">
        <v>3.5945434436431404E-3</v>
      </c>
    </row>
    <row r="25" spans="1:22" x14ac:dyDescent="0.2">
      <c r="A25">
        <v>2300</v>
      </c>
      <c r="B25">
        <v>1.0381355197096551E-2</v>
      </c>
      <c r="C25">
        <v>2249.4706289999999</v>
      </c>
      <c r="D25">
        <v>0.28545089077301822</v>
      </c>
      <c r="E25">
        <v>0.11882537409958743</v>
      </c>
      <c r="F25">
        <v>267.29418901695925</v>
      </c>
      <c r="G25">
        <v>1.7657262728626968</v>
      </c>
      <c r="H25">
        <v>6.960720024810578E-2</v>
      </c>
      <c r="I25">
        <v>156.57935252503546</v>
      </c>
      <c r="J25">
        <v>0.95294459929561681</v>
      </c>
      <c r="K25">
        <v>9.4317832842197857E-2</v>
      </c>
      <c r="L25">
        <v>212.16519476945567</v>
      </c>
      <c r="M25">
        <v>6.3129293860702331</v>
      </c>
      <c r="N25">
        <v>0.16703018941788197</v>
      </c>
      <c r="O25">
        <v>375.72950525183211</v>
      </c>
      <c r="P25">
        <v>2.4855394452466526</v>
      </c>
      <c r="Q25">
        <v>2.3876278876305015E-2</v>
      </c>
      <c r="R25">
        <v>53.708988062061252</v>
      </c>
      <c r="S25">
        <v>0.23296364499429112</v>
      </c>
      <c r="T25">
        <v>2.2658963663334242E-4</v>
      </c>
      <c r="U25">
        <v>0.50970673244248621</v>
      </c>
      <c r="V25">
        <v>1.6913423820721953E-3</v>
      </c>
    </row>
    <row r="26" spans="1:22" x14ac:dyDescent="0.2">
      <c r="A26">
        <v>2400</v>
      </c>
      <c r="B26">
        <v>1.0167621413626917E-2</v>
      </c>
      <c r="C26">
        <v>2349.2462685999999</v>
      </c>
      <c r="D26">
        <v>0.29017120625657394</v>
      </c>
      <c r="E26">
        <v>0.11396748964364653</v>
      </c>
      <c r="F26">
        <v>267.73769978704576</v>
      </c>
      <c r="G26">
        <v>1.7730486034105715</v>
      </c>
      <c r="H26">
        <v>6.7916313263629929E-2</v>
      </c>
      <c r="I26">
        <v>159.5521455116513</v>
      </c>
      <c r="J26">
        <v>0.96276245446329412</v>
      </c>
      <c r="K26">
        <v>9.2202317407071854E-2</v>
      </c>
      <c r="L26">
        <v>216.60595012483637</v>
      </c>
      <c r="M26">
        <v>6.1758724847275692</v>
      </c>
      <c r="N26">
        <v>0.17430301315254765</v>
      </c>
      <c r="O26">
        <v>409.48070325435924</v>
      </c>
      <c r="P26">
        <v>2.7321195233701214</v>
      </c>
      <c r="Q26">
        <v>2.341628428359098E-2</v>
      </c>
      <c r="R26">
        <v>55.010618477702927</v>
      </c>
      <c r="S26">
        <v>0.23357915388407044</v>
      </c>
      <c r="T26">
        <v>2.4959141336351184E-4</v>
      </c>
      <c r="U26">
        <v>0.58635169651883035</v>
      </c>
      <c r="V26">
        <v>2.7874126290676998E-3</v>
      </c>
    </row>
    <row r="27" spans="1:22" x14ac:dyDescent="0.2">
      <c r="A27">
        <v>2500</v>
      </c>
      <c r="B27">
        <v>9.7866478840008472E-3</v>
      </c>
      <c r="C27">
        <v>2450.0428523999999</v>
      </c>
      <c r="D27">
        <v>0.28505543847103543</v>
      </c>
      <c r="E27">
        <v>0.11055976358481066</v>
      </c>
      <c r="F27">
        <v>270.87615853399916</v>
      </c>
      <c r="G27">
        <v>1.7838930651520397</v>
      </c>
      <c r="H27">
        <v>6.5958110361347577E-2</v>
      </c>
      <c r="I27">
        <v>161.60019684862999</v>
      </c>
      <c r="J27">
        <v>1.0088732419539685</v>
      </c>
      <c r="K27">
        <v>8.9829214233644386E-2</v>
      </c>
      <c r="L27">
        <v>220.08542426984877</v>
      </c>
      <c r="M27">
        <v>6.3299405318955957</v>
      </c>
      <c r="N27">
        <v>0.17186951747684803</v>
      </c>
      <c r="O27">
        <v>421.08768283958841</v>
      </c>
      <c r="P27">
        <v>2.7878788984468987</v>
      </c>
      <c r="Q27">
        <v>2.3117814576394495E-2</v>
      </c>
      <c r="R27">
        <v>56.639636366003863</v>
      </c>
      <c r="S27">
        <v>0.24295331694997468</v>
      </c>
      <c r="T27">
        <v>2.3889218414847627E-4</v>
      </c>
      <c r="U27">
        <v>0.58529608826719881</v>
      </c>
      <c r="V27">
        <v>4.936603269148414E-3</v>
      </c>
    </row>
    <row r="28" spans="1:22" x14ac:dyDescent="0.2">
      <c r="A28">
        <v>2600</v>
      </c>
      <c r="B28">
        <v>9.7255810887238083E-3</v>
      </c>
      <c r="C28">
        <v>2549.9037954</v>
      </c>
      <c r="D28">
        <v>0.29050998407418821</v>
      </c>
      <c r="E28">
        <v>0.10909835589958254</v>
      </c>
      <c r="F28">
        <v>278.19031178024551</v>
      </c>
      <c r="G28">
        <v>1.8305917013332642</v>
      </c>
      <c r="H28">
        <v>6.6393838699571925E-2</v>
      </c>
      <c r="I28">
        <v>169.29790129121386</v>
      </c>
      <c r="J28">
        <v>1.0188418780400466</v>
      </c>
      <c r="K28">
        <v>9.1323664023265999E-2</v>
      </c>
      <c r="L28">
        <v>232.8665575027604</v>
      </c>
      <c r="M28">
        <v>6.5535216384165951</v>
      </c>
      <c r="N28">
        <v>0.17689604166294021</v>
      </c>
      <c r="O28">
        <v>451.06788802756779</v>
      </c>
      <c r="P28">
        <v>2.9769390369462108</v>
      </c>
      <c r="Q28">
        <v>2.1928071527175096E-2</v>
      </c>
      <c r="R28">
        <v>55.91447281294645</v>
      </c>
      <c r="S28">
        <v>0.24697268464124139</v>
      </c>
      <c r="T28">
        <v>3.6220686080689582E-4</v>
      </c>
      <c r="U28">
        <v>0.92359264909142313</v>
      </c>
      <c r="V28">
        <v>5.5064110744273949E-3</v>
      </c>
    </row>
    <row r="29" spans="1:22" x14ac:dyDescent="0.2">
      <c r="A29">
        <v>2700</v>
      </c>
      <c r="B29">
        <v>9.3293408602784789E-3</v>
      </c>
      <c r="C29">
        <v>2649.7600634999999</v>
      </c>
      <c r="D29">
        <v>0.29343878991009326</v>
      </c>
      <c r="E29">
        <v>0.10567127869662173</v>
      </c>
      <c r="F29">
        <v>280.00353414928657</v>
      </c>
      <c r="G29">
        <v>1.8429220462671949</v>
      </c>
      <c r="H29">
        <v>6.5669137748319339E-2</v>
      </c>
      <c r="I29">
        <v>174.00745860997691</v>
      </c>
      <c r="J29">
        <v>1.0740282532964114</v>
      </c>
      <c r="K29">
        <v>8.9866306164887555E-2</v>
      </c>
      <c r="L29">
        <v>238.12414912998287</v>
      </c>
      <c r="M29">
        <v>6.6688681341163836</v>
      </c>
      <c r="N29">
        <v>0.17983250126161832</v>
      </c>
      <c r="O29">
        <v>476.51297996234956</v>
      </c>
      <c r="P29">
        <v>3.1072274191148637</v>
      </c>
      <c r="Q29">
        <v>2.3482683753161641E-2</v>
      </c>
      <c r="R29">
        <v>62.223477592928006</v>
      </c>
      <c r="S29">
        <v>0.2719140522986912</v>
      </c>
      <c r="T29">
        <v>2.5729873042575947E-4</v>
      </c>
      <c r="U29">
        <v>0.68177990027142976</v>
      </c>
      <c r="V29">
        <v>3.207130130117523E-3</v>
      </c>
    </row>
    <row r="30" spans="1:22" x14ac:dyDescent="0.2">
      <c r="A30">
        <v>2800</v>
      </c>
      <c r="B30">
        <v>8.9442036855198834E-3</v>
      </c>
      <c r="C30">
        <v>2749.5662358</v>
      </c>
      <c r="D30">
        <v>0.29073331193882274</v>
      </c>
      <c r="E30">
        <v>0.10429456002581099</v>
      </c>
      <c r="F30">
        <v>286.76480082458625</v>
      </c>
      <c r="G30">
        <v>1.8918232009929217</v>
      </c>
      <c r="H30">
        <v>6.5698584072961932E-2</v>
      </c>
      <c r="I30">
        <v>180.64260850688379</v>
      </c>
      <c r="J30">
        <v>1.1131504992018748</v>
      </c>
      <c r="K30">
        <v>8.6209270022736387E-2</v>
      </c>
      <c r="L30">
        <v>237.03809806748106</v>
      </c>
      <c r="M30">
        <v>6.6709873245921569</v>
      </c>
      <c r="N30">
        <v>0.18090652879894331</v>
      </c>
      <c r="O30">
        <v>497.41448342135487</v>
      </c>
      <c r="P30">
        <v>3.2392141092880968</v>
      </c>
      <c r="Q30">
        <v>2.3322185826725291E-2</v>
      </c>
      <c r="R30">
        <v>64.125894694217166</v>
      </c>
      <c r="S30">
        <v>0.27297691657594964</v>
      </c>
      <c r="T30">
        <v>2.9532729041775176E-4</v>
      </c>
      <c r="U30">
        <v>0.8120219462429511</v>
      </c>
      <c r="V30">
        <v>3.7503180706183648E-3</v>
      </c>
    </row>
    <row r="31" spans="1:22" x14ac:dyDescent="0.2">
      <c r="A31">
        <v>2900</v>
      </c>
      <c r="B31">
        <v>8.6076423706407511E-3</v>
      </c>
      <c r="C31">
        <v>2849.7503250999998</v>
      </c>
      <c r="D31">
        <v>0.29914906269020058</v>
      </c>
      <c r="E31">
        <v>0.10148819662302251</v>
      </c>
      <c r="F31">
        <v>289.21602132027112</v>
      </c>
      <c r="G31">
        <v>1.9198240679348628</v>
      </c>
      <c r="H31">
        <v>6.3688257420393107E-2</v>
      </c>
      <c r="I31">
        <v>181.49563228881772</v>
      </c>
      <c r="J31">
        <v>1.1371207404186734</v>
      </c>
      <c r="K31">
        <v>8.7886665057859262E-2</v>
      </c>
      <c r="L31">
        <v>250.45505232058923</v>
      </c>
      <c r="M31">
        <v>6.8024544769806683</v>
      </c>
      <c r="N31">
        <v>0.18810369491572676</v>
      </c>
      <c r="O31">
        <v>536.04856573860354</v>
      </c>
      <c r="P31">
        <v>3.4875601144743644</v>
      </c>
      <c r="Q31">
        <v>2.295752362519889E-2</v>
      </c>
      <c r="R31">
        <v>65.423210414401467</v>
      </c>
      <c r="S31">
        <v>0.26729320590048289</v>
      </c>
      <c r="T31">
        <v>2.0117909141566316E-4</v>
      </c>
      <c r="U31">
        <v>0.57331018116510868</v>
      </c>
      <c r="V31">
        <v>3.0568041623024816E-3</v>
      </c>
    </row>
    <row r="32" spans="1:22" x14ac:dyDescent="0.2">
      <c r="A32">
        <v>3000</v>
      </c>
      <c r="B32">
        <v>8.4258298665204762E-3</v>
      </c>
      <c r="C32">
        <v>2949.8913481</v>
      </c>
      <c r="D32">
        <v>0.29970127443370526</v>
      </c>
      <c r="E32">
        <v>9.7430955827448651E-2</v>
      </c>
      <c r="F32">
        <v>287.41073363250405</v>
      </c>
      <c r="G32">
        <v>1.8883700380351467</v>
      </c>
      <c r="H32">
        <v>6.329156659297494E-2</v>
      </c>
      <c r="I32">
        <v>186.70324470031179</v>
      </c>
      <c r="J32">
        <v>1.1697428609821943</v>
      </c>
      <c r="K32">
        <v>8.5861805732279264E-2</v>
      </c>
      <c r="L32">
        <v>253.28299786189359</v>
      </c>
      <c r="M32">
        <v>6.9185815949516156</v>
      </c>
      <c r="N32">
        <v>0.18878351362450502</v>
      </c>
      <c r="O32">
        <v>556.89085350484584</v>
      </c>
      <c r="P32">
        <v>3.570093353429924</v>
      </c>
      <c r="Q32">
        <v>2.4683467074953402E-2</v>
      </c>
      <c r="R32">
        <v>72.813545965516255</v>
      </c>
      <c r="S32">
        <v>0.30644798948352858</v>
      </c>
      <c r="T32">
        <v>3.7248800196754849E-4</v>
      </c>
      <c r="U32">
        <v>1.0987991342751271</v>
      </c>
      <c r="V32">
        <v>3.6610910481469261E-3</v>
      </c>
    </row>
    <row r="33" spans="1:22" x14ac:dyDescent="0.2">
      <c r="A33">
        <v>3100</v>
      </c>
      <c r="B33">
        <v>8.3016144534001374E-3</v>
      </c>
      <c r="C33">
        <v>3049.7424939000002</v>
      </c>
      <c r="D33">
        <v>0.29730227447000684</v>
      </c>
      <c r="E33">
        <v>9.6452471715368276E-2</v>
      </c>
      <c r="F33">
        <v>294.1552016320465</v>
      </c>
      <c r="G33">
        <v>1.9454556529856344</v>
      </c>
      <c r="H33">
        <v>6.1422850322818308E-2</v>
      </c>
      <c r="I33">
        <v>187.32387672595834</v>
      </c>
      <c r="J33">
        <v>1.1627388065695459</v>
      </c>
      <c r="K33">
        <v>8.4726037654414402E-2</v>
      </c>
      <c r="L33">
        <v>258.39259737443911</v>
      </c>
      <c r="M33">
        <v>6.9157519052313887</v>
      </c>
      <c r="N33">
        <v>0.19038677563736162</v>
      </c>
      <c r="O33">
        <v>580.63063993786704</v>
      </c>
      <c r="P33">
        <v>3.7485068933556289</v>
      </c>
      <c r="Q33">
        <v>2.1966550927822997E-2</v>
      </c>
      <c r="R33">
        <v>66.992323809000268</v>
      </c>
      <c r="S33">
        <v>0.27920466233779112</v>
      </c>
      <c r="T33">
        <v>2.2291025040780904E-4</v>
      </c>
      <c r="U33">
        <v>0.67981886299458505</v>
      </c>
      <c r="V33">
        <v>1.8118859409094741E-3</v>
      </c>
    </row>
    <row r="34" spans="1:22" x14ac:dyDescent="0.2">
      <c r="A34">
        <v>3200</v>
      </c>
      <c r="B34">
        <v>7.9130075743644376E-3</v>
      </c>
      <c r="C34">
        <v>3149.7777961000002</v>
      </c>
      <c r="D34">
        <v>0.29887207843361835</v>
      </c>
      <c r="E34">
        <v>9.3582277519296583E-2</v>
      </c>
      <c r="F34">
        <v>294.76337983874856</v>
      </c>
      <c r="G34">
        <v>1.9690679796016883</v>
      </c>
      <c r="H34">
        <v>6.0955520473484244E-2</v>
      </c>
      <c r="I34">
        <v>191.99634493709965</v>
      </c>
      <c r="J34">
        <v>1.235352702332855</v>
      </c>
      <c r="K34">
        <v>8.0946426040916022E-2</v>
      </c>
      <c r="L34">
        <v>254.96325541732813</v>
      </c>
      <c r="M34">
        <v>6.854107424795842</v>
      </c>
      <c r="N34">
        <v>0.19213590443971507</v>
      </c>
      <c r="O34">
        <v>605.18540563780596</v>
      </c>
      <c r="P34">
        <v>3.8885447836766094</v>
      </c>
      <c r="Q34">
        <v>2.5534465567510403E-2</v>
      </c>
      <c r="R34">
        <v>80.427892679824254</v>
      </c>
      <c r="S34">
        <v>0.32544079534754067</v>
      </c>
      <c r="T34">
        <v>2.5528238547686734E-4</v>
      </c>
      <c r="U34">
        <v>0.80408278951047785</v>
      </c>
      <c r="V34">
        <v>4.5308310115846637E-3</v>
      </c>
    </row>
    <row r="35" spans="1:22" x14ac:dyDescent="0.2">
      <c r="A35">
        <v>3300</v>
      </c>
      <c r="B35">
        <v>7.5445249801359433E-3</v>
      </c>
      <c r="C35">
        <v>3249.6141643000001</v>
      </c>
      <c r="D35">
        <v>0.29363664248088078</v>
      </c>
      <c r="E35">
        <v>9.2799652650713493E-2</v>
      </c>
      <c r="F35">
        <v>301.56306569587861</v>
      </c>
      <c r="G35">
        <v>1.9841881531470902</v>
      </c>
      <c r="H35">
        <v>6.0871035131085362E-2</v>
      </c>
      <c r="I35">
        <v>197.8073779575779</v>
      </c>
      <c r="J35">
        <v>1.2345349794189824</v>
      </c>
      <c r="K35">
        <v>8.0399354790410077E-2</v>
      </c>
      <c r="L35">
        <v>261.26688212749764</v>
      </c>
      <c r="M35">
        <v>6.8922180818322127</v>
      </c>
      <c r="N35">
        <v>0.18990449022669842</v>
      </c>
      <c r="O35">
        <v>617.11632130485009</v>
      </c>
      <c r="P35">
        <v>3.874292600627967</v>
      </c>
      <c r="Q35">
        <v>2.279405341581749E-2</v>
      </c>
      <c r="R35">
        <v>74.071878841851316</v>
      </c>
      <c r="S35">
        <v>0.30740290724451713</v>
      </c>
      <c r="T35">
        <v>5.3874404795479656E-4</v>
      </c>
      <c r="U35">
        <v>1.7507102891662254</v>
      </c>
      <c r="V35">
        <v>6.4738937921265602E-3</v>
      </c>
    </row>
    <row r="36" spans="1:22" x14ac:dyDescent="0.2">
      <c r="A36">
        <v>3400</v>
      </c>
      <c r="B36">
        <v>7.601428130280456E-3</v>
      </c>
      <c r="C36">
        <v>3349.3341721000002</v>
      </c>
      <c r="D36">
        <v>0.29793802618709153</v>
      </c>
      <c r="E36">
        <v>9.1151707614677543E-2</v>
      </c>
      <c r="F36">
        <v>305.29752915910728</v>
      </c>
      <c r="G36">
        <v>2.0073866624182046</v>
      </c>
      <c r="H36">
        <v>6.1635156309100041E-2</v>
      </c>
      <c r="I36">
        <v>206.43673522879368</v>
      </c>
      <c r="J36">
        <v>1.3257485856788032</v>
      </c>
      <c r="K36">
        <v>8.0554111926723584E-2</v>
      </c>
      <c r="L36">
        <v>269.80263977934351</v>
      </c>
      <c r="M36">
        <v>7.1134757606632055</v>
      </c>
      <c r="N36">
        <v>0.19401446743855874</v>
      </c>
      <c r="O36">
        <v>649.81928567374757</v>
      </c>
      <c r="P36">
        <v>4.1128113025732906</v>
      </c>
      <c r="Q36">
        <v>2.3091299164664906E-2</v>
      </c>
      <c r="R36">
        <v>77.340477370396357</v>
      </c>
      <c r="S36">
        <v>0.3216102469457921</v>
      </c>
      <c r="T36">
        <v>2.7814765714430936E-4</v>
      </c>
      <c r="U36">
        <v>0.93160945296299003</v>
      </c>
      <c r="V36">
        <v>5.3072817460653766E-3</v>
      </c>
    </row>
    <row r="37" spans="1:22" x14ac:dyDescent="0.2">
      <c r="A37">
        <v>3500</v>
      </c>
      <c r="B37">
        <v>7.3536912448951977E-3</v>
      </c>
      <c r="C37">
        <v>3449.7297183999999</v>
      </c>
      <c r="D37">
        <v>0.30260304837792273</v>
      </c>
      <c r="E37">
        <v>8.8490744348763306E-2</v>
      </c>
      <c r="F37">
        <v>305.26915058326563</v>
      </c>
      <c r="G37">
        <v>2.0523483910123783</v>
      </c>
      <c r="H37">
        <v>5.8502967774451659E-2</v>
      </c>
      <c r="I37">
        <v>201.8194265461234</v>
      </c>
      <c r="J37">
        <v>1.2563157824544902</v>
      </c>
      <c r="K37">
        <v>7.6918894439650401E-2</v>
      </c>
      <c r="L37">
        <v>265.34939605493452</v>
      </c>
      <c r="M37">
        <v>7.0954092445356105</v>
      </c>
      <c r="N37">
        <v>0.19911739885287161</v>
      </c>
      <c r="O37">
        <v>686.90120827325723</v>
      </c>
      <c r="P37">
        <v>4.328177374504385</v>
      </c>
      <c r="Q37">
        <v>2.6326810460683813E-2</v>
      </c>
      <c r="R37">
        <v>90.820380436904941</v>
      </c>
      <c r="S37">
        <v>0.36627969304310659</v>
      </c>
      <c r="T37">
        <v>2.3994462471687515E-4</v>
      </c>
      <c r="U37">
        <v>0.8277441026561394</v>
      </c>
      <c r="V37">
        <v>2.029093108577898E-3</v>
      </c>
    </row>
    <row r="38" spans="1:22" x14ac:dyDescent="0.2">
      <c r="A38">
        <v>3600</v>
      </c>
      <c r="B38">
        <v>6.8838932857752536E-3</v>
      </c>
      <c r="C38">
        <v>3549.9143669</v>
      </c>
      <c r="D38">
        <v>0.29762344826672466</v>
      </c>
      <c r="E38">
        <v>8.8100457990782172E-2</v>
      </c>
      <c r="F38">
        <v>312.74908155194754</v>
      </c>
      <c r="G38">
        <v>2.0722371347130029</v>
      </c>
      <c r="H38">
        <v>5.9847922314466832E-2</v>
      </c>
      <c r="I38">
        <v>212.45499925324091</v>
      </c>
      <c r="J38">
        <v>1.3911188330982236</v>
      </c>
      <c r="K38">
        <v>7.7154543505009041E-2</v>
      </c>
      <c r="L38">
        <v>273.89202246004265</v>
      </c>
      <c r="M38">
        <v>7.3213813118722042</v>
      </c>
      <c r="N38">
        <v>0.19459668910249439</v>
      </c>
      <c r="O38">
        <v>690.80158239611751</v>
      </c>
      <c r="P38">
        <v>4.359560200227051</v>
      </c>
      <c r="Q38">
        <v>2.5539749711860113E-2</v>
      </c>
      <c r="R38">
        <v>90.66392442916235</v>
      </c>
      <c r="S38">
        <v>0.37015280222288371</v>
      </c>
      <c r="T38">
        <v>3.3246594736113084E-4</v>
      </c>
      <c r="U38">
        <v>1.1802256430422975</v>
      </c>
      <c r="V38">
        <v>2.6289410436088788E-3</v>
      </c>
    </row>
    <row r="39" spans="1:22" x14ac:dyDescent="0.2">
      <c r="A39">
        <v>3700</v>
      </c>
      <c r="B39">
        <v>6.7825779208838029E-3</v>
      </c>
      <c r="C39">
        <v>3649.4160367999998</v>
      </c>
      <c r="D39">
        <v>0.29871505223678213</v>
      </c>
      <c r="E39">
        <v>8.3366924282844285E-2</v>
      </c>
      <c r="F39">
        <v>304.24059041650327</v>
      </c>
      <c r="G39">
        <v>2.022605751433455</v>
      </c>
      <c r="H39">
        <v>5.8034506615154052E-2</v>
      </c>
      <c r="I39">
        <v>211.79205912911888</v>
      </c>
      <c r="J39">
        <v>1.3812488492578852</v>
      </c>
      <c r="K39">
        <v>7.3914712247359474E-2</v>
      </c>
      <c r="L39">
        <v>269.74553623097103</v>
      </c>
      <c r="M39">
        <v>7.0974977325728776</v>
      </c>
      <c r="N39">
        <v>0.19809568509860745</v>
      </c>
      <c r="O39">
        <v>722.93357001974073</v>
      </c>
      <c r="P39">
        <v>4.4826361110680564</v>
      </c>
      <c r="Q39">
        <v>2.6298291465430855E-2</v>
      </c>
      <c r="R39">
        <v>95.973406614383933</v>
      </c>
      <c r="S39">
        <v>0.37524258564830115</v>
      </c>
      <c r="T39">
        <v>4.0636342538433309E-4</v>
      </c>
      <c r="U39">
        <v>1.4829892013665653</v>
      </c>
      <c r="V39">
        <v>4.4572065227644637E-3</v>
      </c>
    </row>
    <row r="40" spans="1:22" x14ac:dyDescent="0.2">
      <c r="A40">
        <v>3800</v>
      </c>
      <c r="B40">
        <v>6.4876530573299241E-3</v>
      </c>
      <c r="C40">
        <v>3749.9411071999998</v>
      </c>
      <c r="D40">
        <v>0.29961571744454002</v>
      </c>
      <c r="E40">
        <v>8.301926883058533E-2</v>
      </c>
      <c r="F40">
        <v>311.31736887749958</v>
      </c>
      <c r="G40">
        <v>2.0844145983653362</v>
      </c>
      <c r="H40">
        <v>5.9370138610197985E-2</v>
      </c>
      <c r="I40">
        <v>222.63452331454329</v>
      </c>
      <c r="J40">
        <v>1.4362332294774025</v>
      </c>
      <c r="K40">
        <v>7.6763618521069513E-2</v>
      </c>
      <c r="L40">
        <v>287.85904862957784</v>
      </c>
      <c r="M40">
        <v>7.4687998511518972</v>
      </c>
      <c r="N40">
        <v>0.1989677347667653</v>
      </c>
      <c r="O40">
        <v>746.11728760835979</v>
      </c>
      <c r="P40">
        <v>4.6305646988087465</v>
      </c>
      <c r="Q40">
        <v>2.3461413877106093E-2</v>
      </c>
      <c r="R40">
        <v>87.978920330792661</v>
      </c>
      <c r="S40">
        <v>0.3543508461608621</v>
      </c>
      <c r="T40">
        <v>4.2295027959912348E-4</v>
      </c>
      <c r="U40">
        <v>1.5860386397704866</v>
      </c>
      <c r="V40">
        <v>4.6046539456519389E-3</v>
      </c>
    </row>
    <row r="41" spans="1:22" x14ac:dyDescent="0.2">
      <c r="A41">
        <v>3900</v>
      </c>
      <c r="B41">
        <v>6.42242261692036E-3</v>
      </c>
      <c r="C41">
        <v>3849.4666763999999</v>
      </c>
      <c r="D41">
        <v>0.29531930230903863</v>
      </c>
      <c r="E41">
        <v>8.164642438503128E-2</v>
      </c>
      <c r="F41">
        <v>314.29518991739025</v>
      </c>
      <c r="G41">
        <v>2.1121995924477659</v>
      </c>
      <c r="H41">
        <v>5.8260050184228751E-2</v>
      </c>
      <c r="I41">
        <v>224.27012174958026</v>
      </c>
      <c r="J41">
        <v>1.4257891601852812</v>
      </c>
      <c r="K41">
        <v>7.3183796512455615E-2</v>
      </c>
      <c r="L41">
        <v>281.71858592713642</v>
      </c>
      <c r="M41">
        <v>7.3207951076752904</v>
      </c>
      <c r="N41">
        <v>0.19563769130593511</v>
      </c>
      <c r="O41">
        <v>753.10077333002721</v>
      </c>
      <c r="P41">
        <v>4.666636573371358</v>
      </c>
      <c r="Q41">
        <v>2.6385053468676475E-2</v>
      </c>
      <c r="R41">
        <v>101.56838408270232</v>
      </c>
      <c r="S41">
        <v>0.39419950905896162</v>
      </c>
      <c r="T41">
        <v>1.1276102197141118E-4</v>
      </c>
      <c r="U41">
        <v>0.43406979647575555</v>
      </c>
      <c r="V41">
        <v>2.1934997135818449E-3</v>
      </c>
    </row>
    <row r="42" spans="1:22" x14ac:dyDescent="0.2">
      <c r="A42">
        <v>4000</v>
      </c>
      <c r="B42">
        <v>6.2822465641253393E-3</v>
      </c>
      <c r="C42">
        <v>3949.4584844000001</v>
      </c>
      <c r="D42">
        <v>0.2944434068616068</v>
      </c>
      <c r="E42">
        <v>7.9194393820620906E-2</v>
      </c>
      <c r="F42">
        <v>312.77497059176619</v>
      </c>
      <c r="G42">
        <v>2.1184201115917802</v>
      </c>
      <c r="H42">
        <v>5.6786218368334432E-2</v>
      </c>
      <c r="I42">
        <v>224.27481193180955</v>
      </c>
      <c r="J42">
        <v>1.4189289268569543</v>
      </c>
      <c r="K42">
        <v>7.1351160831439123E-2</v>
      </c>
      <c r="L42">
        <v>281.79844751751619</v>
      </c>
      <c r="M42">
        <v>7.4456192219804151</v>
      </c>
      <c r="N42">
        <v>0.1970688168569</v>
      </c>
      <c r="O42">
        <v>778.31511074615344</v>
      </c>
      <c r="P42">
        <v>4.9281846394112332</v>
      </c>
      <c r="Q42">
        <v>2.571071820247495E-2</v>
      </c>
      <c r="R42">
        <v>101.54341414478222</v>
      </c>
      <c r="S42">
        <v>0.39025361297343464</v>
      </c>
      <c r="T42">
        <v>3.1271097079272876E-4</v>
      </c>
      <c r="U42">
        <v>1.2350389967623032</v>
      </c>
      <c r="V42">
        <v>6.5048345108361981E-3</v>
      </c>
    </row>
    <row r="43" spans="1:22" x14ac:dyDescent="0.2">
      <c r="A43">
        <v>4100</v>
      </c>
      <c r="B43">
        <v>6.0692067215111258E-3</v>
      </c>
      <c r="C43">
        <v>4049.8446926000001</v>
      </c>
      <c r="D43">
        <v>0.28895379260867005</v>
      </c>
      <c r="E43">
        <v>7.6700016027193896E-2</v>
      </c>
      <c r="F43">
        <v>310.62315283006615</v>
      </c>
      <c r="G43">
        <v>2.0690829997583342</v>
      </c>
      <c r="H43">
        <v>5.7076179836508902E-2</v>
      </c>
      <c r="I43">
        <v>231.14966398476872</v>
      </c>
      <c r="J43">
        <v>1.4770043575123952</v>
      </c>
      <c r="K43">
        <v>6.9814262151403239E-2</v>
      </c>
      <c r="L43">
        <v>282.73691904164548</v>
      </c>
      <c r="M43">
        <v>7.2776355902977858</v>
      </c>
      <c r="N43">
        <v>0.19470860882615262</v>
      </c>
      <c r="O43">
        <v>788.53962605812376</v>
      </c>
      <c r="P43">
        <v>4.8420705125808672</v>
      </c>
      <c r="Q43">
        <v>2.4034174529278765E-2</v>
      </c>
      <c r="R43">
        <v>97.33467415842172</v>
      </c>
      <c r="S43">
        <v>0.37996576374742813</v>
      </c>
      <c r="T43">
        <v>3.967471018354527E-4</v>
      </c>
      <c r="U43">
        <v>1.6067641446727399</v>
      </c>
      <c r="V43">
        <v>2.1013984477246677E-3</v>
      </c>
    </row>
    <row r="44" spans="1:22" x14ac:dyDescent="0.2">
      <c r="A44">
        <v>4200</v>
      </c>
      <c r="B44">
        <v>5.9769125877401465E-3</v>
      </c>
      <c r="C44">
        <v>4150.1403159000001</v>
      </c>
      <c r="D44">
        <v>0.29620562184558613</v>
      </c>
      <c r="E44">
        <v>7.6122944942690215E-2</v>
      </c>
      <c r="F44">
        <v>315.92090277169467</v>
      </c>
      <c r="G44">
        <v>2.1226394997294702</v>
      </c>
      <c r="H44">
        <v>5.5227416887310053E-2</v>
      </c>
      <c r="I44">
        <v>229.20152936704196</v>
      </c>
      <c r="J44">
        <v>1.453070926292471</v>
      </c>
      <c r="K44">
        <v>6.8397577898382689E-2</v>
      </c>
      <c r="L44">
        <v>283.85954554598879</v>
      </c>
      <c r="M44">
        <v>7.3600710033279393</v>
      </c>
      <c r="N44">
        <v>0.20185755577564582</v>
      </c>
      <c r="O44">
        <v>837.73718029354063</v>
      </c>
      <c r="P44">
        <v>5.1909909278886843</v>
      </c>
      <c r="Q44">
        <v>2.547583760511387E-2</v>
      </c>
      <c r="R44">
        <v>105.72830072630438</v>
      </c>
      <c r="S44">
        <v>0.38845324230313322</v>
      </c>
      <c r="T44">
        <v>4.7465056644375769E-4</v>
      </c>
      <c r="U44">
        <v>1.9698664517630105</v>
      </c>
      <c r="V44">
        <v>6.2634273680250759E-3</v>
      </c>
    </row>
    <row r="45" spans="1:22" x14ac:dyDescent="0.2">
      <c r="A45">
        <v>4300</v>
      </c>
      <c r="B45">
        <v>5.7215423529452586E-3</v>
      </c>
      <c r="C45">
        <v>4249.7327548000003</v>
      </c>
      <c r="D45">
        <v>0.28995838466322826</v>
      </c>
      <c r="E45">
        <v>7.6884706336210931E-2</v>
      </c>
      <c r="F45">
        <v>326.7394548601747</v>
      </c>
      <c r="G45">
        <v>2.1652183366308848</v>
      </c>
      <c r="H45">
        <v>5.6144612282881895E-2</v>
      </c>
      <c r="I45">
        <v>238.59959782410962</v>
      </c>
      <c r="J45">
        <v>1.5116419246239394</v>
      </c>
      <c r="K45">
        <v>6.8552012177081678E-2</v>
      </c>
      <c r="L45">
        <v>291.32773155639251</v>
      </c>
      <c r="M45">
        <v>7.4352024176616611</v>
      </c>
      <c r="N45">
        <v>0.19467927768417373</v>
      </c>
      <c r="O45">
        <v>827.33490305523787</v>
      </c>
      <c r="P45">
        <v>5.0423525554004023</v>
      </c>
      <c r="Q45">
        <v>2.6267137294737397E-2</v>
      </c>
      <c r="R45">
        <v>111.62831373627418</v>
      </c>
      <c r="S45">
        <v>0.43134813831297775</v>
      </c>
      <c r="T45">
        <v>4.5995750723544168E-4</v>
      </c>
      <c r="U45">
        <v>1.9546964843146146</v>
      </c>
      <c r="V45">
        <v>4.4629434334991051E-3</v>
      </c>
    </row>
    <row r="46" spans="1:22" x14ac:dyDescent="0.2">
      <c r="A46">
        <v>4400</v>
      </c>
      <c r="B46">
        <v>5.6826816650416886E-3</v>
      </c>
      <c r="C46">
        <v>4349.5593583</v>
      </c>
      <c r="D46">
        <v>0.29305328371124217</v>
      </c>
      <c r="E46">
        <v>7.5658203490398424E-2</v>
      </c>
      <c r="F46">
        <v>329.07984702382817</v>
      </c>
      <c r="G46">
        <v>2.2095236653445389</v>
      </c>
      <c r="H46">
        <v>5.3651578185383506E-2</v>
      </c>
      <c r="I46">
        <v>233.36072398379895</v>
      </c>
      <c r="J46">
        <v>1.4808833931929359</v>
      </c>
      <c r="K46">
        <v>6.8965156363269026E-2</v>
      </c>
      <c r="L46">
        <v>299.96804125647958</v>
      </c>
      <c r="M46">
        <v>7.6746696060814994</v>
      </c>
      <c r="N46">
        <v>0.19617382737104144</v>
      </c>
      <c r="O46">
        <v>853.26970669524201</v>
      </c>
      <c r="P46">
        <v>5.1475857170458772</v>
      </c>
      <c r="Q46">
        <v>2.7494539971551518E-2</v>
      </c>
      <c r="R46">
        <v>119.58913363541532</v>
      </c>
      <c r="S46">
        <v>0.45439370141245589</v>
      </c>
      <c r="T46">
        <v>4.1976000538018732E-4</v>
      </c>
      <c r="U46">
        <v>1.825771059641452</v>
      </c>
      <c r="V46">
        <v>7.1494013690560345E-3</v>
      </c>
    </row>
    <row r="47" spans="1:22" x14ac:dyDescent="0.2">
      <c r="A47">
        <v>4500</v>
      </c>
      <c r="B47">
        <v>5.475193349270842E-3</v>
      </c>
      <c r="C47">
        <v>4449.2447675000003</v>
      </c>
      <c r="D47">
        <v>0.29682179738977593</v>
      </c>
      <c r="E47">
        <v>7.2825184446863853E-2</v>
      </c>
      <c r="F47">
        <v>324.01707084243139</v>
      </c>
      <c r="G47">
        <v>2.1704006673578711</v>
      </c>
      <c r="H47">
        <v>5.3429405554669969E-2</v>
      </c>
      <c r="I47">
        <v>237.72050309475082</v>
      </c>
      <c r="J47">
        <v>1.5430698991308747</v>
      </c>
      <c r="K47">
        <v>6.7594089278024697E-2</v>
      </c>
      <c r="L47">
        <v>300.74264803417924</v>
      </c>
      <c r="M47">
        <v>7.7107864637569383</v>
      </c>
      <c r="N47">
        <v>0.20254928773521119</v>
      </c>
      <c r="O47">
        <v>901.19135861674033</v>
      </c>
      <c r="P47">
        <v>5.4121012201571084</v>
      </c>
      <c r="Q47">
        <v>2.5538687611310871E-2</v>
      </c>
      <c r="R47">
        <v>113.62787222344197</v>
      </c>
      <c r="S47">
        <v>0.43371705896840362</v>
      </c>
      <c r="T47">
        <v>1.1397327652291601E-3</v>
      </c>
      <c r="U47">
        <v>5.0709500420441467</v>
      </c>
      <c r="V47">
        <v>9.3013305447148271E-3</v>
      </c>
    </row>
    <row r="48" spans="1:22" x14ac:dyDescent="0.2">
      <c r="A48">
        <v>4600</v>
      </c>
      <c r="B48">
        <v>5.5154419188852537E-3</v>
      </c>
      <c r="C48">
        <v>4550.0467645999997</v>
      </c>
      <c r="D48">
        <v>0.30332430692776435</v>
      </c>
      <c r="E48">
        <v>7.2666366811295485E-2</v>
      </c>
      <c r="F48">
        <v>330.63536720497183</v>
      </c>
      <c r="G48">
        <v>2.1954040615515029</v>
      </c>
      <c r="H48">
        <v>5.282777439957221E-2</v>
      </c>
      <c r="I48">
        <v>240.36884398779222</v>
      </c>
      <c r="J48">
        <v>1.5496836113069716</v>
      </c>
      <c r="K48">
        <v>6.6824834021242396E-2</v>
      </c>
      <c r="L48">
        <v>304.05611983328595</v>
      </c>
      <c r="M48">
        <v>7.7452859101727602</v>
      </c>
      <c r="N48">
        <v>0.20976772689187259</v>
      </c>
      <c r="O48">
        <v>954.45296706186127</v>
      </c>
      <c r="P48">
        <v>5.7999513094760999</v>
      </c>
      <c r="Q48">
        <v>2.6308933291095248E-2</v>
      </c>
      <c r="R48">
        <v>119.70687680122516</v>
      </c>
      <c r="S48">
        <v>0.4470712415163165</v>
      </c>
      <c r="T48">
        <v>4.2281272355411821E-4</v>
      </c>
      <c r="U48">
        <v>1.9238176648391296</v>
      </c>
      <c r="V48">
        <v>7.8916839738299004E-3</v>
      </c>
    </row>
    <row r="49" spans="1:22" x14ac:dyDescent="0.2">
      <c r="A49">
        <v>4700</v>
      </c>
      <c r="B49">
        <v>5.1885957759820129E-3</v>
      </c>
      <c r="C49">
        <v>4649.9303509000001</v>
      </c>
      <c r="D49">
        <v>0.29511996117425432</v>
      </c>
      <c r="E49">
        <v>7.0690089282117799E-2</v>
      </c>
      <c r="F49">
        <v>328.70399166075038</v>
      </c>
      <c r="G49">
        <v>2.2023764210375107</v>
      </c>
      <c r="H49">
        <v>5.3700756618685438E-2</v>
      </c>
      <c r="I49">
        <v>249.7047780675195</v>
      </c>
      <c r="J49">
        <v>1.5707912877926746</v>
      </c>
      <c r="K49">
        <v>6.4790344866464178E-2</v>
      </c>
      <c r="L49">
        <v>301.27059103984982</v>
      </c>
      <c r="M49">
        <v>7.6846009789423224</v>
      </c>
      <c r="N49">
        <v>0.20501045784405542</v>
      </c>
      <c r="O49">
        <v>953.28435018097832</v>
      </c>
      <c r="P49">
        <v>5.6875192565783426</v>
      </c>
      <c r="Q49">
        <v>2.4716163359525135E-2</v>
      </c>
      <c r="R49">
        <v>114.92843816325843</v>
      </c>
      <c r="S49">
        <v>0.42736250800187486</v>
      </c>
      <c r="T49">
        <v>6.029951042095899E-4</v>
      </c>
      <c r="U49">
        <v>2.8038852365082807</v>
      </c>
      <c r="V49">
        <v>4.3784729647719546E-3</v>
      </c>
    </row>
    <row r="50" spans="1:22" x14ac:dyDescent="0.2">
      <c r="A50">
        <v>4800</v>
      </c>
      <c r="B50">
        <v>4.9450225357292798E-3</v>
      </c>
      <c r="C50">
        <v>4749.2588760999997</v>
      </c>
      <c r="D50">
        <v>0.29840647619044758</v>
      </c>
      <c r="E50">
        <v>6.906646363402523E-2</v>
      </c>
      <c r="F50">
        <v>328.01451545473219</v>
      </c>
      <c r="G50">
        <v>2.1929122369271554</v>
      </c>
      <c r="H50">
        <v>5.0974051041513549E-2</v>
      </c>
      <c r="I50">
        <v>242.08896435968265</v>
      </c>
      <c r="J50">
        <v>1.5633552814997187</v>
      </c>
      <c r="K50">
        <v>6.573055585060153E-2</v>
      </c>
      <c r="L50">
        <v>312.17142580445608</v>
      </c>
      <c r="M50">
        <v>7.7357549699418193</v>
      </c>
      <c r="N50">
        <v>0.20558854072064103</v>
      </c>
      <c r="O50">
        <v>976.3932018419506</v>
      </c>
      <c r="P50">
        <v>5.8161911479209989</v>
      </c>
      <c r="Q50">
        <v>2.6705525506613176E-2</v>
      </c>
      <c r="R50">
        <v>126.83145405319756</v>
      </c>
      <c r="S50">
        <v>0.47789075673494547</v>
      </c>
      <c r="T50">
        <v>3.8185411259186123E-4</v>
      </c>
      <c r="U50">
        <v>1.8135240336021856</v>
      </c>
      <c r="V50">
        <v>5.9762754516138293E-3</v>
      </c>
    </row>
    <row r="51" spans="1:22" x14ac:dyDescent="0.2">
      <c r="A51">
        <v>4900</v>
      </c>
      <c r="B51">
        <v>5.0005378041629509E-3</v>
      </c>
      <c r="C51">
        <v>4849.2738304000004</v>
      </c>
      <c r="D51">
        <v>0.28308250237421595</v>
      </c>
      <c r="E51">
        <v>6.8135113601253169E-2</v>
      </c>
      <c r="F51">
        <v>330.40582331788812</v>
      </c>
      <c r="G51">
        <v>2.213281321837798</v>
      </c>
      <c r="H51">
        <v>5.288434214880585E-2</v>
      </c>
      <c r="I51">
        <v>256.45065642012395</v>
      </c>
      <c r="J51">
        <v>1.6036382040349684</v>
      </c>
      <c r="K51">
        <v>6.1978085476010157E-2</v>
      </c>
      <c r="L51">
        <v>300.54870795711042</v>
      </c>
      <c r="M51">
        <v>7.6393654116391518</v>
      </c>
      <c r="N51">
        <v>0.19584832608663366</v>
      </c>
      <c r="O51">
        <v>949.72216241955834</v>
      </c>
      <c r="P51">
        <v>5.6690290957681722</v>
      </c>
      <c r="Q51">
        <v>2.4878788187753045E-2</v>
      </c>
      <c r="R51">
        <v>120.64405649093548</v>
      </c>
      <c r="S51">
        <v>0.45787824060565913</v>
      </c>
      <c r="T51">
        <v>3.7730262381905093E-4</v>
      </c>
      <c r="U51">
        <v>1.8296437398269796</v>
      </c>
      <c r="V51">
        <v>6.2719117805162244E-3</v>
      </c>
    </row>
    <row r="52" spans="1:22" x14ac:dyDescent="0.2">
      <c r="A52">
        <v>5000</v>
      </c>
      <c r="B52">
        <v>4.96098317540396E-3</v>
      </c>
      <c r="C52">
        <v>4949.7801396000004</v>
      </c>
      <c r="D52">
        <v>0.29160495268085584</v>
      </c>
      <c r="E52">
        <v>6.6395782949593654E-2</v>
      </c>
      <c r="F52">
        <v>328.64452779709103</v>
      </c>
      <c r="G52">
        <v>2.1872220637056867</v>
      </c>
      <c r="H52">
        <v>5.254309715757409E-2</v>
      </c>
      <c r="I52">
        <v>260.07677878363347</v>
      </c>
      <c r="J52">
        <v>1.6366797323071758</v>
      </c>
      <c r="K52">
        <v>6.2980644736018429E-2</v>
      </c>
      <c r="L52">
        <v>311.74034449354735</v>
      </c>
      <c r="M52">
        <v>7.6276911053497019</v>
      </c>
      <c r="N52">
        <v>0.20396899723284964</v>
      </c>
      <c r="O52">
        <v>1009.6016915972866</v>
      </c>
      <c r="P52">
        <v>6.076216429701315</v>
      </c>
      <c r="Q52">
        <v>2.4059729528209083E-2</v>
      </c>
      <c r="R52">
        <v>119.09037138287701</v>
      </c>
      <c r="S52">
        <v>0.43457046181494069</v>
      </c>
      <c r="T52">
        <v>5.9558118377869482E-4</v>
      </c>
      <c r="U52">
        <v>2.9479959149872417</v>
      </c>
      <c r="V52">
        <v>5.7935836336131027E-3</v>
      </c>
    </row>
    <row r="53" spans="1:22" x14ac:dyDescent="0.2">
      <c r="A53">
        <v>5100</v>
      </c>
      <c r="B53">
        <v>4.6931220052114963E-3</v>
      </c>
      <c r="C53">
        <v>5049.9749576000004</v>
      </c>
      <c r="D53">
        <v>0.29164909636007791</v>
      </c>
      <c r="E53">
        <v>6.5721155894851224E-2</v>
      </c>
      <c r="F53">
        <v>331.89019145352432</v>
      </c>
      <c r="G53">
        <v>2.2257970697548073</v>
      </c>
      <c r="H53">
        <v>5.4040826563516095E-2</v>
      </c>
      <c r="I53">
        <v>272.90482083376116</v>
      </c>
      <c r="J53">
        <v>1.7815692757900494</v>
      </c>
      <c r="K53">
        <v>6.0990513012877286E-2</v>
      </c>
      <c r="L53">
        <v>308.00056336620725</v>
      </c>
      <c r="M53">
        <v>7.7863112336634552</v>
      </c>
      <c r="N53">
        <v>0.20397682339360776</v>
      </c>
      <c r="O53">
        <v>1030.0778500685171</v>
      </c>
      <c r="P53">
        <v>6.1887015785550155</v>
      </c>
      <c r="Q53">
        <v>2.5982495954692021E-2</v>
      </c>
      <c r="R53">
        <v>131.21095390713802</v>
      </c>
      <c r="S53">
        <v>0.48326591988972195</v>
      </c>
      <c r="T53">
        <v>6.9926399890084484E-4</v>
      </c>
      <c r="U53">
        <v>3.5312656832005005</v>
      </c>
      <c r="V53">
        <v>8.1531599828626282E-3</v>
      </c>
    </row>
    <row r="54" spans="1:22" x14ac:dyDescent="0.2">
      <c r="A54">
        <v>5200</v>
      </c>
      <c r="B54">
        <v>4.7187978168620687E-3</v>
      </c>
      <c r="C54">
        <v>5149.9576890999997</v>
      </c>
      <c r="D54">
        <v>0.29512008251783461</v>
      </c>
      <c r="E54">
        <v>6.5692065557789683E-2</v>
      </c>
      <c r="F54">
        <v>338.31135813220021</v>
      </c>
      <c r="G54">
        <v>2.2585791433232782</v>
      </c>
      <c r="H54">
        <v>5.24727726026228E-2</v>
      </c>
      <c r="I54">
        <v>270.23255873327309</v>
      </c>
      <c r="J54">
        <v>1.7339542504220085</v>
      </c>
      <c r="K54">
        <v>6.0643202043580417E-2</v>
      </c>
      <c r="L54">
        <v>312.30992465598177</v>
      </c>
      <c r="M54">
        <v>7.8049441048532371</v>
      </c>
      <c r="N54">
        <v>0.20902049058509201</v>
      </c>
      <c r="O54">
        <v>1076.4466826681487</v>
      </c>
      <c r="P54">
        <v>6.2948935073782923</v>
      </c>
      <c r="Q54">
        <v>2.4876841837444437E-2</v>
      </c>
      <c r="R54">
        <v>128.11468290127155</v>
      </c>
      <c r="S54">
        <v>0.45733303728635399</v>
      </c>
      <c r="T54">
        <v>5.7954805171772509E-4</v>
      </c>
      <c r="U54">
        <v>2.9846479451466226</v>
      </c>
      <c r="V54">
        <v>6.2189150909706071E-3</v>
      </c>
    </row>
    <row r="55" spans="1:22" x14ac:dyDescent="0.2">
      <c r="A55">
        <v>5300</v>
      </c>
      <c r="B55">
        <v>4.4627336412117599E-3</v>
      </c>
      <c r="C55">
        <v>5250.1140722999999</v>
      </c>
      <c r="D55">
        <v>0.29328417632005271</v>
      </c>
      <c r="E55">
        <v>6.4410462074989669E-2</v>
      </c>
      <c r="F55">
        <v>338.16227334324873</v>
      </c>
      <c r="G55">
        <v>2.2770845319549626</v>
      </c>
      <c r="H55">
        <v>5.1370603108154264E-2</v>
      </c>
      <c r="I55">
        <v>269.70152628065881</v>
      </c>
      <c r="J55">
        <v>1.6924124795861424</v>
      </c>
      <c r="K55">
        <v>6.1277864133181752E-2</v>
      </c>
      <c r="L55">
        <v>321.71577680610494</v>
      </c>
      <c r="M55">
        <v>7.7535958629642554</v>
      </c>
      <c r="N55">
        <v>0.20542110252466217</v>
      </c>
      <c r="O55">
        <v>1078.4842211121099</v>
      </c>
      <c r="P55">
        <v>6.246120505419559</v>
      </c>
      <c r="Q55">
        <v>2.5910475710859679E-2</v>
      </c>
      <c r="R55">
        <v>136.03295314957174</v>
      </c>
      <c r="S55">
        <v>0.48981472449515029</v>
      </c>
      <c r="T55">
        <v>6.7473395134909722E-4</v>
      </c>
      <c r="U55">
        <v>3.5424302130364786</v>
      </c>
      <c r="V55">
        <v>7.4126669986627021E-3</v>
      </c>
    </row>
    <row r="56" spans="1:22" x14ac:dyDescent="0.2">
      <c r="A56">
        <v>5400</v>
      </c>
      <c r="B56">
        <v>4.4141577813322968E-3</v>
      </c>
      <c r="C56">
        <v>5349.6385902000002</v>
      </c>
      <c r="D56">
        <v>0.29242010551087944</v>
      </c>
      <c r="E56">
        <v>6.4645139786921268E-2</v>
      </c>
      <c r="F56">
        <v>345.82813447298747</v>
      </c>
      <c r="G56">
        <v>2.3087029671824291</v>
      </c>
      <c r="H56">
        <v>5.1043546857389127E-2</v>
      </c>
      <c r="I56">
        <v>273.06452804897083</v>
      </c>
      <c r="J56">
        <v>1.7530926774531588</v>
      </c>
      <c r="K56">
        <v>5.9786937451617207E-2</v>
      </c>
      <c r="L56">
        <v>319.83850778104505</v>
      </c>
      <c r="M56">
        <v>7.8685828475974118</v>
      </c>
      <c r="N56">
        <v>0.2063535422504171</v>
      </c>
      <c r="O56">
        <v>1103.9168728472976</v>
      </c>
      <c r="P56">
        <v>6.5174495716078313</v>
      </c>
      <c r="Q56">
        <v>2.5606361273707579E-2</v>
      </c>
      <c r="R56">
        <v>136.9847784244289</v>
      </c>
      <c r="S56">
        <v>0.48520984033432885</v>
      </c>
      <c r="T56">
        <v>6.7326453513753923E-4</v>
      </c>
      <c r="U56">
        <v>3.6017219385848436</v>
      </c>
      <c r="V56">
        <v>6.072608633956914E-3</v>
      </c>
    </row>
    <row r="57" spans="1:22" x14ac:dyDescent="0.2">
      <c r="A57">
        <v>5500</v>
      </c>
      <c r="B57">
        <v>4.3433758140793664E-3</v>
      </c>
      <c r="C57">
        <v>5449.8635181</v>
      </c>
      <c r="D57">
        <v>0.28165124403341463</v>
      </c>
      <c r="E57">
        <v>6.3032991087305548E-2</v>
      </c>
      <c r="F57">
        <v>343.52119856342892</v>
      </c>
      <c r="G57">
        <v>2.3389138381392236</v>
      </c>
      <c r="H57">
        <v>5.0245569501444542E-2</v>
      </c>
      <c r="I57">
        <v>273.83149617208062</v>
      </c>
      <c r="J57">
        <v>1.7789052473086171</v>
      </c>
      <c r="K57">
        <v>5.7587960792608778E-2</v>
      </c>
      <c r="L57">
        <v>313.84652660541173</v>
      </c>
      <c r="M57">
        <v>7.8984272058930873</v>
      </c>
      <c r="N57">
        <v>0.19828652283761342</v>
      </c>
      <c r="O57">
        <v>1080.6344869436118</v>
      </c>
      <c r="P57">
        <v>6.3630798492749685</v>
      </c>
      <c r="Q57">
        <v>2.5378219084619326E-2</v>
      </c>
      <c r="R57">
        <v>138.30783034361605</v>
      </c>
      <c r="S57">
        <v>0.5018550357462227</v>
      </c>
      <c r="T57">
        <v>3.9854131857306184E-4</v>
      </c>
      <c r="U57">
        <v>2.1719957925467996</v>
      </c>
      <c r="V57">
        <v>5.0584994416360361E-3</v>
      </c>
    </row>
    <row r="58" spans="1:22" x14ac:dyDescent="0.2">
      <c r="A58">
        <v>5600</v>
      </c>
      <c r="B58">
        <v>4.240672567477074E-3</v>
      </c>
      <c r="C58">
        <v>5550.3558100999999</v>
      </c>
      <c r="D58">
        <v>0.29881718247943151</v>
      </c>
      <c r="E58">
        <v>6.2950213295641655E-2</v>
      </c>
      <c r="F58">
        <v>349.3960821124989</v>
      </c>
      <c r="G58">
        <v>2.3458879416022631</v>
      </c>
      <c r="H58">
        <v>4.8908127431171219E-2</v>
      </c>
      <c r="I58">
        <v>271.45750924871237</v>
      </c>
      <c r="J58">
        <v>1.7143017990256735</v>
      </c>
      <c r="K58">
        <v>6.0779844193880168E-2</v>
      </c>
      <c r="L58">
        <v>337.34976135847552</v>
      </c>
      <c r="M58">
        <v>8.1498001669551083</v>
      </c>
      <c r="N58">
        <v>0.20702777314241497</v>
      </c>
      <c r="O58">
        <v>1149.0778035130677</v>
      </c>
      <c r="P58">
        <v>6.6988360308685797</v>
      </c>
      <c r="Q58">
        <v>2.9437707580061853E-2</v>
      </c>
      <c r="R58">
        <v>163.38975130302111</v>
      </c>
      <c r="S58">
        <v>0.55179199823947123</v>
      </c>
      <c r="T58">
        <v>1.5718575630745493E-3</v>
      </c>
      <c r="U58">
        <v>8.7243687578604519</v>
      </c>
      <c r="V58">
        <v>9.6784806914743879E-3</v>
      </c>
    </row>
    <row r="59" spans="1:22" x14ac:dyDescent="0.2">
      <c r="A59">
        <v>5700</v>
      </c>
      <c r="B59">
        <v>4.1976482344409788E-3</v>
      </c>
      <c r="C59">
        <v>5650.0707818000001</v>
      </c>
      <c r="D59">
        <v>0.28758140051802139</v>
      </c>
      <c r="E59">
        <v>6.0745059875483239E-2</v>
      </c>
      <c r="F59">
        <v>343.21388794115938</v>
      </c>
      <c r="G59">
        <v>2.2969651536168159</v>
      </c>
      <c r="H59">
        <v>4.8870751262717532E-2</v>
      </c>
      <c r="I59">
        <v>276.12320379409579</v>
      </c>
      <c r="J59">
        <v>1.8285434268962737</v>
      </c>
      <c r="K59">
        <v>5.5886638584255521E-2</v>
      </c>
      <c r="L59">
        <v>315.76346375791866</v>
      </c>
      <c r="M59">
        <v>7.7878005917546327</v>
      </c>
      <c r="N59">
        <v>0.20617604797819183</v>
      </c>
      <c r="O59">
        <v>1164.9092645885767</v>
      </c>
      <c r="P59">
        <v>6.7771698054938385</v>
      </c>
      <c r="Q59">
        <v>2.4142026701881654E-2</v>
      </c>
      <c r="R59">
        <v>136.40415968173696</v>
      </c>
      <c r="S59">
        <v>0.52079992006551379</v>
      </c>
      <c r="T59">
        <v>1.3766872536923964E-3</v>
      </c>
      <c r="U59">
        <v>7.778380427763893</v>
      </c>
      <c r="V59">
        <v>1.3425439086807768E-2</v>
      </c>
    </row>
    <row r="60" spans="1:22" x14ac:dyDescent="0.2">
      <c r="A60">
        <v>5800</v>
      </c>
      <c r="B60">
        <v>4.035960015127911E-3</v>
      </c>
      <c r="C60">
        <v>5750.0162872000001</v>
      </c>
      <c r="D60">
        <v>0.29041974470019871</v>
      </c>
      <c r="E60">
        <v>6.1196273454658098E-2</v>
      </c>
      <c r="F60">
        <v>351.87956908022909</v>
      </c>
      <c r="G60">
        <v>2.3535655370775812</v>
      </c>
      <c r="H60">
        <v>5.001260873317729E-2</v>
      </c>
      <c r="I60">
        <v>287.57331478113036</v>
      </c>
      <c r="J60">
        <v>1.8681135419495161</v>
      </c>
      <c r="K60">
        <v>5.6612242957317448E-2</v>
      </c>
      <c r="L60">
        <v>325.52131905949881</v>
      </c>
      <c r="M60">
        <v>8.1575619662087675</v>
      </c>
      <c r="N60">
        <v>0.20537277402105719</v>
      </c>
      <c r="O60">
        <v>1180.8967955685239</v>
      </c>
      <c r="P60">
        <v>6.8616631429037866</v>
      </c>
      <c r="Q60">
        <v>2.786699621034348E-2</v>
      </c>
      <c r="R60">
        <v>160.23568208481569</v>
      </c>
      <c r="S60">
        <v>0.55894168290359492</v>
      </c>
      <c r="T60">
        <v>5.6773151148060454E-4</v>
      </c>
      <c r="U60">
        <v>3.2644654377701499</v>
      </c>
      <c r="V60">
        <v>8.2303577979711169E-3</v>
      </c>
    </row>
    <row r="61" spans="1:22" x14ac:dyDescent="0.2">
      <c r="A61">
        <v>5900</v>
      </c>
      <c r="B61">
        <v>3.9054991343087831E-3</v>
      </c>
      <c r="C61">
        <v>5850.4743870000002</v>
      </c>
      <c r="D61">
        <v>0.28738257585816462</v>
      </c>
      <c r="E61">
        <v>5.9964660462581303E-2</v>
      </c>
      <c r="F61">
        <v>350.82171016148351</v>
      </c>
      <c r="G61">
        <v>2.3626528938138573</v>
      </c>
      <c r="H61">
        <v>4.9792055443527439E-2</v>
      </c>
      <c r="I61">
        <v>291.30714504844121</v>
      </c>
      <c r="J61">
        <v>1.8079215565060873</v>
      </c>
      <c r="K61">
        <v>5.775545190375337E-2</v>
      </c>
      <c r="L61">
        <v>337.89679207251947</v>
      </c>
      <c r="M61">
        <v>8.4144709094441765</v>
      </c>
      <c r="N61">
        <v>0.20410343647086271</v>
      </c>
      <c r="O61">
        <v>1194.1019273714639</v>
      </c>
      <c r="P61">
        <v>6.8076405217216598</v>
      </c>
      <c r="Q61">
        <v>2.397734756559422E-2</v>
      </c>
      <c r="R61">
        <v>140.27885780070579</v>
      </c>
      <c r="S61">
        <v>0.5043813576674635</v>
      </c>
      <c r="T61">
        <v>1.5463399179543604E-3</v>
      </c>
      <c r="U61">
        <v>9.0468220835876672</v>
      </c>
      <c r="V61">
        <v>7.2718772832444803E-3</v>
      </c>
    </row>
    <row r="62" spans="1:22" x14ac:dyDescent="0.2">
      <c r="A62">
        <v>6000</v>
      </c>
      <c r="B62">
        <v>3.8194504682365921E-3</v>
      </c>
      <c r="C62">
        <v>5949.7028376999997</v>
      </c>
      <c r="D62">
        <v>0.2865199985475661</v>
      </c>
      <c r="E62">
        <v>5.9343307125379802E-2</v>
      </c>
      <c r="F62">
        <v>353.07504280237481</v>
      </c>
      <c r="G62">
        <v>2.3682763472888202</v>
      </c>
      <c r="H62">
        <v>5.2142460554371328E-2</v>
      </c>
      <c r="I62">
        <v>310.23214552500338</v>
      </c>
      <c r="J62">
        <v>2.0032640026211084</v>
      </c>
      <c r="K62">
        <v>5.3669587334109231E-2</v>
      </c>
      <c r="L62">
        <v>319.31809605993766</v>
      </c>
      <c r="M62">
        <v>8.0512352770248228</v>
      </c>
      <c r="N62">
        <v>0.20778401863392967</v>
      </c>
      <c r="O62">
        <v>1236.2531652950011</v>
      </c>
      <c r="P62">
        <v>7.2138391702418909</v>
      </c>
      <c r="Q62">
        <v>2.4600555215486923E-2</v>
      </c>
      <c r="R62">
        <v>146.36599317457808</v>
      </c>
      <c r="S62">
        <v>0.53051512197433026</v>
      </c>
      <c r="T62">
        <v>4.6583736404025972E-4</v>
      </c>
      <c r="U62">
        <v>2.7715938867370209</v>
      </c>
      <c r="V62">
        <v>4.6553021966933474E-3</v>
      </c>
    </row>
    <row r="63" spans="1:22" x14ac:dyDescent="0.2">
      <c r="A63">
        <v>6100</v>
      </c>
      <c r="B63">
        <v>3.6813562380078346E-3</v>
      </c>
      <c r="C63">
        <v>6049.5981496000004</v>
      </c>
      <c r="D63">
        <v>0.28729148401162324</v>
      </c>
      <c r="E63">
        <v>5.8392800402281987E-2</v>
      </c>
      <c r="F63">
        <v>353.25297726360725</v>
      </c>
      <c r="G63">
        <v>2.3565737248497114</v>
      </c>
      <c r="H63">
        <v>4.8013968022399864E-2</v>
      </c>
      <c r="I63">
        <v>290.46521210326381</v>
      </c>
      <c r="J63">
        <v>1.9001246437065664</v>
      </c>
      <c r="K63">
        <v>5.6184764676190498E-2</v>
      </c>
      <c r="L63">
        <v>339.89524842079351</v>
      </c>
      <c r="M63">
        <v>8.0531603509403986</v>
      </c>
      <c r="N63">
        <v>0.20689505498832358</v>
      </c>
      <c r="O63">
        <v>1251.6319418187527</v>
      </c>
      <c r="P63">
        <v>7.263516224605759</v>
      </c>
      <c r="Q63">
        <v>2.3173037402679918E-2</v>
      </c>
      <c r="R63">
        <v>140.18756419186403</v>
      </c>
      <c r="S63">
        <v>0.49468274468667522</v>
      </c>
      <c r="T63">
        <v>1.0386269444292752E-3</v>
      </c>
      <c r="U63">
        <v>6.2832756411440451</v>
      </c>
      <c r="V63">
        <v>1.157525868241273E-2</v>
      </c>
    </row>
    <row r="64" spans="1:22" x14ac:dyDescent="0.2">
      <c r="A64">
        <v>6200</v>
      </c>
      <c r="B64">
        <v>3.7299320978872973E-3</v>
      </c>
      <c r="C64">
        <v>6150.4423917000004</v>
      </c>
      <c r="D64">
        <v>0.28417237528649819</v>
      </c>
      <c r="E64">
        <v>5.7401469066443118E-2</v>
      </c>
      <c r="F64">
        <v>353.044428692108</v>
      </c>
      <c r="G64">
        <v>2.3902742655433196</v>
      </c>
      <c r="H64">
        <v>4.8330106461168545E-2</v>
      </c>
      <c r="I64">
        <v>297.25153557414512</v>
      </c>
      <c r="J64">
        <v>1.927291737266708</v>
      </c>
      <c r="K64">
        <v>5.1792853151436162E-2</v>
      </c>
      <c r="L64">
        <v>318.54895960968594</v>
      </c>
      <c r="M64">
        <v>7.9449877633511328</v>
      </c>
      <c r="N64">
        <v>0.20466378073697369</v>
      </c>
      <c r="O64">
        <v>1258.772793090277</v>
      </c>
      <c r="P64">
        <v>7.2711417350000165</v>
      </c>
      <c r="Q64">
        <v>2.6126266515275387E-2</v>
      </c>
      <c r="R64">
        <v>160.68809711240198</v>
      </c>
      <c r="S64">
        <v>0.58139885755765341</v>
      </c>
      <c r="T64">
        <v>1.5894748828129798E-3</v>
      </c>
      <c r="U64">
        <v>9.7759736997953421</v>
      </c>
      <c r="V64">
        <v>1.5268810204986102E-2</v>
      </c>
    </row>
    <row r="65" spans="1:22" x14ac:dyDescent="0.2">
      <c r="A65">
        <v>6300</v>
      </c>
      <c r="B65">
        <v>3.5828166365380679E-3</v>
      </c>
      <c r="C65">
        <v>6250.2495617000004</v>
      </c>
      <c r="D65">
        <v>0.28997460717284224</v>
      </c>
      <c r="E65">
        <v>5.6980175077198277E-2</v>
      </c>
      <c r="F65">
        <v>356.14031430184781</v>
      </c>
      <c r="G65">
        <v>2.381478494350513</v>
      </c>
      <c r="H65">
        <v>4.7132585647008084E-2</v>
      </c>
      <c r="I65">
        <v>294.59042278200002</v>
      </c>
      <c r="J65">
        <v>1.9256598682959889</v>
      </c>
      <c r="K65">
        <v>5.4740155034382773E-2</v>
      </c>
      <c r="L65">
        <v>342.13963001104099</v>
      </c>
      <c r="M65">
        <v>8.2902045844217653</v>
      </c>
      <c r="N65">
        <v>0.2087783892075977</v>
      </c>
      <c r="O65">
        <v>1304.9170356372197</v>
      </c>
      <c r="P65">
        <v>7.446819483822761</v>
      </c>
      <c r="Q65">
        <v>2.5447316084893049E-2</v>
      </c>
      <c r="R65">
        <v>159.05207620604415</v>
      </c>
      <c r="S65">
        <v>0.55464655902777649</v>
      </c>
      <c r="T65">
        <v>1.0087468459687174E-3</v>
      </c>
      <c r="U65">
        <v>6.3049195318822342</v>
      </c>
      <c r="V65">
        <v>1.4912493278675231E-2</v>
      </c>
    </row>
    <row r="66" spans="1:22" x14ac:dyDescent="0.2">
      <c r="A66">
        <v>6400</v>
      </c>
      <c r="B66">
        <v>3.5883681633814349E-3</v>
      </c>
      <c r="C66">
        <v>6349.8355481999997</v>
      </c>
      <c r="D66">
        <v>0.29069048250717416</v>
      </c>
      <c r="E66">
        <v>5.6275441872512828E-2</v>
      </c>
      <c r="F66">
        <v>357.33980129274471</v>
      </c>
      <c r="G66">
        <v>2.4193048396987438</v>
      </c>
      <c r="H66">
        <v>4.736660859456187E-2</v>
      </c>
      <c r="I66">
        <v>300.77017505142459</v>
      </c>
      <c r="J66">
        <v>2.042231622002566</v>
      </c>
      <c r="K66">
        <v>5.2390931162421391E-2</v>
      </c>
      <c r="L66">
        <v>332.67379709844249</v>
      </c>
      <c r="M66">
        <v>8.2167683303431094</v>
      </c>
      <c r="N66">
        <v>0.21084284545073395</v>
      </c>
      <c r="O66">
        <v>1338.817395126709</v>
      </c>
      <c r="P66">
        <v>7.5106038901436367</v>
      </c>
      <c r="Q66">
        <v>2.6665528691916983E-2</v>
      </c>
      <c r="R66">
        <v>169.3217219994815</v>
      </c>
      <c r="S66">
        <v>0.60096951260475495</v>
      </c>
      <c r="T66">
        <v>7.9117720210179852E-4</v>
      </c>
      <c r="U66">
        <v>5.0238451228314158</v>
      </c>
      <c r="V66">
        <v>7.4067840012956689E-3</v>
      </c>
    </row>
    <row r="67" spans="1:22" x14ac:dyDescent="0.2">
      <c r="A67">
        <v>6500</v>
      </c>
      <c r="B67">
        <v>3.407943540972003E-3</v>
      </c>
      <c r="C67">
        <v>6449.8783393000003</v>
      </c>
      <c r="D67">
        <v>0.28675862073769187</v>
      </c>
      <c r="E67">
        <v>5.7893490401201932E-2</v>
      </c>
      <c r="F67">
        <v>373.40596972518483</v>
      </c>
      <c r="G67">
        <v>2.5362370817276711</v>
      </c>
      <c r="H67">
        <v>4.763331053602899E-2</v>
      </c>
      <c r="I67">
        <v>307.22905785548386</v>
      </c>
      <c r="J67">
        <v>2.0584550686968783</v>
      </c>
      <c r="K67">
        <v>5.4431740194742173E-2</v>
      </c>
      <c r="L67">
        <v>351.07810205247273</v>
      </c>
      <c r="M67">
        <v>8.4419707313794028</v>
      </c>
      <c r="N67">
        <v>0.20489313464736808</v>
      </c>
      <c r="O67">
        <v>1321.5357910333378</v>
      </c>
      <c r="P67">
        <v>7.7691584421921771</v>
      </c>
      <c r="Q67">
        <v>2.5426522718245047E-2</v>
      </c>
      <c r="R67">
        <v>163.99797812412808</v>
      </c>
      <c r="S67">
        <v>0.60306284940826849</v>
      </c>
      <c r="T67">
        <v>2.0072231773365658E-3</v>
      </c>
      <c r="U67">
        <v>12.946345293644038</v>
      </c>
      <c r="V67">
        <v>1.737885886721641E-2</v>
      </c>
    </row>
    <row r="68" spans="1:22" x14ac:dyDescent="0.2">
      <c r="A68">
        <v>7500</v>
      </c>
      <c r="B68">
        <v>3.0764479943374425E-2</v>
      </c>
      <c r="C68">
        <v>6980.9563999000002</v>
      </c>
      <c r="D68">
        <v>0.28411150524218065</v>
      </c>
      <c r="E68">
        <v>5.2770157355537806E-2</v>
      </c>
      <c r="F68">
        <v>368.3861677148717</v>
      </c>
      <c r="G68">
        <v>2.4853239897142783</v>
      </c>
      <c r="H68">
        <v>4.630667085889989E-2</v>
      </c>
      <c r="I68">
        <v>323.26485029050002</v>
      </c>
      <c r="J68">
        <v>2.072431971440611</v>
      </c>
      <c r="K68">
        <v>4.9908419730018742E-2</v>
      </c>
      <c r="L68">
        <v>348.4085021231698</v>
      </c>
      <c r="M68">
        <v>8.5221041513270706</v>
      </c>
      <c r="N68">
        <v>0.20697896289601897</v>
      </c>
      <c r="O68">
        <v>1444.9111156736283</v>
      </c>
      <c r="P68">
        <v>8.0510740121216262</v>
      </c>
      <c r="Q68">
        <v>2.6026115444388372E-2</v>
      </c>
      <c r="R68">
        <v>181.68717717603926</v>
      </c>
      <c r="S68">
        <v>0.61210348164049089</v>
      </c>
      <c r="T68">
        <v>1.1980071717545716E-3</v>
      </c>
      <c r="U68">
        <v>8.3632358327861755</v>
      </c>
      <c r="V68">
        <v>1.3665600113299351E-2</v>
      </c>
    </row>
    <row r="69" spans="1:22" x14ac:dyDescent="0.2">
      <c r="A69">
        <v>10000</v>
      </c>
      <c r="B69">
        <v>5.5266143666575299E-2</v>
      </c>
      <c r="C69">
        <v>8654.5340166000005</v>
      </c>
      <c r="D69">
        <v>0.27025197004130741</v>
      </c>
      <c r="E69">
        <v>4.4439052690936481E-2</v>
      </c>
      <c r="F69">
        <v>384.59929317918954</v>
      </c>
      <c r="G69">
        <v>2.5768134470820971</v>
      </c>
      <c r="H69">
        <v>4.1862852983694472E-2</v>
      </c>
      <c r="I69">
        <v>362.30348517930861</v>
      </c>
      <c r="J69">
        <v>2.3088997901069379</v>
      </c>
      <c r="K69">
        <v>4.2051572641388049E-2</v>
      </c>
      <c r="L69">
        <v>363.9367658764188</v>
      </c>
      <c r="M69">
        <v>8.8005041098961314</v>
      </c>
      <c r="N69">
        <v>0.20157578564163048</v>
      </c>
      <c r="O69">
        <v>1744.5444937583609</v>
      </c>
      <c r="P69">
        <v>9.3530459254901555</v>
      </c>
      <c r="Q69">
        <v>2.439881688496362E-2</v>
      </c>
      <c r="R69">
        <v>211.16039069571212</v>
      </c>
      <c r="S69">
        <v>0.68495973141658362</v>
      </c>
      <c r="T69">
        <v>2.2257948733252534E-3</v>
      </c>
      <c r="U69">
        <v>19.263217445167296</v>
      </c>
      <c r="V69">
        <v>2.3487912374288371E-2</v>
      </c>
    </row>
    <row r="70" spans="1:22" x14ac:dyDescent="0.2">
      <c r="A70">
        <v>15000</v>
      </c>
      <c r="B70">
        <v>6.3759285796071596E-2</v>
      </c>
      <c r="C70">
        <v>12217.556102</v>
      </c>
      <c r="D70">
        <v>0.23418785117177335</v>
      </c>
      <c r="E70">
        <v>3.2839437568204975E-2</v>
      </c>
      <c r="F70">
        <v>401.21767084767077</v>
      </c>
      <c r="G70">
        <v>2.7024973309115388</v>
      </c>
      <c r="H70">
        <v>3.3768855190314043E-2</v>
      </c>
      <c r="I70">
        <v>412.57288278797574</v>
      </c>
      <c r="J70">
        <v>2.5921544027617767</v>
      </c>
      <c r="K70">
        <v>3.2037588191432723E-2</v>
      </c>
      <c r="L70">
        <v>391.42103110160201</v>
      </c>
      <c r="M70">
        <v>9.4253937333781099</v>
      </c>
      <c r="N70">
        <v>0.17651791568208064</v>
      </c>
      <c r="O70">
        <v>2156.617537853926</v>
      </c>
      <c r="P70">
        <v>10.76641080772537</v>
      </c>
      <c r="Q70">
        <v>2.1604197444747848E-2</v>
      </c>
      <c r="R70">
        <v>263.9504943198919</v>
      </c>
      <c r="S70">
        <v>0.82287538373508862</v>
      </c>
      <c r="T70">
        <v>4.028149853512155E-3</v>
      </c>
      <c r="U70">
        <v>49.214146822547839</v>
      </c>
      <c r="V70">
        <v>4.2918188381845891E-2</v>
      </c>
    </row>
    <row r="71" spans="1:22" x14ac:dyDescent="0.2">
      <c r="A71">
        <v>20000</v>
      </c>
      <c r="B71">
        <v>3.3988529157659896E-2</v>
      </c>
      <c r="C71">
        <v>17260.787833999999</v>
      </c>
      <c r="D71">
        <v>0.19976462323648003</v>
      </c>
      <c r="E71">
        <v>2.4368622920576542E-2</v>
      </c>
      <c r="F71">
        <v>420.62163003882108</v>
      </c>
      <c r="G71">
        <v>2.8104736256663272</v>
      </c>
      <c r="H71">
        <v>2.7347527631658108E-2</v>
      </c>
      <c r="I71">
        <v>472.03987223450309</v>
      </c>
      <c r="J71">
        <v>2.910900823661787</v>
      </c>
      <c r="K71">
        <v>2.4624455953525783E-2</v>
      </c>
      <c r="L71">
        <v>425.03750974148664</v>
      </c>
      <c r="M71">
        <v>10.326413673669409</v>
      </c>
      <c r="N71">
        <v>0.14812506548564247</v>
      </c>
      <c r="O71">
        <v>2556.7553282450308</v>
      </c>
      <c r="P71">
        <v>11.90171006422301</v>
      </c>
      <c r="Q71">
        <v>1.8617213934107139E-2</v>
      </c>
      <c r="R71">
        <v>321.34777977681176</v>
      </c>
      <c r="S71">
        <v>0.94275485511337132</v>
      </c>
      <c r="T71">
        <v>8.3978878632046099E-3</v>
      </c>
      <c r="U71">
        <v>144.95416066049839</v>
      </c>
      <c r="V71">
        <v>8.7081221638592055E-2</v>
      </c>
    </row>
    <row r="72" spans="1:22" x14ac:dyDescent="0.2">
      <c r="A72">
        <v>25000</v>
      </c>
      <c r="B72">
        <v>1.9846708465037523E-2</v>
      </c>
      <c r="C72">
        <v>22294.298853</v>
      </c>
      <c r="D72">
        <v>0.18176719773025837</v>
      </c>
      <c r="E72">
        <v>2.0173121952463662E-2</v>
      </c>
      <c r="F72">
        <v>449.74560960623978</v>
      </c>
      <c r="G72">
        <v>2.9849338806266865</v>
      </c>
      <c r="H72">
        <v>2.3606734981863865E-2</v>
      </c>
      <c r="I72">
        <v>526.29560462924258</v>
      </c>
      <c r="J72">
        <v>3.1965071645698027</v>
      </c>
      <c r="K72">
        <v>2.1255247074672003E-2</v>
      </c>
      <c r="L72">
        <v>473.8708304770916</v>
      </c>
      <c r="M72">
        <v>11.17466100329302</v>
      </c>
      <c r="N72">
        <v>0.12979901405467412</v>
      </c>
      <c r="O72">
        <v>2893.7780101596518</v>
      </c>
      <c r="P72">
        <v>13.012078199581035</v>
      </c>
      <c r="Q72">
        <v>1.6048114456972178E-2</v>
      </c>
      <c r="R72">
        <v>357.78145973088755</v>
      </c>
      <c r="S72">
        <v>1.0200732921047455</v>
      </c>
      <c r="T72">
        <v>1.4664822143940081E-2</v>
      </c>
      <c r="U72">
        <v>326.94192750309236</v>
      </c>
      <c r="V72">
        <v>0.15922739141331813</v>
      </c>
    </row>
    <row r="73" spans="1:22" x14ac:dyDescent="0.2">
      <c r="A73">
        <v>30000</v>
      </c>
      <c r="B73">
        <v>1.2379210919853301E-2</v>
      </c>
      <c r="C73">
        <v>27331.015030999999</v>
      </c>
      <c r="D73">
        <v>0.1815494745212235</v>
      </c>
      <c r="E73">
        <v>1.7102344602233938E-2</v>
      </c>
      <c r="F73">
        <v>467.42443738899743</v>
      </c>
      <c r="G73">
        <v>3.0660108131164363</v>
      </c>
      <c r="H73">
        <v>2.1503700565306143E-2</v>
      </c>
      <c r="I73">
        <v>587.71796337250532</v>
      </c>
      <c r="J73">
        <v>3.4208952352615172</v>
      </c>
      <c r="K73">
        <v>1.8694356257003553E-2</v>
      </c>
      <c r="L73">
        <v>510.935731855033</v>
      </c>
      <c r="M73">
        <v>12.161031418966132</v>
      </c>
      <c r="N73">
        <v>0.1194897023654234</v>
      </c>
      <c r="O73">
        <v>3265.7748513991032</v>
      </c>
      <c r="P73">
        <v>13.528040781987313</v>
      </c>
      <c r="Q73">
        <v>1.4991097138392815E-2</v>
      </c>
      <c r="R73">
        <v>409.7219012205951</v>
      </c>
      <c r="S73">
        <v>1.0738874927046971</v>
      </c>
      <c r="T73">
        <v>2.8374318760403715E-2</v>
      </c>
      <c r="U73">
        <v>775.49893253497919</v>
      </c>
      <c r="V73">
        <v>0.3371675403506979</v>
      </c>
    </row>
    <row r="74" spans="1:22" x14ac:dyDescent="0.2">
      <c r="A74">
        <v>35000</v>
      </c>
      <c r="B74">
        <v>8.4015419365807455E-3</v>
      </c>
      <c r="C74">
        <v>32335.722333000002</v>
      </c>
      <c r="D74">
        <v>0.18654263311393332</v>
      </c>
      <c r="E74">
        <v>1.5063423801650148E-2</v>
      </c>
      <c r="F74">
        <v>487.08668943446247</v>
      </c>
      <c r="G74">
        <v>3.0932452376825981</v>
      </c>
      <c r="H74">
        <v>2.0268420790179834E-2</v>
      </c>
      <c r="I74">
        <v>655.39402679965963</v>
      </c>
      <c r="J74">
        <v>3.5722359159805261</v>
      </c>
      <c r="K74">
        <v>1.6734190173885242E-2</v>
      </c>
      <c r="L74">
        <v>541.11212693037021</v>
      </c>
      <c r="M74">
        <v>12.774610716023014</v>
      </c>
      <c r="N74">
        <v>0.10685973494358021</v>
      </c>
      <c r="O74">
        <v>3455.3867177135871</v>
      </c>
      <c r="P74">
        <v>13.431904050400396</v>
      </c>
      <c r="Q74">
        <v>1.5026199464523883E-2</v>
      </c>
      <c r="R74">
        <v>485.88301360511758</v>
      </c>
      <c r="S74">
        <v>1.135829271007881</v>
      </c>
      <c r="T74">
        <v>4.7922508531944005E-2</v>
      </c>
      <c r="U74">
        <v>1549.6089293897649</v>
      </c>
      <c r="V74">
        <v>0.59898709636668057</v>
      </c>
    </row>
    <row r="75" spans="1:22" x14ac:dyDescent="0.2">
      <c r="A75">
        <v>40000</v>
      </c>
      <c r="B75">
        <v>5.9560943620775202E-3</v>
      </c>
      <c r="C75">
        <v>37342.760550999999</v>
      </c>
      <c r="D75">
        <v>0.18078530472620657</v>
      </c>
      <c r="E75">
        <v>1.3252386590652528E-2</v>
      </c>
      <c r="F75">
        <v>494.88069918402061</v>
      </c>
      <c r="G75">
        <v>3.1535021414452187</v>
      </c>
      <c r="H75">
        <v>1.8894894208963623E-2</v>
      </c>
      <c r="I75">
        <v>705.58751008180514</v>
      </c>
      <c r="J75">
        <v>3.7892400979505325</v>
      </c>
      <c r="K75">
        <v>1.5850990308447461E-2</v>
      </c>
      <c r="L75">
        <v>591.91973558457516</v>
      </c>
      <c r="M75">
        <v>13.760650514110035</v>
      </c>
      <c r="N75">
        <v>9.8736256640856362E-2</v>
      </c>
      <c r="O75">
        <v>3687.0843894415825</v>
      </c>
      <c r="P75">
        <v>14.176413501194652</v>
      </c>
      <c r="Q75">
        <v>1.2288733709310908E-2</v>
      </c>
      <c r="R75">
        <v>458.89524038179928</v>
      </c>
      <c r="S75">
        <v>1.1008307030560178</v>
      </c>
      <c r="T75">
        <v>5.3909324067591857E-2</v>
      </c>
      <c r="U75">
        <v>2013.122980122344</v>
      </c>
      <c r="V75">
        <v>0.73102126256043343</v>
      </c>
    </row>
    <row r="76" spans="1:22" x14ac:dyDescent="0.2">
      <c r="A76">
        <v>45000</v>
      </c>
      <c r="B76">
        <v>4.3364364055251568E-3</v>
      </c>
      <c r="C76">
        <v>42364.661598999999</v>
      </c>
      <c r="D76">
        <v>0.17050594325349036</v>
      </c>
      <c r="E76">
        <v>1.2253486998900004E-2</v>
      </c>
      <c r="F76">
        <v>519.11483011614473</v>
      </c>
      <c r="G76">
        <v>3.3232291919905212</v>
      </c>
      <c r="H76">
        <v>1.8035423051047026E-2</v>
      </c>
      <c r="I76">
        <v>764.06459435241129</v>
      </c>
      <c r="J76">
        <v>4.0009321752831841</v>
      </c>
      <c r="K76">
        <v>1.3993991268343817E-2</v>
      </c>
      <c r="L76">
        <v>592.85070450274657</v>
      </c>
      <c r="M76">
        <v>14.147753670198968</v>
      </c>
      <c r="N76">
        <v>9.4207524318179622E-2</v>
      </c>
      <c r="O76">
        <v>3991.0698878192429</v>
      </c>
      <c r="P76">
        <v>14.661985233231901</v>
      </c>
      <c r="Q76">
        <v>1.1631206491534134E-2</v>
      </c>
      <c r="R76">
        <v>492.75212700193566</v>
      </c>
      <c r="S76">
        <v>1.0758723670376036</v>
      </c>
      <c r="T76">
        <v>5.0673221175432749E-2</v>
      </c>
      <c r="U76">
        <v>2146.7538672284895</v>
      </c>
      <c r="V76">
        <v>0.74502392671129758</v>
      </c>
    </row>
    <row r="77" spans="1:22" x14ac:dyDescent="0.2">
      <c r="A77">
        <v>50000</v>
      </c>
      <c r="B77">
        <v>3.3538161542491732E-3</v>
      </c>
      <c r="C77">
        <v>47400.987287000004</v>
      </c>
      <c r="D77">
        <v>0.16825495344459362</v>
      </c>
      <c r="E77">
        <v>1.0755034993143274E-2</v>
      </c>
      <c r="F77">
        <v>509.79927698122452</v>
      </c>
      <c r="G77">
        <v>3.2488500776739406</v>
      </c>
      <c r="H77">
        <v>1.6970804381548743E-2</v>
      </c>
      <c r="I77">
        <v>804.43288273995597</v>
      </c>
      <c r="J77">
        <v>3.9987754268579829</v>
      </c>
      <c r="K77">
        <v>1.3492388844080097E-2</v>
      </c>
      <c r="L77">
        <v>639.5525520695013</v>
      </c>
      <c r="M77">
        <v>14.649939130723844</v>
      </c>
      <c r="N77">
        <v>8.6594865599028278E-2</v>
      </c>
      <c r="O77">
        <v>4104.6821233790133</v>
      </c>
      <c r="P77">
        <v>14.94014242240115</v>
      </c>
      <c r="Q77">
        <v>1.1437602730851659E-2</v>
      </c>
      <c r="R77">
        <v>542.15366163885597</v>
      </c>
      <c r="S77">
        <v>1.1667136137252634</v>
      </c>
      <c r="T77">
        <v>5.6730096270633613E-2</v>
      </c>
      <c r="U77">
        <v>2689.0625721145902</v>
      </c>
      <c r="V77">
        <v>0.8077340438526579</v>
      </c>
    </row>
    <row r="78" spans="1:22" x14ac:dyDescent="0.2">
      <c r="A78">
        <v>100000</v>
      </c>
      <c r="B78">
        <v>1.3149485269370492E-2</v>
      </c>
      <c r="C78">
        <v>67371.902222000004</v>
      </c>
      <c r="D78">
        <v>0.15240865698647899</v>
      </c>
      <c r="E78">
        <v>8.5112187480116969E-3</v>
      </c>
      <c r="F78">
        <v>573.41699728109734</v>
      </c>
      <c r="G78">
        <v>3.3787211518397484</v>
      </c>
      <c r="H78">
        <v>1.5673995600184652E-2</v>
      </c>
      <c r="I78">
        <v>1055.9868990036987</v>
      </c>
      <c r="J78">
        <v>4.555464526378489</v>
      </c>
      <c r="K78">
        <v>1.0652627877048446E-2</v>
      </c>
      <c r="L78">
        <v>717.68780373985942</v>
      </c>
      <c r="M78">
        <v>15.544421271620118</v>
      </c>
      <c r="N78">
        <v>6.8691874952556797E-2</v>
      </c>
      <c r="O78">
        <v>4627.9022827495073</v>
      </c>
      <c r="P78">
        <v>16.341198427063681</v>
      </c>
      <c r="Q78">
        <v>8.8503310839256957E-3</v>
      </c>
      <c r="R78">
        <v>596.26364041856925</v>
      </c>
      <c r="S78">
        <v>1.1516062390367907</v>
      </c>
      <c r="T78">
        <v>6.4213823072948054E-2</v>
      </c>
      <c r="U78">
        <v>4326.2074093714646</v>
      </c>
      <c r="V78">
        <v>1.0943634535689217</v>
      </c>
    </row>
    <row r="79" spans="1:22" x14ac:dyDescent="0.2">
      <c r="A79">
        <v>200000</v>
      </c>
      <c r="B79">
        <v>3.8777415000919471E-3</v>
      </c>
      <c r="C79">
        <v>135121.95542000001</v>
      </c>
      <c r="D79">
        <v>8.0163765374398316E-2</v>
      </c>
      <c r="E79">
        <v>6.534653628954553E-3</v>
      </c>
      <c r="F79">
        <v>882.9751763367384</v>
      </c>
      <c r="G79">
        <v>3.8642353069151532</v>
      </c>
      <c r="H79">
        <v>1.650435553326246E-2</v>
      </c>
      <c r="I79">
        <v>2230.1007926013208</v>
      </c>
      <c r="J79">
        <v>5.7797049421643063</v>
      </c>
      <c r="K79">
        <v>7.5836166494181439E-3</v>
      </c>
      <c r="L79">
        <v>1024.7131108250483</v>
      </c>
      <c r="M79">
        <v>19.462898200162826</v>
      </c>
      <c r="N79">
        <v>3.5152626312462451E-2</v>
      </c>
      <c r="O79">
        <v>4749.8916054884703</v>
      </c>
      <c r="P79">
        <v>16.341515300508274</v>
      </c>
      <c r="Q79">
        <v>5.3490462930637925E-3</v>
      </c>
      <c r="R79">
        <v>722.77359475088213</v>
      </c>
      <c r="S79">
        <v>1.2111925841599545</v>
      </c>
      <c r="T79">
        <v>3.2078476119453928E-2</v>
      </c>
      <c r="U79">
        <v>4334.5064201543883</v>
      </c>
      <c r="V79">
        <v>0.9171074665570339</v>
      </c>
    </row>
    <row r="80" spans="1:22" x14ac:dyDescent="0.2">
      <c r="A80">
        <v>300000</v>
      </c>
      <c r="B80">
        <v>8.2023809110749486E-4</v>
      </c>
      <c r="C80">
        <v>240693.24307</v>
      </c>
      <c r="D80">
        <v>6.0649523740638166E-2</v>
      </c>
      <c r="E80">
        <v>6.2929509378092403E-3</v>
      </c>
      <c r="F80">
        <v>1514.6707697017039</v>
      </c>
      <c r="G80">
        <v>4.0766698788282625</v>
      </c>
      <c r="H80">
        <v>1.3300283402915428E-2</v>
      </c>
      <c r="I80">
        <v>3201.2883459978098</v>
      </c>
      <c r="J80">
        <v>6.8367523050379688</v>
      </c>
      <c r="K80">
        <v>6.1115901616851688E-3</v>
      </c>
      <c r="L80">
        <v>1471.0184563307089</v>
      </c>
      <c r="M80">
        <v>22.02969197956325</v>
      </c>
      <c r="N80">
        <v>2.2936318012731386E-2</v>
      </c>
      <c r="O80">
        <v>5520.6167665691746</v>
      </c>
      <c r="P80">
        <v>16.118656136290141</v>
      </c>
      <c r="Q80">
        <v>3.0614331440491386E-3</v>
      </c>
      <c r="R80">
        <v>736.86627188317368</v>
      </c>
      <c r="S80">
        <v>1.1701653049719523</v>
      </c>
      <c r="T80">
        <v>2.8540182422172471E-2</v>
      </c>
      <c r="U80">
        <v>6869.4290650021003</v>
      </c>
      <c r="V80">
        <v>1.3516800123433177</v>
      </c>
    </row>
    <row r="81" spans="1:22" x14ac:dyDescent="0.2">
      <c r="A81">
        <v>400000</v>
      </c>
      <c r="B81">
        <v>3.2198855691529409E-4</v>
      </c>
      <c r="C81">
        <v>342937.21435000002</v>
      </c>
      <c r="D81">
        <v>4.7932157397390381E-2</v>
      </c>
      <c r="E81">
        <v>2.8190122655244831E-3</v>
      </c>
      <c r="F81">
        <v>966.74421355744892</v>
      </c>
      <c r="G81">
        <v>3.9740775752168327</v>
      </c>
      <c r="H81">
        <v>1.4601709737221285E-2</v>
      </c>
      <c r="I81">
        <v>5007.4696620299383</v>
      </c>
      <c r="J81">
        <v>7.6546517370097087</v>
      </c>
      <c r="K81">
        <v>5.3082123785794183E-3</v>
      </c>
      <c r="L81">
        <v>1820.3835662882134</v>
      </c>
      <c r="M81">
        <v>24.024818818100954</v>
      </c>
      <c r="N81">
        <v>2.2197105914909431E-2</v>
      </c>
      <c r="O81">
        <v>7612.2136690909492</v>
      </c>
      <c r="P81">
        <v>16.353802884507378</v>
      </c>
      <c r="Q81">
        <v>2.4249814628695384E-3</v>
      </c>
      <c r="R81">
        <v>831.61638772686752</v>
      </c>
      <c r="S81">
        <v>1.1092269246778572</v>
      </c>
      <c r="T81">
        <v>1.8001857641031987E-2</v>
      </c>
      <c r="U81">
        <v>6173.5069125407726</v>
      </c>
      <c r="V81">
        <v>1.2553632947558133</v>
      </c>
    </row>
    <row r="82" spans="1:22" x14ac:dyDescent="0.2">
      <c r="A82">
        <v>500000</v>
      </c>
      <c r="B82">
        <v>1.2768511739744422E-4</v>
      </c>
      <c r="C82">
        <v>447308.48184999998</v>
      </c>
      <c r="D82">
        <v>5.6276768795969802E-2</v>
      </c>
      <c r="E82">
        <v>2.2691785704263318E-3</v>
      </c>
      <c r="F82">
        <v>1015.0228213839557</v>
      </c>
      <c r="G82">
        <v>3.9407657829022198</v>
      </c>
      <c r="H82">
        <v>5.516000550966408E-3</v>
      </c>
      <c r="I82">
        <v>2467.3538323365474</v>
      </c>
      <c r="J82">
        <v>8.1618098353552018</v>
      </c>
      <c r="K82">
        <v>6.4243977372391943E-3</v>
      </c>
      <c r="L82">
        <v>2873.6875986450391</v>
      </c>
      <c r="M82">
        <v>24.020658031885471</v>
      </c>
      <c r="N82">
        <v>1.7996638407918306E-2</v>
      </c>
      <c r="O82">
        <v>8050.0490046493387</v>
      </c>
      <c r="P82">
        <v>18.428751381564602</v>
      </c>
      <c r="Q82">
        <v>1.2449744749080457E-3</v>
      </c>
      <c r="R82">
        <v>556.88764231311882</v>
      </c>
      <c r="S82">
        <v>1.16271099694859</v>
      </c>
      <c r="T82">
        <v>3.0610758175904255E-2</v>
      </c>
      <c r="U82">
        <v>13692.451767941207</v>
      </c>
      <c r="V82">
        <v>1.8649321318924037</v>
      </c>
    </row>
    <row r="83" spans="1:22" x14ac:dyDescent="0.2">
      <c r="A83">
        <v>1000000</v>
      </c>
      <c r="B83">
        <v>1.4850334306007099E-4</v>
      </c>
      <c r="C83">
        <v>639642.38392000005</v>
      </c>
      <c r="D83">
        <v>3.529984726593937E-2</v>
      </c>
      <c r="E83">
        <v>1.2913512465378689E-3</v>
      </c>
      <c r="F83">
        <v>826.00298981354615</v>
      </c>
      <c r="G83">
        <v>3.6081527099492048</v>
      </c>
      <c r="H83">
        <v>3.151008460897053E-3</v>
      </c>
      <c r="I83">
        <v>2015.5185636802812</v>
      </c>
      <c r="J83">
        <v>8.0322797351830122</v>
      </c>
      <c r="K83">
        <v>6.4290741330533764E-3</v>
      </c>
      <c r="L83">
        <v>4112.3083048646695</v>
      </c>
      <c r="M83">
        <v>26.510178576214848</v>
      </c>
      <c r="N83">
        <v>1.2495829133191536E-2</v>
      </c>
      <c r="O83">
        <v>7992.8619358116221</v>
      </c>
      <c r="P83">
        <v>19.504837686591998</v>
      </c>
      <c r="Q83">
        <v>1.1005918015175419E-3</v>
      </c>
      <c r="R83">
        <v>703.98516364548811</v>
      </c>
      <c r="S83">
        <v>1.246167577794431</v>
      </c>
      <c r="T83">
        <v>1.5274352198176909E-2</v>
      </c>
      <c r="U83">
        <v>9770.1230528755714</v>
      </c>
      <c r="V83">
        <v>1.5588080832359619</v>
      </c>
    </row>
    <row r="84" spans="1:22" x14ac:dyDescent="0.2">
      <c r="A84">
        <v>2000000</v>
      </c>
      <c r="B84">
        <v>2.2206107373468559E-5</v>
      </c>
      <c r="C84">
        <v>1276174.2006999999</v>
      </c>
      <c r="D84">
        <v>2.6859661385205211E-2</v>
      </c>
      <c r="E84">
        <v>3.9538566061900199E-4</v>
      </c>
      <c r="F84">
        <v>504.58097940869629</v>
      </c>
      <c r="G84">
        <v>2.7267638147168327</v>
      </c>
      <c r="H84">
        <v>8.4156138691273102E-4</v>
      </c>
      <c r="I84">
        <v>1073.9789302833378</v>
      </c>
      <c r="J84">
        <v>5.8573118514468661</v>
      </c>
      <c r="K84">
        <v>9.9400451935469677E-4</v>
      </c>
      <c r="L84">
        <v>1268.5229229796678</v>
      </c>
      <c r="M84">
        <v>16.908823465870228</v>
      </c>
      <c r="N84">
        <v>1.5173837814103053E-2</v>
      </c>
      <c r="O84">
        <v>19364.460343964398</v>
      </c>
      <c r="P84">
        <v>19.279621108580614</v>
      </c>
      <c r="Q84">
        <v>7.6916561656898506E-3</v>
      </c>
      <c r="R84">
        <v>9815.8931593084708</v>
      </c>
      <c r="S84">
        <v>2.4331752961479651</v>
      </c>
      <c r="T84">
        <v>3.0001628860576099E-3</v>
      </c>
      <c r="U84">
        <v>3828.7304730843753</v>
      </c>
      <c r="V84">
        <v>0.82727849777529627</v>
      </c>
    </row>
    <row r="85" spans="1:22" x14ac:dyDescent="0.2">
      <c r="B85">
        <v>1.387881710841785E-6</v>
      </c>
      <c r="C85">
        <v>2600012.7618</v>
      </c>
      <c r="D85">
        <v>9.3347220385013429E-3</v>
      </c>
      <c r="E85">
        <v>6.036225043789617E-6</v>
      </c>
      <c r="F85">
        <v>15.694262146949768</v>
      </c>
      <c r="G85">
        <v>0.10518056899309158</v>
      </c>
      <c r="H85">
        <v>1.8972993042385664E-4</v>
      </c>
      <c r="I85">
        <v>493.30024039745331</v>
      </c>
      <c r="J85">
        <v>2.6519095239927992</v>
      </c>
      <c r="K85">
        <v>2.6140376282312201E-3</v>
      </c>
      <c r="L85">
        <v>6796.5311932265759</v>
      </c>
      <c r="M85">
        <v>33.681723268702626</v>
      </c>
      <c r="N85">
        <v>6.7268478433350548E-3</v>
      </c>
      <c r="O85">
        <v>17489.890239357948</v>
      </c>
      <c r="P85">
        <v>33.280277331359684</v>
      </c>
      <c r="Q85">
        <v>7.0028411227778367E-7</v>
      </c>
      <c r="R85">
        <v>1.8207476288080215</v>
      </c>
      <c r="S85">
        <v>0.29822161069023423</v>
      </c>
      <c r="T85">
        <v>-6.863717177208686E-6</v>
      </c>
      <c r="U85">
        <v>-17.845752254128456</v>
      </c>
      <c r="V85">
        <v>-9.842272600508295E-3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topLeftCell="A46" zoomScale="80" zoomScaleNormal="80" zoomScalePageLayoutView="80" workbookViewId="0">
      <selection activeCell="H81" sqref="H81"/>
    </sheetView>
  </sheetViews>
  <sheetFormatPr baseColWidth="10" defaultColWidth="8.83203125" defaultRowHeight="15" x14ac:dyDescent="0.2"/>
  <sheetData>
    <row r="1" spans="1:22" s="63" customFormat="1" ht="45" customHeight="1" x14ac:dyDescent="0.2">
      <c r="A1" s="59" t="s">
        <v>10</v>
      </c>
      <c r="B1" s="60" t="s">
        <v>0</v>
      </c>
      <c r="C1" s="61" t="s">
        <v>12</v>
      </c>
      <c r="D1" s="60" t="s">
        <v>22</v>
      </c>
      <c r="E1" s="62" t="s">
        <v>138</v>
      </c>
      <c r="F1" s="60" t="s">
        <v>139</v>
      </c>
      <c r="G1" s="60" t="s">
        <v>140</v>
      </c>
      <c r="H1" s="60" t="s">
        <v>141</v>
      </c>
      <c r="I1" s="60" t="s">
        <v>139</v>
      </c>
      <c r="J1" s="60" t="s">
        <v>140</v>
      </c>
      <c r="K1" s="60" t="s">
        <v>142</v>
      </c>
      <c r="L1" s="60" t="s">
        <v>143</v>
      </c>
      <c r="M1" s="60" t="s">
        <v>140</v>
      </c>
      <c r="N1" s="60" t="s">
        <v>144</v>
      </c>
      <c r="O1" s="60" t="s">
        <v>143</v>
      </c>
      <c r="P1" s="60" t="s">
        <v>140</v>
      </c>
      <c r="Q1" s="60" t="s">
        <v>145</v>
      </c>
      <c r="R1" s="60" t="s">
        <v>143</v>
      </c>
      <c r="S1" s="60" t="s">
        <v>140</v>
      </c>
      <c r="T1" s="60" t="s">
        <v>146</v>
      </c>
      <c r="U1" s="60" t="s">
        <v>143</v>
      </c>
      <c r="V1" s="60" t="s">
        <v>140</v>
      </c>
    </row>
    <row r="2" spans="1:22" x14ac:dyDescent="0.2">
      <c r="A2">
        <v>0</v>
      </c>
      <c r="B2">
        <v>0.15747596140352846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">
      <c r="A3">
        <v>100</v>
      </c>
      <c r="B3">
        <v>3.7855527052893335E-2</v>
      </c>
      <c r="C3">
        <v>48.124674517000003</v>
      </c>
      <c r="D3">
        <v>0.45523359599861518</v>
      </c>
      <c r="E3">
        <v>0.11407847999888085</v>
      </c>
      <c r="F3">
        <v>5.4899897193402358</v>
      </c>
      <c r="G3">
        <v>6.6643319934942172E-2</v>
      </c>
      <c r="H3">
        <v>4.0435269870226331E-2</v>
      </c>
      <c r="I3">
        <v>1.9459342015116992</v>
      </c>
      <c r="J3">
        <v>2.4584894385854088E-2</v>
      </c>
      <c r="K3">
        <v>0.41304765745881239</v>
      </c>
      <c r="L3">
        <v>19.877784075214656</v>
      </c>
      <c r="M3">
        <v>1.3705694939819837</v>
      </c>
      <c r="N3">
        <v>1.7823505616919453E-2</v>
      </c>
      <c r="O3">
        <v>0.85775040656616997</v>
      </c>
      <c r="P3">
        <v>2.1953677060809609E-2</v>
      </c>
      <c r="Q3">
        <v>2.4362432922883332E-2</v>
      </c>
      <c r="R3">
        <v>1.1724341548560053</v>
      </c>
      <c r="S3">
        <v>3.001540386365658E-2</v>
      </c>
      <c r="T3">
        <v>0</v>
      </c>
      <c r="U3">
        <v>0</v>
      </c>
      <c r="V3">
        <v>0</v>
      </c>
    </row>
    <row r="4" spans="1:22" x14ac:dyDescent="0.2">
      <c r="A4">
        <v>200</v>
      </c>
      <c r="B4">
        <v>4.9342973095856883E-2</v>
      </c>
      <c r="C4">
        <v>151.66748422000001</v>
      </c>
      <c r="D4">
        <v>0.20344761701595604</v>
      </c>
      <c r="E4">
        <v>0.31395642035420052</v>
      </c>
      <c r="F4">
        <v>47.616980429838399</v>
      </c>
      <c r="G4">
        <v>0.39636878004090215</v>
      </c>
      <c r="H4">
        <v>8.7010695355472331E-2</v>
      </c>
      <c r="I4">
        <v>13.196693264797327</v>
      </c>
      <c r="J4">
        <v>0.10831104626326717</v>
      </c>
      <c r="K4">
        <v>0.1588873536016053</v>
      </c>
      <c r="L4">
        <v>24.098045195129032</v>
      </c>
      <c r="M4">
        <v>1.3243795191112051</v>
      </c>
      <c r="N4">
        <v>3.1174615357424596E-2</v>
      </c>
      <c r="O4">
        <v>4.7281754827867646</v>
      </c>
      <c r="P4">
        <v>5.3461805876321031E-2</v>
      </c>
      <c r="Q4">
        <v>1.3385648056926177E-2</v>
      </c>
      <c r="R4">
        <v>2.0301675654483247</v>
      </c>
      <c r="S4">
        <v>3.1850141111961779E-2</v>
      </c>
      <c r="T4">
        <v>0</v>
      </c>
      <c r="U4">
        <v>0</v>
      </c>
      <c r="V4">
        <v>0</v>
      </c>
    </row>
    <row r="5" spans="1:22" x14ac:dyDescent="0.2">
      <c r="A5">
        <v>300</v>
      </c>
      <c r="B5">
        <v>4.6351129098349153E-2</v>
      </c>
      <c r="C5">
        <v>248.57160586000001</v>
      </c>
      <c r="D5">
        <v>0.20025409259529126</v>
      </c>
      <c r="E5">
        <v>0.31016249139700308</v>
      </c>
      <c r="F5">
        <v>77.097588564091495</v>
      </c>
      <c r="G5">
        <v>0.54724273473312757</v>
      </c>
      <c r="H5">
        <v>9.6009366363041332E-2</v>
      </c>
      <c r="I5">
        <v>23.865202374462253</v>
      </c>
      <c r="J5">
        <v>0.16203994203517405</v>
      </c>
      <c r="K5">
        <v>0.14462700575032728</v>
      </c>
      <c r="L5">
        <v>35.950167070082308</v>
      </c>
      <c r="M5">
        <v>1.8318217879566396</v>
      </c>
      <c r="N5">
        <v>3.9266032064923954E-2</v>
      </c>
      <c r="O5">
        <v>9.7604206461283987</v>
      </c>
      <c r="P5">
        <v>9.0090298531056628E-2</v>
      </c>
      <c r="Q5">
        <v>1.6361054780040001E-2</v>
      </c>
      <c r="R5">
        <v>4.0668936602379722</v>
      </c>
      <c r="S5">
        <v>4.2749604568313636E-2</v>
      </c>
      <c r="T5">
        <v>0</v>
      </c>
      <c r="U5">
        <v>0</v>
      </c>
      <c r="V5">
        <v>0</v>
      </c>
    </row>
    <row r="6" spans="1:22" x14ac:dyDescent="0.2">
      <c r="A6">
        <v>400</v>
      </c>
      <c r="B6">
        <v>4.0597582949295823E-2</v>
      </c>
      <c r="C6">
        <v>348.91788566000002</v>
      </c>
      <c r="D6">
        <v>0.2023275915225031</v>
      </c>
      <c r="E6">
        <v>0.30088638475596169</v>
      </c>
      <c r="F6">
        <v>104.98464119293142</v>
      </c>
      <c r="G6">
        <v>0.72251139575441425</v>
      </c>
      <c r="H6">
        <v>9.2532751648996076E-2</v>
      </c>
      <c r="I6">
        <v>32.28633205966959</v>
      </c>
      <c r="J6">
        <v>0.20913960250441069</v>
      </c>
      <c r="K6">
        <v>0.14030810291984588</v>
      </c>
      <c r="L6">
        <v>48.956006611758298</v>
      </c>
      <c r="M6">
        <v>2.3368227574009466</v>
      </c>
      <c r="N6">
        <v>4.5900681225708624E-2</v>
      </c>
      <c r="O6">
        <v>16.015568643627912</v>
      </c>
      <c r="P6">
        <v>0.14631687935492563</v>
      </c>
      <c r="Q6">
        <v>1.6118807376948596E-2</v>
      </c>
      <c r="R6">
        <v>5.6241401893257157</v>
      </c>
      <c r="S6">
        <v>5.8472223349097817E-2</v>
      </c>
      <c r="T6">
        <v>0</v>
      </c>
      <c r="U6">
        <v>0</v>
      </c>
      <c r="V6">
        <v>0</v>
      </c>
    </row>
    <row r="7" spans="1:22" x14ac:dyDescent="0.2">
      <c r="A7">
        <v>500</v>
      </c>
      <c r="B7">
        <v>3.6104203737279052E-2</v>
      </c>
      <c r="C7">
        <v>449.16747269000001</v>
      </c>
      <c r="D7">
        <v>0.21302362520379103</v>
      </c>
      <c r="E7">
        <v>0.28699428360504442</v>
      </c>
      <c r="F7">
        <v>128.90849704335491</v>
      </c>
      <c r="G7">
        <v>0.85022990411977584</v>
      </c>
      <c r="H7">
        <v>9.315693149018249E-2</v>
      </c>
      <c r="I7">
        <v>41.843063481000748</v>
      </c>
      <c r="J7">
        <v>0.26737136590564364</v>
      </c>
      <c r="K7">
        <v>0.14122395521123535</v>
      </c>
      <c r="L7">
        <v>63.43320704551634</v>
      </c>
      <c r="M7">
        <v>2.9485138632413266</v>
      </c>
      <c r="N7">
        <v>5.1312377575012079E-2</v>
      </c>
      <c r="O7">
        <v>23.047850953083206</v>
      </c>
      <c r="P7">
        <v>0.19602812132826494</v>
      </c>
      <c r="Q7">
        <v>2.0487292417543618E-2</v>
      </c>
      <c r="R7">
        <v>9.202225357449068</v>
      </c>
      <c r="S7">
        <v>8.0602222128358242E-2</v>
      </c>
      <c r="T7">
        <v>0</v>
      </c>
      <c r="U7">
        <v>0</v>
      </c>
      <c r="V7">
        <v>0</v>
      </c>
    </row>
    <row r="8" spans="1:22" x14ac:dyDescent="0.2">
      <c r="A8">
        <v>600</v>
      </c>
      <c r="B8">
        <v>3.2096367688084826E-2</v>
      </c>
      <c r="C8">
        <v>549.05989440999997</v>
      </c>
      <c r="D8">
        <v>0.22547345612723263</v>
      </c>
      <c r="E8">
        <v>0.27494199625886323</v>
      </c>
      <c r="F8">
        <v>150.95962343476606</v>
      </c>
      <c r="G8">
        <v>0.97998062072959058</v>
      </c>
      <c r="H8">
        <v>9.1647775509933749E-2</v>
      </c>
      <c r="I8">
        <v>50.320117944395605</v>
      </c>
      <c r="J8">
        <v>0.31185155397817427</v>
      </c>
      <c r="K8">
        <v>0.14662308787605205</v>
      </c>
      <c r="L8">
        <v>80.504857147293279</v>
      </c>
      <c r="M8">
        <v>3.4636230518236082</v>
      </c>
      <c r="N8">
        <v>5.7962814744108977E-2</v>
      </c>
      <c r="O8">
        <v>31.825056943106866</v>
      </c>
      <c r="P8">
        <v>0.27316257510629582</v>
      </c>
      <c r="Q8">
        <v>2.074286728195187E-2</v>
      </c>
      <c r="R8">
        <v>11.389076519589137</v>
      </c>
      <c r="S8">
        <v>9.5653043760230871E-2</v>
      </c>
      <c r="T8">
        <v>1.4468622511974933E-4</v>
      </c>
      <c r="U8">
        <v>7.9441403486831055E-2</v>
      </c>
      <c r="V8">
        <v>2.6416578895592864E-3</v>
      </c>
    </row>
    <row r="9" spans="1:22" x14ac:dyDescent="0.2">
      <c r="A9">
        <v>700</v>
      </c>
      <c r="B9">
        <v>2.9236434260823684E-2</v>
      </c>
      <c r="C9">
        <v>649.22110848</v>
      </c>
      <c r="D9">
        <v>0.23822572484556523</v>
      </c>
      <c r="E9">
        <v>0.27184007506705571</v>
      </c>
      <c r="F9">
        <v>176.48431486432031</v>
      </c>
      <c r="G9">
        <v>1.1315652656873669</v>
      </c>
      <c r="H9">
        <v>9.0346856276323925E-2</v>
      </c>
      <c r="I9">
        <v>58.655086179398268</v>
      </c>
      <c r="J9">
        <v>0.36117737076108269</v>
      </c>
      <c r="K9">
        <v>0.14846355878788364</v>
      </c>
      <c r="L9">
        <v>96.385676205155463</v>
      </c>
      <c r="M9">
        <v>4.1277979509261691</v>
      </c>
      <c r="N9">
        <v>6.8258495761398474E-2</v>
      </c>
      <c r="O9">
        <v>44.314856281392501</v>
      </c>
      <c r="P9">
        <v>0.3747830716689452</v>
      </c>
      <c r="Q9">
        <v>2.1506990788111236E-2</v>
      </c>
      <c r="R9">
        <v>13.962792399526725</v>
      </c>
      <c r="S9">
        <v>0.1052784630165594</v>
      </c>
      <c r="T9">
        <v>-3.3204918281496023E-6</v>
      </c>
      <c r="U9">
        <v>-2.1557333853700665E-3</v>
      </c>
      <c r="V9">
        <v>-1.0728878155899034E-4</v>
      </c>
    </row>
    <row r="10" spans="1:22" x14ac:dyDescent="0.2">
      <c r="A10">
        <v>800</v>
      </c>
      <c r="B10">
        <v>2.6530864266829823E-2</v>
      </c>
      <c r="C10">
        <v>748.62744021000003</v>
      </c>
      <c r="D10">
        <v>0.2495646577748398</v>
      </c>
      <c r="E10">
        <v>0.25015590030282847</v>
      </c>
      <c r="F10">
        <v>187.27357129713445</v>
      </c>
      <c r="G10">
        <v>1.2124425495933457</v>
      </c>
      <c r="H10">
        <v>8.8890621970899933E-2</v>
      </c>
      <c r="I10">
        <v>66.545958784749601</v>
      </c>
      <c r="J10">
        <v>0.40797589287280228</v>
      </c>
      <c r="K10">
        <v>0.15196822880186994</v>
      </c>
      <c r="L10">
        <v>113.76758612119148</v>
      </c>
      <c r="M10">
        <v>4.6683399358494748</v>
      </c>
      <c r="N10">
        <v>7.3755321406614796E-2</v>
      </c>
      <c r="O10">
        <v>55.21525746649985</v>
      </c>
      <c r="P10">
        <v>0.46841615073346027</v>
      </c>
      <c r="Q10">
        <v>2.3778205261228192E-2</v>
      </c>
      <c r="R10">
        <v>17.801016937501217</v>
      </c>
      <c r="S10">
        <v>0.12895659998435421</v>
      </c>
      <c r="T10">
        <v>6.2902305126892396E-5</v>
      </c>
      <c r="U10">
        <v>4.709039167045382E-2</v>
      </c>
      <c r="V10">
        <v>2.8847467958320101E-4</v>
      </c>
    </row>
    <row r="11" spans="1:22" x14ac:dyDescent="0.2">
      <c r="A11">
        <v>900</v>
      </c>
      <c r="B11">
        <v>2.3755129075896289E-2</v>
      </c>
      <c r="C11">
        <v>848.66474832999995</v>
      </c>
      <c r="D11">
        <v>0.2632585928599806</v>
      </c>
      <c r="E11">
        <v>0.24114234770975029</v>
      </c>
      <c r="F11">
        <v>204.64900983080057</v>
      </c>
      <c r="G11">
        <v>1.309924000274576</v>
      </c>
      <c r="H11">
        <v>8.8665708824367459E-2</v>
      </c>
      <c r="I11">
        <v>75.247461464932869</v>
      </c>
      <c r="J11">
        <v>0.46397028149952746</v>
      </c>
      <c r="K11">
        <v>0.15505821913298579</v>
      </c>
      <c r="L11">
        <v>131.59244451699337</v>
      </c>
      <c r="M11">
        <v>5.2582041290329888</v>
      </c>
      <c r="N11">
        <v>8.2182617509506839E-2</v>
      </c>
      <c r="O11">
        <v>69.745490405806265</v>
      </c>
      <c r="P11">
        <v>0.5679147610100187</v>
      </c>
      <c r="Q11">
        <v>2.6019051747234571E-2</v>
      </c>
      <c r="R11">
        <v>22.081452002852071</v>
      </c>
      <c r="S11">
        <v>0.15969627130964076</v>
      </c>
      <c r="T11">
        <v>-1.2955297466214421E-6</v>
      </c>
      <c r="U11">
        <v>-1.0994704263705148E-3</v>
      </c>
      <c r="V11">
        <v>-9.8603553591682347E-5</v>
      </c>
    </row>
    <row r="12" spans="1:22" x14ac:dyDescent="0.2">
      <c r="A12">
        <v>1000</v>
      </c>
      <c r="B12">
        <v>2.2015032191792357E-2</v>
      </c>
      <c r="C12">
        <v>949.80544294000003</v>
      </c>
      <c r="D12">
        <v>0.27308313385666355</v>
      </c>
      <c r="E12">
        <v>0.22642631652333289</v>
      </c>
      <c r="F12">
        <v>215.06094785871684</v>
      </c>
      <c r="G12">
        <v>1.3793019299452827</v>
      </c>
      <c r="H12">
        <v>8.692260284486647E-2</v>
      </c>
      <c r="I12">
        <v>82.559561296566102</v>
      </c>
      <c r="J12">
        <v>0.4907920465811319</v>
      </c>
      <c r="K12">
        <v>0.15093498314709691</v>
      </c>
      <c r="L12">
        <v>143.35886852316983</v>
      </c>
      <c r="M12">
        <v>5.5378545681528237</v>
      </c>
      <c r="N12">
        <v>9.3062689405681437E-2</v>
      </c>
      <c r="O12">
        <v>88.391448932150908</v>
      </c>
      <c r="P12">
        <v>0.72364767392830198</v>
      </c>
      <c r="Q12">
        <v>2.9086627585697418E-2</v>
      </c>
      <c r="R12">
        <v>27.626637197664159</v>
      </c>
      <c r="S12">
        <v>0.18441515531509434</v>
      </c>
      <c r="T12">
        <v>-1.1662818121768999E-6</v>
      </c>
      <c r="U12">
        <v>-1.1077408132075463E-3</v>
      </c>
      <c r="V12">
        <v>-9.1944726415093915E-5</v>
      </c>
    </row>
    <row r="13" spans="1:22" x14ac:dyDescent="0.2">
      <c r="A13">
        <v>1100</v>
      </c>
      <c r="B13">
        <v>1.9882010204826241E-2</v>
      </c>
      <c r="C13">
        <v>1049.1212513999999</v>
      </c>
      <c r="D13">
        <v>0.28824780451686505</v>
      </c>
      <c r="E13">
        <v>0.21696552190367699</v>
      </c>
      <c r="F13">
        <v>227.62313985023968</v>
      </c>
      <c r="G13">
        <v>1.4566282876621679</v>
      </c>
      <c r="H13">
        <v>8.3325781660449683E-2</v>
      </c>
      <c r="I13">
        <v>87.418848329494125</v>
      </c>
      <c r="J13">
        <v>0.53108583412817623</v>
      </c>
      <c r="K13">
        <v>0.15100580333414726</v>
      </c>
      <c r="L13">
        <v>158.42339736258285</v>
      </c>
      <c r="M13">
        <v>5.9997054281796158</v>
      </c>
      <c r="N13">
        <v>0.10546821271819909</v>
      </c>
      <c r="O13">
        <v>110.64894330983842</v>
      </c>
      <c r="P13">
        <v>0.8981658753273849</v>
      </c>
      <c r="Q13">
        <v>3.1766461627206893E-2</v>
      </c>
      <c r="R13">
        <v>33.326869974885376</v>
      </c>
      <c r="S13">
        <v>0.2412980472859968</v>
      </c>
      <c r="T13">
        <v>7.3268373118020227E-6</v>
      </c>
      <c r="U13">
        <v>7.6867407293619494E-3</v>
      </c>
      <c r="V13">
        <v>-2.3148091756070433E-5</v>
      </c>
    </row>
    <row r="14" spans="1:22" x14ac:dyDescent="0.2">
      <c r="A14">
        <v>1200</v>
      </c>
      <c r="B14">
        <v>1.8445026971501705E-2</v>
      </c>
      <c r="C14">
        <v>1149.7510745</v>
      </c>
      <c r="D14">
        <v>0.29525640747076604</v>
      </c>
      <c r="E14">
        <v>0.20054521153362576</v>
      </c>
      <c r="F14">
        <v>230.577072446616</v>
      </c>
      <c r="G14">
        <v>1.4813429839034085</v>
      </c>
      <c r="H14">
        <v>8.6338684477100788E-2</v>
      </c>
      <c r="I14">
        <v>99.267995248463095</v>
      </c>
      <c r="J14">
        <v>0.59905314958107192</v>
      </c>
      <c r="K14">
        <v>0.15195943803903014</v>
      </c>
      <c r="L14">
        <v>174.71552716579109</v>
      </c>
      <c r="M14">
        <v>6.3983648159455973</v>
      </c>
      <c r="N14">
        <v>0.11140413874913271</v>
      </c>
      <c r="O14">
        <v>128.08702823056242</v>
      </c>
      <c r="P14">
        <v>1.0279342515828975</v>
      </c>
      <c r="Q14">
        <v>3.170897757897722E-2</v>
      </c>
      <c r="R14">
        <v>36.457431042725467</v>
      </c>
      <c r="S14">
        <v>0.25424041645751683</v>
      </c>
      <c r="T14">
        <v>1.8385310362592383E-4</v>
      </c>
      <c r="U14">
        <v>0.21138530344406575</v>
      </c>
      <c r="V14">
        <v>1.1398210681071214E-3</v>
      </c>
    </row>
    <row r="15" spans="1:22" x14ac:dyDescent="0.2">
      <c r="A15">
        <v>1300</v>
      </c>
      <c r="B15">
        <v>1.7302737565323797E-2</v>
      </c>
      <c r="C15">
        <v>1249.9136281999999</v>
      </c>
      <c r="D15">
        <v>0.29512470844839805</v>
      </c>
      <c r="E15">
        <v>0.19320129773048986</v>
      </c>
      <c r="F15">
        <v>241.48493501926498</v>
      </c>
      <c r="G15">
        <v>1.5376833333799824</v>
      </c>
      <c r="H15">
        <v>8.0982224512572823E-2</v>
      </c>
      <c r="I15">
        <v>101.22078606021687</v>
      </c>
      <c r="J15">
        <v>0.59505451496624473</v>
      </c>
      <c r="K15">
        <v>0.14215212221439355</v>
      </c>
      <c r="L15">
        <v>177.67787483332245</v>
      </c>
      <c r="M15">
        <v>6.3783132691259512</v>
      </c>
      <c r="N15">
        <v>0.1189423685092091</v>
      </c>
      <c r="O15">
        <v>148.66768737004696</v>
      </c>
      <c r="P15">
        <v>1.2197324673369019</v>
      </c>
      <c r="Q15">
        <v>3.4003330876755562E-2</v>
      </c>
      <c r="R15">
        <v>42.501226667050631</v>
      </c>
      <c r="S15">
        <v>0.27689875872608244</v>
      </c>
      <c r="T15">
        <v>2.6886848039859899E-5</v>
      </c>
      <c r="U15">
        <v>3.3606237784363342E-2</v>
      </c>
      <c r="V15">
        <v>2.4878480038929471E-4</v>
      </c>
    </row>
    <row r="16" spans="1:22" x14ac:dyDescent="0.2">
      <c r="A16">
        <v>1400</v>
      </c>
      <c r="B16">
        <v>1.5756296624773368E-2</v>
      </c>
      <c r="C16">
        <v>1349.2716677000001</v>
      </c>
      <c r="D16">
        <v>0.31471784369460976</v>
      </c>
      <c r="E16">
        <v>0.18136995533103356</v>
      </c>
      <c r="F16">
        <v>244.71734210017817</v>
      </c>
      <c r="G16">
        <v>1.5922792402157158</v>
      </c>
      <c r="H16">
        <v>8.0116980297470622E-2</v>
      </c>
      <c r="I16">
        <v>108.09957161705624</v>
      </c>
      <c r="J16">
        <v>0.65560040846072276</v>
      </c>
      <c r="K16">
        <v>0.14474939986234123</v>
      </c>
      <c r="L16">
        <v>195.30626415083532</v>
      </c>
      <c r="M16">
        <v>6.6711887580837965</v>
      </c>
      <c r="N16">
        <v>0.13142810331238158</v>
      </c>
      <c r="O16">
        <v>177.332216138945</v>
      </c>
      <c r="P16">
        <v>1.4820379252392768</v>
      </c>
      <c r="Q16">
        <v>3.8542078174191009E-2</v>
      </c>
      <c r="R16">
        <v>52.003734094714474</v>
      </c>
      <c r="S16">
        <v>0.3347203334608484</v>
      </c>
      <c r="T16">
        <v>-1.7376543040401078E-6</v>
      </c>
      <c r="U16">
        <v>-2.3445677206982794E-3</v>
      </c>
      <c r="V16">
        <v>-7.1145570822943042E-5</v>
      </c>
    </row>
    <row r="17" spans="1:22" x14ac:dyDescent="0.2">
      <c r="A17">
        <v>1500</v>
      </c>
      <c r="B17">
        <v>1.4271601057529849E-2</v>
      </c>
      <c r="C17">
        <v>1449.1222981999999</v>
      </c>
      <c r="D17">
        <v>0.34156350449483802</v>
      </c>
      <c r="E17">
        <v>0.17241096240700879</v>
      </c>
      <c r="F17">
        <v>249.84457007811835</v>
      </c>
      <c r="G17">
        <v>1.6438373160063273</v>
      </c>
      <c r="H17">
        <v>7.9117840050719909E-2</v>
      </c>
      <c r="I17">
        <v>114.65142620291924</v>
      </c>
      <c r="J17">
        <v>0.67655585137207441</v>
      </c>
      <c r="K17">
        <v>0.14332934444426507</v>
      </c>
      <c r="L17">
        <v>207.70174902057278</v>
      </c>
      <c r="M17">
        <v>7.2978478082632208</v>
      </c>
      <c r="N17">
        <v>0.15582510154790716</v>
      </c>
      <c r="O17">
        <v>225.8096292723516</v>
      </c>
      <c r="P17">
        <v>1.8161076608926463</v>
      </c>
      <c r="Q17">
        <v>4.2239930633448976E-2</v>
      </c>
      <c r="R17">
        <v>61.210825355352164</v>
      </c>
      <c r="S17">
        <v>0.37344619777874083</v>
      </c>
      <c r="T17">
        <v>1.6912786921680461E-4</v>
      </c>
      <c r="U17">
        <v>0.2450869665291249</v>
      </c>
      <c r="V17">
        <v>4.8266409203146501E-3</v>
      </c>
    </row>
    <row r="18" spans="1:22" x14ac:dyDescent="0.2">
      <c r="A18">
        <v>1600</v>
      </c>
      <c r="B18">
        <v>1.3707472874134864E-2</v>
      </c>
      <c r="C18">
        <v>1549.7320672000001</v>
      </c>
      <c r="D18">
        <v>0.32738590131724432</v>
      </c>
      <c r="E18">
        <v>0.16579080198341209</v>
      </c>
      <c r="F18">
        <v>256.9313222804991</v>
      </c>
      <c r="G18">
        <v>1.6892979334430831</v>
      </c>
      <c r="H18">
        <v>7.7814078384523033E-2</v>
      </c>
      <c r="I18">
        <v>120.59097255210973</v>
      </c>
      <c r="J18">
        <v>0.71420905755790431</v>
      </c>
      <c r="K18">
        <v>0.13787460987904721</v>
      </c>
      <c r="L18">
        <v>213.66870418224937</v>
      </c>
      <c r="M18">
        <v>7.3093681422111416</v>
      </c>
      <c r="N18">
        <v>0.14939956863624568</v>
      </c>
      <c r="O18">
        <v>231.52930234143733</v>
      </c>
      <c r="P18">
        <v>1.9011955313048308</v>
      </c>
      <c r="Q18">
        <v>4.0113033355118864E-2</v>
      </c>
      <c r="R18">
        <v>62.164454103090911</v>
      </c>
      <c r="S18">
        <v>0.38088552468321057</v>
      </c>
      <c r="T18">
        <v>-1.3105531674510148E-6</v>
      </c>
      <c r="U18">
        <v>-2.031006269369369E-3</v>
      </c>
      <c r="V18">
        <v>-9.2389564127765144E-5</v>
      </c>
    </row>
    <row r="19" spans="1:22" x14ac:dyDescent="0.2">
      <c r="A19">
        <v>1700</v>
      </c>
      <c r="B19">
        <v>1.2829004608450136E-2</v>
      </c>
      <c r="C19">
        <v>1649.1714399</v>
      </c>
      <c r="D19">
        <v>0.33041326978089769</v>
      </c>
      <c r="E19">
        <v>0.1563477762401678</v>
      </c>
      <c r="F19">
        <v>257.84428726716055</v>
      </c>
      <c r="G19">
        <v>1.68360422019871</v>
      </c>
      <c r="H19">
        <v>7.6607151054865513E-2</v>
      </c>
      <c r="I19">
        <v>126.33832561178937</v>
      </c>
      <c r="J19">
        <v>0.7737642603124264</v>
      </c>
      <c r="K19">
        <v>0.1361808826835206</v>
      </c>
      <c r="L19">
        <v>224.58562238203467</v>
      </c>
      <c r="M19">
        <v>7.3126766616686636</v>
      </c>
      <c r="N19">
        <v>0.15478627913570484</v>
      </c>
      <c r="O19">
        <v>255.26911083899367</v>
      </c>
      <c r="P19">
        <v>2.0570443698429468</v>
      </c>
      <c r="Q19">
        <v>3.9439015950898874E-2</v>
      </c>
      <c r="R19">
        <v>65.041698723982961</v>
      </c>
      <c r="S19">
        <v>0.37827358087735746</v>
      </c>
      <c r="T19">
        <v>7.0920107733681324E-6</v>
      </c>
      <c r="U19">
        <v>1.1695941618901836E-2</v>
      </c>
      <c r="V19">
        <v>-1.4203554320715839E-5</v>
      </c>
    </row>
    <row r="20" spans="1:22" x14ac:dyDescent="0.2">
      <c r="A20">
        <v>1800</v>
      </c>
      <c r="B20">
        <v>1.1944923127010234E-2</v>
      </c>
      <c r="C20">
        <v>1750.1581077999999</v>
      </c>
      <c r="D20">
        <v>0.33636709958807676</v>
      </c>
      <c r="E20">
        <v>0.15309641965151305</v>
      </c>
      <c r="F20">
        <v>267.94294012824679</v>
      </c>
      <c r="G20">
        <v>1.7444358110944067</v>
      </c>
      <c r="H20">
        <v>7.9365240689210484E-2</v>
      </c>
      <c r="I20">
        <v>138.90171946972018</v>
      </c>
      <c r="J20">
        <v>0.83748012370643954</v>
      </c>
      <c r="K20">
        <v>0.13999061045984573</v>
      </c>
      <c r="L20">
        <v>245.00570191217051</v>
      </c>
      <c r="M20">
        <v>7.7058170553027043</v>
      </c>
      <c r="N20">
        <v>0.15500246121867758</v>
      </c>
      <c r="O20">
        <v>271.27881423082363</v>
      </c>
      <c r="P20">
        <v>2.1689516472704651</v>
      </c>
      <c r="Q20">
        <v>4.1176353424895049E-2</v>
      </c>
      <c r="R20">
        <v>72.06512879621836</v>
      </c>
      <c r="S20">
        <v>0.39940438704332737</v>
      </c>
      <c r="T20">
        <v>1.9767448465843438E-4</v>
      </c>
      <c r="U20">
        <v>0.34596160203014564</v>
      </c>
      <c r="V20">
        <v>1.6029070765977433E-3</v>
      </c>
    </row>
    <row r="21" spans="1:22" x14ac:dyDescent="0.2">
      <c r="A21">
        <v>1900</v>
      </c>
      <c r="B21">
        <v>1.1363955296349726E-2</v>
      </c>
      <c r="C21">
        <v>1849.2602664999999</v>
      </c>
      <c r="D21">
        <v>0.33991345187575545</v>
      </c>
      <c r="E21">
        <v>0.15532192071752948</v>
      </c>
      <c r="F21">
        <v>287.23065649939042</v>
      </c>
      <c r="G21">
        <v>1.9041343886723381</v>
      </c>
      <c r="H21">
        <v>7.5051875540557103E-2</v>
      </c>
      <c r="I21">
        <v>138.79045136345545</v>
      </c>
      <c r="J21">
        <v>0.82940415157611336</v>
      </c>
      <c r="K21">
        <v>0.1273223383137897</v>
      </c>
      <c r="L21">
        <v>235.45214128156189</v>
      </c>
      <c r="M21">
        <v>7.6544503795930279</v>
      </c>
      <c r="N21">
        <v>0.17005603929074192</v>
      </c>
      <c r="O21">
        <v>314.47787653873189</v>
      </c>
      <c r="P21">
        <v>2.4615190391011099</v>
      </c>
      <c r="Q21">
        <v>4.2537620045450454E-2</v>
      </c>
      <c r="R21">
        <v>78.663130581525451</v>
      </c>
      <c r="S21">
        <v>0.4658449804880212</v>
      </c>
      <c r="T21">
        <v>-2.5457742266886473E-6</v>
      </c>
      <c r="U21">
        <v>-4.707799124895079E-3</v>
      </c>
      <c r="V21">
        <v>-1.3805086856013765E-4</v>
      </c>
    </row>
    <row r="22" spans="1:22" x14ac:dyDescent="0.2">
      <c r="A22">
        <v>2000</v>
      </c>
      <c r="B22">
        <v>1.069878922936161E-2</v>
      </c>
      <c r="C22">
        <v>1949.1799559999999</v>
      </c>
      <c r="D22">
        <v>0.35008799212503883</v>
      </c>
      <c r="E22">
        <v>0.14255805938349597</v>
      </c>
      <c r="F22">
        <v>277.87131191656806</v>
      </c>
      <c r="G22">
        <v>1.7932834664825807</v>
      </c>
      <c r="H22">
        <v>7.3506842891053012E-2</v>
      </c>
      <c r="I22">
        <v>143.27806479208161</v>
      </c>
      <c r="J22">
        <v>0.83859367760587677</v>
      </c>
      <c r="K22">
        <v>0.1347767299546955</v>
      </c>
      <c r="L22">
        <v>262.70410056291723</v>
      </c>
      <c r="M22">
        <v>8.2592451499872102</v>
      </c>
      <c r="N22">
        <v>0.16735835248760544</v>
      </c>
      <c r="O22">
        <v>326.21154613802327</v>
      </c>
      <c r="P22">
        <v>2.5644898309102833</v>
      </c>
      <c r="Q22">
        <v>4.7933327114875253E-2</v>
      </c>
      <c r="R22">
        <v>93.430680436706155</v>
      </c>
      <c r="S22">
        <v>0.53428323978541459</v>
      </c>
      <c r="T22">
        <v>1.9582567862737508E-5</v>
      </c>
      <c r="U22">
        <v>3.8169948765057707E-2</v>
      </c>
      <c r="V22">
        <v>1.8761173357817438E-4</v>
      </c>
    </row>
    <row r="23" spans="1:22" x14ac:dyDescent="0.2">
      <c r="A23">
        <v>2100</v>
      </c>
      <c r="B23">
        <v>1.0098175143557993E-2</v>
      </c>
      <c r="C23">
        <v>2050.2726244999999</v>
      </c>
      <c r="D23">
        <v>0.35378089535160034</v>
      </c>
      <c r="E23">
        <v>0.13718873081242747</v>
      </c>
      <c r="F23">
        <v>281.27429917461967</v>
      </c>
      <c r="G23">
        <v>1.8495581729921089</v>
      </c>
      <c r="H23">
        <v>7.3845783539092283E-2</v>
      </c>
      <c r="I23">
        <v>151.40398842495364</v>
      </c>
      <c r="J23">
        <v>0.90266395709005376</v>
      </c>
      <c r="K23">
        <v>0.13352191228318067</v>
      </c>
      <c r="L23">
        <v>273.75632152509559</v>
      </c>
      <c r="M23">
        <v>8.5146258167594144</v>
      </c>
      <c r="N23">
        <v>0.1749655839794243</v>
      </c>
      <c r="O23">
        <v>358.72714706266942</v>
      </c>
      <c r="P23">
        <v>2.7165243508451402</v>
      </c>
      <c r="Q23">
        <v>4.5295331214638392E-2</v>
      </c>
      <c r="R23">
        <v>92.867777607033418</v>
      </c>
      <c r="S23">
        <v>0.508896740079822</v>
      </c>
      <c r="T23">
        <v>-1.9321256429798648E-6</v>
      </c>
      <c r="U23">
        <v>-3.9613843128960772E-3</v>
      </c>
      <c r="V23">
        <v>-1.199524477487508E-4</v>
      </c>
    </row>
    <row r="24" spans="1:22" x14ac:dyDescent="0.2">
      <c r="A24">
        <v>2200</v>
      </c>
      <c r="B24">
        <v>9.5817592940819866E-3</v>
      </c>
      <c r="C24">
        <v>2149.8219782000001</v>
      </c>
      <c r="D24">
        <v>0.35548969901713401</v>
      </c>
      <c r="E24">
        <v>0.13927671668216138</v>
      </c>
      <c r="F24">
        <v>299.42014657484515</v>
      </c>
      <c r="G24">
        <v>1.9425557288993545</v>
      </c>
      <c r="H24">
        <v>7.4036157259509572E-2</v>
      </c>
      <c r="I24">
        <v>159.16455805796517</v>
      </c>
      <c r="J24">
        <v>0.95561205848564656</v>
      </c>
      <c r="K24">
        <v>0.12446219272035046</v>
      </c>
      <c r="L24">
        <v>267.57155736517348</v>
      </c>
      <c r="M24">
        <v>8.1542228439919082</v>
      </c>
      <c r="N24">
        <v>0.18760399980948997</v>
      </c>
      <c r="O24">
        <v>403.31520198867014</v>
      </c>
      <c r="P24">
        <v>3.1233695623226683</v>
      </c>
      <c r="Q24">
        <v>4.333115297349148E-2</v>
      </c>
      <c r="R24">
        <v>93.154265003158272</v>
      </c>
      <c r="S24">
        <v>0.52195886042062134</v>
      </c>
      <c r="T24">
        <v>9.235351380209244E-5</v>
      </c>
      <c r="U24">
        <v>0.19854361373573537</v>
      </c>
      <c r="V24">
        <v>2.7272134100761556E-4</v>
      </c>
    </row>
    <row r="25" spans="1:22" x14ac:dyDescent="0.2">
      <c r="A25">
        <v>2300</v>
      </c>
      <c r="B25">
        <v>8.9193998349714563E-3</v>
      </c>
      <c r="C25">
        <v>2249.3412239999998</v>
      </c>
      <c r="D25">
        <v>0.36235690516564761</v>
      </c>
      <c r="E25">
        <v>0.12428795646797107</v>
      </c>
      <c r="F25">
        <v>279.56602413012473</v>
      </c>
      <c r="G25">
        <v>1.805258365674699</v>
      </c>
      <c r="H25">
        <v>7.1708814318478295E-2</v>
      </c>
      <c r="I25">
        <v>161.29759217071469</v>
      </c>
      <c r="J25">
        <v>1.0069091552153528</v>
      </c>
      <c r="K25">
        <v>0.13376984111460061</v>
      </c>
      <c r="L25">
        <v>300.89401814700125</v>
      </c>
      <c r="M25">
        <v>8.9674084814713524</v>
      </c>
      <c r="N25">
        <v>0.1836704917300569</v>
      </c>
      <c r="O25">
        <v>413.13760868076804</v>
      </c>
      <c r="P25">
        <v>3.069010113682006</v>
      </c>
      <c r="Q25">
        <v>4.4917623392464461E-2</v>
      </c>
      <c r="R25">
        <v>101.03506198077703</v>
      </c>
      <c r="S25">
        <v>0.55695856574222669</v>
      </c>
      <c r="T25">
        <v>-1.0510714743672312E-6</v>
      </c>
      <c r="U25">
        <v>-2.3642183966646724E-3</v>
      </c>
      <c r="V25">
        <v>-1.0307166230333555E-4</v>
      </c>
    </row>
    <row r="26" spans="1:22" x14ac:dyDescent="0.2">
      <c r="A26">
        <v>2400</v>
      </c>
      <c r="B26">
        <v>8.5601540266403223E-3</v>
      </c>
      <c r="C26">
        <v>2351.1537398</v>
      </c>
      <c r="D26">
        <v>0.35066666544404196</v>
      </c>
      <c r="E26">
        <v>0.12267605661893355</v>
      </c>
      <c r="F26">
        <v>288.43026930352215</v>
      </c>
      <c r="G26">
        <v>1.8871790011281904</v>
      </c>
      <c r="H26">
        <v>6.9451759958777906E-2</v>
      </c>
      <c r="I26">
        <v>163.29176516277258</v>
      </c>
      <c r="J26">
        <v>0.99323758970465625</v>
      </c>
      <c r="K26">
        <v>0.12705445651792674</v>
      </c>
      <c r="L26">
        <v>298.72456060037996</v>
      </c>
      <c r="M26">
        <v>8.8876131873765623</v>
      </c>
      <c r="N26">
        <v>0.17967625237415799</v>
      </c>
      <c r="O26">
        <v>422.44649272275018</v>
      </c>
      <c r="P26">
        <v>3.2698424772207804</v>
      </c>
      <c r="Q26">
        <v>4.3937272371255824E-2</v>
      </c>
      <c r="R26">
        <v>103.30328225228935</v>
      </c>
      <c r="S26">
        <v>0.54154590905023037</v>
      </c>
      <c r="T26">
        <v>-1.3158192985646729E-6</v>
      </c>
      <c r="U26">
        <v>-3.0936934647213437E-3</v>
      </c>
      <c r="V26">
        <v>-1.0603063514753983E-4</v>
      </c>
    </row>
    <row r="27" spans="1:22" x14ac:dyDescent="0.2">
      <c r="A27">
        <v>2500</v>
      </c>
      <c r="B27">
        <v>7.9427002935711834E-3</v>
      </c>
      <c r="C27">
        <v>2449.3045836000001</v>
      </c>
      <c r="D27">
        <v>0.36385052453916122</v>
      </c>
      <c r="E27">
        <v>0.11706294397409259</v>
      </c>
      <c r="F27">
        <v>286.72280524545499</v>
      </c>
      <c r="G27">
        <v>1.8876225225920928</v>
      </c>
      <c r="H27">
        <v>6.5848231885908756E-2</v>
      </c>
      <c r="I27">
        <v>161.28237618011201</v>
      </c>
      <c r="J27">
        <v>1.0164049829356887</v>
      </c>
      <c r="K27">
        <v>0.12734824220053437</v>
      </c>
      <c r="L27">
        <v>311.9146333351718</v>
      </c>
      <c r="M27">
        <v>9.117517712841785</v>
      </c>
      <c r="N27">
        <v>0.19250273847288465</v>
      </c>
      <c r="O27">
        <v>471.49783969718845</v>
      </c>
      <c r="P27">
        <v>3.4967392899462948</v>
      </c>
      <c r="Q27">
        <v>4.4000535798508246E-2</v>
      </c>
      <c r="R27">
        <v>107.77071401214214</v>
      </c>
      <c r="S27">
        <v>0.57441039419420459</v>
      </c>
      <c r="T27">
        <v>-9.9193276602960914E-7</v>
      </c>
      <c r="U27">
        <v>-2.4295454704593481E-3</v>
      </c>
      <c r="V27">
        <v>-1.1105818282685436E-4</v>
      </c>
    </row>
    <row r="28" spans="1:22" x14ac:dyDescent="0.2">
      <c r="A28">
        <v>2600</v>
      </c>
      <c r="B28">
        <v>7.53574215132107E-3</v>
      </c>
      <c r="C28">
        <v>2549.3462218</v>
      </c>
      <c r="D28">
        <v>0.36234394583387175</v>
      </c>
      <c r="E28">
        <v>0.11600117042727988</v>
      </c>
      <c r="F28">
        <v>295.72714555316384</v>
      </c>
      <c r="G28">
        <v>1.9671582421725156</v>
      </c>
      <c r="H28">
        <v>6.8554283098894886E-2</v>
      </c>
      <c r="I28">
        <v>174.76860260637528</v>
      </c>
      <c r="J28">
        <v>1.0668222390925128</v>
      </c>
      <c r="K28">
        <v>0.12697577876039834</v>
      </c>
      <c r="L28">
        <v>323.70522184293418</v>
      </c>
      <c r="M28">
        <v>9.3196523222694214</v>
      </c>
      <c r="N28">
        <v>0.18787445051378762</v>
      </c>
      <c r="O28">
        <v>478.95702059007556</v>
      </c>
      <c r="P28">
        <v>3.7093636582002221</v>
      </c>
      <c r="Q28">
        <v>4.7210545036469494E-2</v>
      </c>
      <c r="R28">
        <v>120.35602461784225</v>
      </c>
      <c r="S28">
        <v>0.60245014337787672</v>
      </c>
      <c r="T28">
        <v>2.8317152321626548E-4</v>
      </c>
      <c r="U28">
        <v>0.72190225283273735</v>
      </c>
      <c r="V28">
        <v>1.0608691396089382E-2</v>
      </c>
    </row>
    <row r="29" spans="1:22" x14ac:dyDescent="0.2">
      <c r="A29">
        <v>2700</v>
      </c>
      <c r="B29">
        <v>7.2522747556847842E-3</v>
      </c>
      <c r="C29">
        <v>2648.8978960999998</v>
      </c>
      <c r="D29">
        <v>0.3649753459609823</v>
      </c>
      <c r="E29">
        <v>0.11586101278821327</v>
      </c>
      <c r="F29">
        <v>306.90399301471331</v>
      </c>
      <c r="G29">
        <v>1.960656482543254</v>
      </c>
      <c r="H29">
        <v>6.9251173249348624E-2</v>
      </c>
      <c r="I29">
        <v>183.43928712265617</v>
      </c>
      <c r="J29">
        <v>1.1199786977237689</v>
      </c>
      <c r="K29">
        <v>0.11881581852887703</v>
      </c>
      <c r="L29">
        <v>314.73097172454175</v>
      </c>
      <c r="M29">
        <v>8.9524021084945602</v>
      </c>
      <c r="N29">
        <v>0.20372186012440877</v>
      </c>
      <c r="O29">
        <v>539.63840667312479</v>
      </c>
      <c r="P29">
        <v>4.1353326726520416</v>
      </c>
      <c r="Q29">
        <v>4.238928325121618E-2</v>
      </c>
      <c r="R29">
        <v>112.2848832213335</v>
      </c>
      <c r="S29">
        <v>0.59329749040735291</v>
      </c>
      <c r="T29">
        <v>4.8384056480354874E-5</v>
      </c>
      <c r="U29">
        <v>0.12816442541559558</v>
      </c>
      <c r="V29">
        <v>8.6418745212848405E-4</v>
      </c>
    </row>
    <row r="30" spans="1:22" x14ac:dyDescent="0.2">
      <c r="A30">
        <v>2800</v>
      </c>
      <c r="B30">
        <v>7.0165196939674769E-3</v>
      </c>
      <c r="C30">
        <v>2748.8338594000002</v>
      </c>
      <c r="D30">
        <v>0.36544309500993188</v>
      </c>
      <c r="E30">
        <v>0.10758479103973369</v>
      </c>
      <c r="F30">
        <v>295.73271636649372</v>
      </c>
      <c r="G30">
        <v>1.9587392432134483</v>
      </c>
      <c r="H30">
        <v>6.8849675457038365E-2</v>
      </c>
      <c r="I30">
        <v>189.25631910500823</v>
      </c>
      <c r="J30">
        <v>1.1142086882176343</v>
      </c>
      <c r="K30">
        <v>0.1233962288158518</v>
      </c>
      <c r="L30">
        <v>339.1957318912834</v>
      </c>
      <c r="M30">
        <v>9.3651289557490962</v>
      </c>
      <c r="N30">
        <v>0.20126929278066863</v>
      </c>
      <c r="O30">
        <v>553.25584685299395</v>
      </c>
      <c r="P30">
        <v>4.1679370871224437</v>
      </c>
      <c r="Q30">
        <v>4.0599737462108008E-2</v>
      </c>
      <c r="R30">
        <v>111.60193301859312</v>
      </c>
      <c r="S30">
        <v>0.55684383265660142</v>
      </c>
      <c r="T30">
        <v>1.7783595130340172E-4</v>
      </c>
      <c r="U30">
        <v>0.48884148436140024</v>
      </c>
      <c r="V30">
        <v>2.3243211964000352E-4</v>
      </c>
    </row>
    <row r="31" spans="1:22" x14ac:dyDescent="0.2">
      <c r="A31">
        <v>2900</v>
      </c>
      <c r="B31">
        <v>6.665693709269103E-3</v>
      </c>
      <c r="C31">
        <v>2849.8492124999998</v>
      </c>
      <c r="D31">
        <v>0.37298968513801678</v>
      </c>
      <c r="E31">
        <v>0.10789502781208959</v>
      </c>
      <c r="F31">
        <v>307.48456004294911</v>
      </c>
      <c r="G31">
        <v>2.032365744585686</v>
      </c>
      <c r="H31">
        <v>6.3468479641379638E-2</v>
      </c>
      <c r="I31">
        <v>180.87559672455802</v>
      </c>
      <c r="J31">
        <v>1.1150987562111603</v>
      </c>
      <c r="K31">
        <v>0.12042289125106699</v>
      </c>
      <c r="L31">
        <v>343.1870817988264</v>
      </c>
      <c r="M31">
        <v>9.0641074645897177</v>
      </c>
      <c r="N31">
        <v>0.20691931659892904</v>
      </c>
      <c r="O31">
        <v>589.68885146049604</v>
      </c>
      <c r="P31">
        <v>4.4662354479098179</v>
      </c>
      <c r="Q31">
        <v>4.5650547677378972E-2</v>
      </c>
      <c r="R31">
        <v>130.09717734857216</v>
      </c>
      <c r="S31">
        <v>0.66878493504391645</v>
      </c>
      <c r="T31">
        <v>-3.0703893581968928E-6</v>
      </c>
      <c r="U31">
        <v>-8.7501466945257948E-3</v>
      </c>
      <c r="V31">
        <v>-2.5184167919999973E-4</v>
      </c>
    </row>
    <row r="32" spans="1:22" x14ac:dyDescent="0.2">
      <c r="A32">
        <v>3000</v>
      </c>
      <c r="B32">
        <v>6.486070805103536E-3</v>
      </c>
      <c r="C32">
        <v>2949.4399377999998</v>
      </c>
      <c r="D32">
        <v>0.37197667087431702</v>
      </c>
      <c r="E32">
        <v>0.1096535490102801</v>
      </c>
      <c r="F32">
        <v>323.41655677242977</v>
      </c>
      <c r="G32">
        <v>2.0535226266022573</v>
      </c>
      <c r="H32">
        <v>6.1587506873891168E-2</v>
      </c>
      <c r="I32">
        <v>181.64865244338662</v>
      </c>
      <c r="J32">
        <v>1.0832486764694043</v>
      </c>
      <c r="K32">
        <v>0.1124053844080031</v>
      </c>
      <c r="L32">
        <v>331.53292999672573</v>
      </c>
      <c r="M32">
        <v>9.2358257756886353</v>
      </c>
      <c r="N32">
        <v>0.21224913286031477</v>
      </c>
      <c r="O32">
        <v>626.01606922163069</v>
      </c>
      <c r="P32">
        <v>4.6465695648999965</v>
      </c>
      <c r="Q32">
        <v>4.7325004543101797E-2</v>
      </c>
      <c r="R32">
        <v>139.58225845599088</v>
      </c>
      <c r="S32">
        <v>0.67785066875023769</v>
      </c>
      <c r="T32">
        <v>-2.8509371025481728E-6</v>
      </c>
      <c r="U32">
        <v>-8.4086677504113944E-3</v>
      </c>
      <c r="V32">
        <v>-2.3794117875378784E-4</v>
      </c>
    </row>
    <row r="33" spans="1:22" x14ac:dyDescent="0.2">
      <c r="A33">
        <v>3100</v>
      </c>
      <c r="B33">
        <v>5.9247492295861374E-3</v>
      </c>
      <c r="C33">
        <v>3049.4674565</v>
      </c>
      <c r="D33">
        <v>0.36648775033078074</v>
      </c>
      <c r="E33">
        <v>0.1030306902688512</v>
      </c>
      <c r="F33">
        <v>314.18873699559299</v>
      </c>
      <c r="G33">
        <v>2.0624227758539959</v>
      </c>
      <c r="H33">
        <v>6.1862682433818858E-2</v>
      </c>
      <c r="I33">
        <v>188.64823685372482</v>
      </c>
      <c r="J33">
        <v>1.0872672453525385</v>
      </c>
      <c r="K33">
        <v>0.11353675195567554</v>
      </c>
      <c r="L33">
        <v>346.22663020554529</v>
      </c>
      <c r="M33">
        <v>9.4795092219201287</v>
      </c>
      <c r="N33">
        <v>0.20724846595842703</v>
      </c>
      <c r="O33">
        <v>631.99745234977127</v>
      </c>
      <c r="P33">
        <v>4.6032327246242124</v>
      </c>
      <c r="Q33">
        <v>4.5657196544894377E-2</v>
      </c>
      <c r="R33">
        <v>139.23013501867965</v>
      </c>
      <c r="S33">
        <v>0.71577790642179062</v>
      </c>
      <c r="T33">
        <v>4.5335871783836017E-5</v>
      </c>
      <c r="U33">
        <v>0.13825026561686454</v>
      </c>
      <c r="V33">
        <v>1.3572615731406918E-3</v>
      </c>
    </row>
    <row r="34" spans="1:22" x14ac:dyDescent="0.2">
      <c r="A34">
        <v>3200</v>
      </c>
      <c r="B34">
        <v>5.8068716987274838E-3</v>
      </c>
      <c r="C34">
        <v>3150.7328518999998</v>
      </c>
      <c r="D34">
        <v>0.36636805601660605</v>
      </c>
      <c r="E34">
        <v>0.10271227467940505</v>
      </c>
      <c r="F34">
        <v>323.61893812577802</v>
      </c>
      <c r="G34">
        <v>2.0822499411911037</v>
      </c>
      <c r="H34">
        <v>6.2397626387788521E-2</v>
      </c>
      <c r="I34">
        <v>196.59825134058761</v>
      </c>
      <c r="J34">
        <v>1.2371646795904774</v>
      </c>
      <c r="K34">
        <v>0.10814424208863682</v>
      </c>
      <c r="L34">
        <v>340.73361629249467</v>
      </c>
      <c r="M34">
        <v>9.0386871591323121</v>
      </c>
      <c r="N34">
        <v>0.21682215566456858</v>
      </c>
      <c r="O34">
        <v>683.14868887213186</v>
      </c>
      <c r="P34">
        <v>5.2051249070333796</v>
      </c>
      <c r="Q34">
        <v>4.1386724885633823E-2</v>
      </c>
      <c r="R34">
        <v>130.39851372971376</v>
      </c>
      <c r="S34">
        <v>0.69962932506892028</v>
      </c>
      <c r="T34">
        <v>1.4933377766732623E-5</v>
      </c>
      <c r="U34">
        <v>4.7051083919477529E-2</v>
      </c>
      <c r="V34">
        <v>8.9212238003866728E-4</v>
      </c>
    </row>
    <row r="35" spans="1:22" x14ac:dyDescent="0.2">
      <c r="A35">
        <v>3300</v>
      </c>
      <c r="B35">
        <v>5.6777677363584822E-3</v>
      </c>
      <c r="C35">
        <v>3249.9592287999999</v>
      </c>
      <c r="D35">
        <v>0.381742842523902</v>
      </c>
      <c r="E35">
        <v>9.8564707360625475E-2</v>
      </c>
      <c r="F35">
        <v>320.33128032063604</v>
      </c>
      <c r="G35">
        <v>2.1024775300792995</v>
      </c>
      <c r="H35">
        <v>6.6617281091559066E-2</v>
      </c>
      <c r="I35">
        <v>216.50344748107614</v>
      </c>
      <c r="J35">
        <v>1.3843378438521443</v>
      </c>
      <c r="K35">
        <v>0.1145488498772745</v>
      </c>
      <c r="L35">
        <v>372.279091807074</v>
      </c>
      <c r="M35">
        <v>10.120114369166199</v>
      </c>
      <c r="N35">
        <v>0.21259783152874839</v>
      </c>
      <c r="O35">
        <v>690.93428459972347</v>
      </c>
      <c r="P35">
        <v>5.2074181867208633</v>
      </c>
      <c r="Q35">
        <v>5.4598878582215411E-2</v>
      </c>
      <c r="R35">
        <v>177.44412933040164</v>
      </c>
      <c r="S35">
        <v>0.88850319808146605</v>
      </c>
      <c r="T35">
        <v>-2.717464336352342E-6</v>
      </c>
      <c r="U35">
        <v>-8.8316482988631609E-3</v>
      </c>
      <c r="V35">
        <v>-2.7438432936233474E-4</v>
      </c>
    </row>
    <row r="36" spans="1:22" x14ac:dyDescent="0.2">
      <c r="A36">
        <v>3400</v>
      </c>
      <c r="B36">
        <v>5.3157153201497604E-3</v>
      </c>
      <c r="C36">
        <v>3351.3813180000002</v>
      </c>
      <c r="D36">
        <v>0.37433903437803517</v>
      </c>
      <c r="E36">
        <v>9.7436859364230993E-2</v>
      </c>
      <c r="F36">
        <v>326.54807015787713</v>
      </c>
      <c r="G36">
        <v>2.1885606106637754</v>
      </c>
      <c r="H36">
        <v>6.6750036500751828E-2</v>
      </c>
      <c r="I36">
        <v>223.70482530443778</v>
      </c>
      <c r="J36">
        <v>1.3723590727352684</v>
      </c>
      <c r="K36">
        <v>0.10294034498433466</v>
      </c>
      <c r="L36">
        <v>344.99234904897418</v>
      </c>
      <c r="M36">
        <v>9.4995294105580079</v>
      </c>
      <c r="N36">
        <v>0.21797971726735454</v>
      </c>
      <c r="O36">
        <v>730.53315215273403</v>
      </c>
      <c r="P36">
        <v>5.291891744318808</v>
      </c>
      <c r="Q36">
        <v>5.320304735167098E-2</v>
      </c>
      <c r="R36">
        <v>178.3036989550595</v>
      </c>
      <c r="S36">
        <v>0.86359879134677919</v>
      </c>
      <c r="T36">
        <v>2.1592477467500648E-4</v>
      </c>
      <c r="U36">
        <v>0.72364625593917631</v>
      </c>
      <c r="V36">
        <v>3.1129257427666259E-3</v>
      </c>
    </row>
    <row r="37" spans="1:22" x14ac:dyDescent="0.2">
      <c r="A37">
        <v>3500</v>
      </c>
      <c r="B37">
        <v>4.9536629039410385E-3</v>
      </c>
      <c r="C37">
        <v>3450.8216425999999</v>
      </c>
      <c r="D37">
        <v>0.38997374144468017</v>
      </c>
      <c r="E37">
        <v>9.1215549411162153E-2</v>
      </c>
      <c r="F37">
        <v>314.76859204968804</v>
      </c>
      <c r="G37">
        <v>2.1181483426266192</v>
      </c>
      <c r="H37">
        <v>6.328714808591189E-2</v>
      </c>
      <c r="I37">
        <v>218.39266031329592</v>
      </c>
      <c r="J37">
        <v>1.3565699106348541</v>
      </c>
      <c r="K37">
        <v>0.10781796977718452</v>
      </c>
      <c r="L37">
        <v>372.06058356830107</v>
      </c>
      <c r="M37">
        <v>9.2201957874526421</v>
      </c>
      <c r="N37">
        <v>0.22797034725414392</v>
      </c>
      <c r="O37">
        <v>786.68500817563734</v>
      </c>
      <c r="P37">
        <v>5.6932646574147299</v>
      </c>
      <c r="Q37">
        <v>5.4170061233015973E-2</v>
      </c>
      <c r="R37">
        <v>186.93121968385876</v>
      </c>
      <c r="S37">
        <v>0.91249554075042061</v>
      </c>
      <c r="T37">
        <v>1.5363180335811071E-5</v>
      </c>
      <c r="U37">
        <v>5.3015595201983574E-2</v>
      </c>
      <c r="V37">
        <v>7.5437581926345845E-4</v>
      </c>
    </row>
    <row r="38" spans="1:22" x14ac:dyDescent="0.2">
      <c r="A38">
        <v>3600</v>
      </c>
      <c r="B38">
        <v>4.8161391179392761E-3</v>
      </c>
      <c r="C38">
        <v>3549.7987773999998</v>
      </c>
      <c r="D38">
        <v>0.36807788843153516</v>
      </c>
      <c r="E38">
        <v>9.2787678013957806E-2</v>
      </c>
      <c r="F38">
        <v>329.37758597173229</v>
      </c>
      <c r="G38">
        <v>2.2256503065076947</v>
      </c>
      <c r="H38">
        <v>6.0274528949974406E-2</v>
      </c>
      <c r="I38">
        <v>213.96244917498004</v>
      </c>
      <c r="J38">
        <v>1.3795799008249943</v>
      </c>
      <c r="K38">
        <v>9.1865330543740131E-2</v>
      </c>
      <c r="L38">
        <v>326.10343804961559</v>
      </c>
      <c r="M38">
        <v>9.1504666435385467</v>
      </c>
      <c r="N38">
        <v>0.22844481175854234</v>
      </c>
      <c r="O38">
        <v>810.93311348384668</v>
      </c>
      <c r="P38">
        <v>6.096255433403865</v>
      </c>
      <c r="Q38">
        <v>4.7441384756765917E-2</v>
      </c>
      <c r="R38">
        <v>168.40736960773063</v>
      </c>
      <c r="S38">
        <v>0.80030132635961826</v>
      </c>
      <c r="T38">
        <v>3.2636137248680057E-4</v>
      </c>
      <c r="U38">
        <v>1.1585172010442306</v>
      </c>
      <c r="V38">
        <v>5.6467925384615818E-4</v>
      </c>
    </row>
    <row r="39" spans="1:22" x14ac:dyDescent="0.2">
      <c r="A39">
        <v>3700</v>
      </c>
      <c r="B39">
        <v>4.9284034330427558E-3</v>
      </c>
      <c r="C39">
        <v>3649.8917603999998</v>
      </c>
      <c r="D39">
        <v>0.36913113748292226</v>
      </c>
      <c r="E39">
        <v>9.3068593751671494E-2</v>
      </c>
      <c r="F39">
        <v>339.69029348624071</v>
      </c>
      <c r="G39">
        <v>2.2295225231997033</v>
      </c>
      <c r="H39">
        <v>5.9181758580737716E-2</v>
      </c>
      <c r="I39">
        <v>216.00701300981657</v>
      </c>
      <c r="J39">
        <v>1.3742116023003497</v>
      </c>
      <c r="K39">
        <v>9.3832248763990378E-2</v>
      </c>
      <c r="L39">
        <v>342.47755162349154</v>
      </c>
      <c r="M39">
        <v>9.3476070847810711</v>
      </c>
      <c r="N39">
        <v>0.22845189247071909</v>
      </c>
      <c r="O39">
        <v>833.82467997666436</v>
      </c>
      <c r="P39">
        <v>6.3247184110346293</v>
      </c>
      <c r="Q39">
        <v>4.6849796390205416E-2</v>
      </c>
      <c r="R39">
        <v>170.99668582102839</v>
      </c>
      <c r="S39">
        <v>0.81643281975637549</v>
      </c>
      <c r="T39">
        <v>-2.8001419925972645E-6</v>
      </c>
      <c r="U39">
        <v>-1.0220215186730794E-2</v>
      </c>
      <c r="V39">
        <v>-2.8491348160592119E-4</v>
      </c>
    </row>
    <row r="40" spans="1:22" x14ac:dyDescent="0.2">
      <c r="A40">
        <v>3800</v>
      </c>
      <c r="B40">
        <v>4.4428602702202063E-3</v>
      </c>
      <c r="C40">
        <v>3750.4634409</v>
      </c>
      <c r="D40">
        <v>0.36991281289801509</v>
      </c>
      <c r="E40">
        <v>9.0078415445536214E-2</v>
      </c>
      <c r="F40">
        <v>337.83580394268546</v>
      </c>
      <c r="G40">
        <v>2.2292176428863857</v>
      </c>
      <c r="H40">
        <v>5.8526459010296468E-2</v>
      </c>
      <c r="I40">
        <v>219.50134484344929</v>
      </c>
      <c r="J40">
        <v>1.3861355156717539</v>
      </c>
      <c r="K40">
        <v>9.6237214022567921E-2</v>
      </c>
      <c r="L40">
        <v>360.93415284570983</v>
      </c>
      <c r="M40">
        <v>9.6435923341322525</v>
      </c>
      <c r="N40">
        <v>0.22566326054083563</v>
      </c>
      <c r="O40">
        <v>846.34180861269556</v>
      </c>
      <c r="P40">
        <v>6.2283902290638711</v>
      </c>
      <c r="Q40">
        <v>4.739813588429146E-2</v>
      </c>
      <c r="R40">
        <v>177.76497580084552</v>
      </c>
      <c r="S40">
        <v>0.85349484086620508</v>
      </c>
      <c r="T40">
        <v>6.1420245032005793E-4</v>
      </c>
      <c r="U40">
        <v>2.3035438352365758</v>
      </c>
      <c r="V40">
        <v>2.5347295048010086E-3</v>
      </c>
    </row>
    <row r="41" spans="1:22" x14ac:dyDescent="0.2">
      <c r="A41">
        <v>3900</v>
      </c>
      <c r="B41">
        <v>4.4821527805064239E-3</v>
      </c>
      <c r="C41">
        <v>3850.9541377999999</v>
      </c>
      <c r="D41">
        <v>0.39046302469535438</v>
      </c>
      <c r="E41">
        <v>8.3170800240153095E-2</v>
      </c>
      <c r="F41">
        <v>320.28693732895476</v>
      </c>
      <c r="G41">
        <v>2.1184407170001709</v>
      </c>
      <c r="H41">
        <v>5.7044034824946445E-2</v>
      </c>
      <c r="I41">
        <v>219.67396194593479</v>
      </c>
      <c r="J41">
        <v>1.386005306819724</v>
      </c>
      <c r="K41">
        <v>8.9446164260535921E-2</v>
      </c>
      <c r="L41">
        <v>344.45307636944926</v>
      </c>
      <c r="M41">
        <v>8.8444462667077044</v>
      </c>
      <c r="N41">
        <v>0.23237940256877859</v>
      </c>
      <c r="O41">
        <v>894.88242186172988</v>
      </c>
      <c r="P41">
        <v>6.1855144782297131</v>
      </c>
      <c r="Q41">
        <v>6.8641773985448129E-2</v>
      </c>
      <c r="R41">
        <v>264.33632355519387</v>
      </c>
      <c r="S41">
        <v>1.1324155796200379</v>
      </c>
      <c r="T41">
        <v>-4.316119408312092E-6</v>
      </c>
      <c r="U41">
        <v>-1.6621177894678339E-2</v>
      </c>
      <c r="V41">
        <v>-2.3890460250469088E-4</v>
      </c>
    </row>
    <row r="42" spans="1:22" x14ac:dyDescent="0.2">
      <c r="A42">
        <v>4000</v>
      </c>
      <c r="B42">
        <v>4.0443219516028538E-3</v>
      </c>
      <c r="C42">
        <v>3950.1041420000001</v>
      </c>
      <c r="D42">
        <v>0.36542514296925377</v>
      </c>
      <c r="E42">
        <v>8.2477747187797629E-2</v>
      </c>
      <c r="F42">
        <v>325.79569078934827</v>
      </c>
      <c r="G42">
        <v>2.129463837842672</v>
      </c>
      <c r="H42">
        <v>5.9381100338153373E-2</v>
      </c>
      <c r="I42">
        <v>234.56153040225723</v>
      </c>
      <c r="J42">
        <v>1.4286267894777975</v>
      </c>
      <c r="K42">
        <v>9.1570982579731591E-2</v>
      </c>
      <c r="L42">
        <v>361.71491757520761</v>
      </c>
      <c r="M42">
        <v>9.4050587742747105</v>
      </c>
      <c r="N42">
        <v>0.21618246604232877</v>
      </c>
      <c r="O42">
        <v>853.94325454157729</v>
      </c>
      <c r="P42">
        <v>6.0199027066012372</v>
      </c>
      <c r="Q42">
        <v>5.7235756850377843E-2</v>
      </c>
      <c r="R42">
        <v>226.0872002051824</v>
      </c>
      <c r="S42">
        <v>1.0747032339018741</v>
      </c>
      <c r="T42">
        <v>4.3593749681556884E-4</v>
      </c>
      <c r="U42">
        <v>1.7219985118242904</v>
      </c>
      <c r="V42">
        <v>1.1047821521165805E-3</v>
      </c>
    </row>
    <row r="43" spans="1:22" x14ac:dyDescent="0.2">
      <c r="A43">
        <v>4100</v>
      </c>
      <c r="B43">
        <v>4.2239448557684208E-3</v>
      </c>
      <c r="C43">
        <v>4049.8321882999999</v>
      </c>
      <c r="D43">
        <v>0.36270406615110223</v>
      </c>
      <c r="E43">
        <v>8.4781791938938256E-2</v>
      </c>
      <c r="F43">
        <v>343.35202997606558</v>
      </c>
      <c r="G43">
        <v>2.3203194863908223</v>
      </c>
      <c r="H43">
        <v>5.926082728622329E-2</v>
      </c>
      <c r="I43">
        <v>239.99640584903401</v>
      </c>
      <c r="J43">
        <v>1.4603529065417897</v>
      </c>
      <c r="K43">
        <v>8.3134408339540791E-2</v>
      </c>
      <c r="L43">
        <v>336.68040284874826</v>
      </c>
      <c r="M43">
        <v>9.3584821026201404</v>
      </c>
      <c r="N43">
        <v>0.22652148001074746</v>
      </c>
      <c r="O43">
        <v>917.3739810888801</v>
      </c>
      <c r="P43">
        <v>6.5387307588303027</v>
      </c>
      <c r="Q43">
        <v>5.299473123470113E-2</v>
      </c>
      <c r="R43">
        <v>214.61976836460002</v>
      </c>
      <c r="S43">
        <v>0.98263440452179307</v>
      </c>
      <c r="T43">
        <v>5.3446566112821195E-5</v>
      </c>
      <c r="U43">
        <v>0.21644962379780727</v>
      </c>
      <c r="V43">
        <v>9.4548376039867176E-4</v>
      </c>
    </row>
    <row r="44" spans="1:22" x14ac:dyDescent="0.2">
      <c r="A44">
        <v>4200</v>
      </c>
      <c r="B44">
        <v>3.9039915577235044E-3</v>
      </c>
      <c r="C44">
        <v>4149.5939802000003</v>
      </c>
      <c r="D44">
        <v>0.36798213138372604</v>
      </c>
      <c r="E44">
        <v>8.0911793255810452E-2</v>
      </c>
      <c r="F44">
        <v>335.75109022149803</v>
      </c>
      <c r="G44">
        <v>2.2108708794376781</v>
      </c>
      <c r="H44">
        <v>5.3423544357721509E-2</v>
      </c>
      <c r="I44">
        <v>221.68601806774885</v>
      </c>
      <c r="J44">
        <v>1.3885457273197743</v>
      </c>
      <c r="K44">
        <v>8.870520838669041E-2</v>
      </c>
      <c r="L44">
        <v>368.09059873379709</v>
      </c>
      <c r="M44">
        <v>9.7561980527064058</v>
      </c>
      <c r="N44">
        <v>0.22787123944380064</v>
      </c>
      <c r="O44">
        <v>945.573123456708</v>
      </c>
      <c r="P44">
        <v>6.6364882589276597</v>
      </c>
      <c r="Q44">
        <v>5.1318915959678205E-2</v>
      </c>
      <c r="R44">
        <v>212.95266473667039</v>
      </c>
      <c r="S44">
        <v>0.98715841381646441</v>
      </c>
      <c r="T44">
        <v>8.6767593556759398E-5</v>
      </c>
      <c r="U44">
        <v>0.36005028389956911</v>
      </c>
      <c r="V44">
        <v>1.0375185545650611E-3</v>
      </c>
    </row>
    <row r="45" spans="1:22" x14ac:dyDescent="0.2">
      <c r="A45">
        <v>4300</v>
      </c>
      <c r="B45">
        <v>3.6149109463320442E-3</v>
      </c>
      <c r="C45">
        <v>4249.8399978999996</v>
      </c>
      <c r="D45">
        <v>0.36649513572517806</v>
      </c>
      <c r="E45">
        <v>8.592154614438996E-2</v>
      </c>
      <c r="F45">
        <v>365.15282348583895</v>
      </c>
      <c r="G45">
        <v>2.435122296952184</v>
      </c>
      <c r="H45">
        <v>6.2786130395296694E-2</v>
      </c>
      <c r="I45">
        <v>266.8310082672968</v>
      </c>
      <c r="J45">
        <v>1.6526412322968866</v>
      </c>
      <c r="K45">
        <v>0.10022866833033728</v>
      </c>
      <c r="L45">
        <v>425.95580360652036</v>
      </c>
      <c r="M45">
        <v>11.541312085805528</v>
      </c>
      <c r="N45">
        <v>0.21749286234921197</v>
      </c>
      <c r="O45">
        <v>924.30986566943989</v>
      </c>
      <c r="P45">
        <v>6.7542287236149079</v>
      </c>
      <c r="Q45">
        <v>4.8055625189652326E-2</v>
      </c>
      <c r="R45">
        <v>204.22871805507521</v>
      </c>
      <c r="S45">
        <v>0.90486447974099238</v>
      </c>
      <c r="T45">
        <v>7.1797985597652717E-4</v>
      </c>
      <c r="U45">
        <v>3.0512995096155264</v>
      </c>
      <c r="V45">
        <v>2.2892865341614917E-3</v>
      </c>
    </row>
    <row r="46" spans="1:22" x14ac:dyDescent="0.2">
      <c r="A46">
        <v>4400</v>
      </c>
      <c r="B46">
        <v>3.7355950850682849E-3</v>
      </c>
      <c r="C46">
        <v>4348.9012500999997</v>
      </c>
      <c r="D46">
        <v>0.35280304873913615</v>
      </c>
      <c r="E46">
        <v>7.983353272465929E-2</v>
      </c>
      <c r="F46">
        <v>347.18815026617</v>
      </c>
      <c r="G46">
        <v>2.3005435025028373</v>
      </c>
      <c r="H46">
        <v>5.4263574110869378E-2</v>
      </c>
      <c r="I46">
        <v>235.98692528565383</v>
      </c>
      <c r="J46">
        <v>1.520312811087835</v>
      </c>
      <c r="K46">
        <v>7.7872155710994526E-2</v>
      </c>
      <c r="L46">
        <v>338.65831531952591</v>
      </c>
      <c r="M46">
        <v>8.832652800483979</v>
      </c>
      <c r="N46">
        <v>0.22655720098851959</v>
      </c>
      <c r="O46">
        <v>985.27489459812978</v>
      </c>
      <c r="P46">
        <v>6.7793434643032517</v>
      </c>
      <c r="Q46">
        <v>4.7075662528528205E-2</v>
      </c>
      <c r="R46">
        <v>204.72740761960202</v>
      </c>
      <c r="S46">
        <v>0.8647159163949697</v>
      </c>
      <c r="T46">
        <v>1.298029511093884E-3</v>
      </c>
      <c r="U46">
        <v>5.645002163462884</v>
      </c>
      <c r="V46">
        <v>6.7556352104432629E-3</v>
      </c>
    </row>
    <row r="47" spans="1:22" x14ac:dyDescent="0.2">
      <c r="A47">
        <v>4500</v>
      </c>
      <c r="B47">
        <v>3.4914201997182166E-3</v>
      </c>
      <c r="C47">
        <v>4450.6624996999999</v>
      </c>
      <c r="D47">
        <v>0.34311100902544317</v>
      </c>
      <c r="E47">
        <v>7.8916538239119691E-2</v>
      </c>
      <c r="F47">
        <v>351.23087734699106</v>
      </c>
      <c r="G47">
        <v>2.2810844174664191</v>
      </c>
      <c r="H47">
        <v>5.8713807254427111E-2</v>
      </c>
      <c r="I47">
        <v>261.31534016189255</v>
      </c>
      <c r="J47">
        <v>1.7114234425617312</v>
      </c>
      <c r="K47">
        <v>8.5992312059773229E-2</v>
      </c>
      <c r="L47">
        <v>382.72275854693277</v>
      </c>
      <c r="M47">
        <v>10.128743182671993</v>
      </c>
      <c r="N47">
        <v>0.20499585834860154</v>
      </c>
      <c r="O47">
        <v>912.36737934593407</v>
      </c>
      <c r="P47">
        <v>6.6679061319708683</v>
      </c>
      <c r="Q47">
        <v>5.1205707517244695E-2</v>
      </c>
      <c r="R47">
        <v>227.89932221760733</v>
      </c>
      <c r="S47">
        <v>1.046704579768887</v>
      </c>
      <c r="T47">
        <v>9.1713109982372075E-4</v>
      </c>
      <c r="U47">
        <v>4.0818409932940511</v>
      </c>
      <c r="V47">
        <v>1.1606206424437304E-3</v>
      </c>
    </row>
    <row r="48" spans="1:22" x14ac:dyDescent="0.2">
      <c r="A48">
        <v>4600</v>
      </c>
      <c r="B48">
        <v>3.37634927673715E-3</v>
      </c>
      <c r="C48">
        <v>4549.8322399999997</v>
      </c>
      <c r="D48">
        <v>0.35848855086146403</v>
      </c>
      <c r="E48">
        <v>7.4401986408129436E-2</v>
      </c>
      <c r="F48">
        <v>338.51655647974906</v>
      </c>
      <c r="G48">
        <v>2.1897142310810671</v>
      </c>
      <c r="H48">
        <v>5.2476393995862375E-2</v>
      </c>
      <c r="I48">
        <v>238.75878924131703</v>
      </c>
      <c r="J48">
        <v>1.4228533108496291</v>
      </c>
      <c r="K48">
        <v>8.615752170347668E-2</v>
      </c>
      <c r="L48">
        <v>392.00226996497793</v>
      </c>
      <c r="M48">
        <v>9.8732627662255243</v>
      </c>
      <c r="N48">
        <v>0.22404024720619459</v>
      </c>
      <c r="O48">
        <v>1019.345539796314</v>
      </c>
      <c r="P48">
        <v>6.969441221797549</v>
      </c>
      <c r="Q48">
        <v>4.8267547419919524E-2</v>
      </c>
      <c r="R48">
        <v>219.60924339687864</v>
      </c>
      <c r="S48">
        <v>0.96784274187081742</v>
      </c>
      <c r="T48">
        <v>2.3234531873220849E-5</v>
      </c>
      <c r="U48">
        <v>0.10571322219808781</v>
      </c>
      <c r="V48">
        <v>9.0933242302577034E-4</v>
      </c>
    </row>
    <row r="49" spans="1:22" x14ac:dyDescent="0.2">
      <c r="A49">
        <v>4700</v>
      </c>
      <c r="B49">
        <v>3.3791558846147369E-3</v>
      </c>
      <c r="C49">
        <v>4650.2216734000003</v>
      </c>
      <c r="D49">
        <v>0.36401792694950619</v>
      </c>
      <c r="E49">
        <v>7.1859224981842551E-2</v>
      </c>
      <c r="F49">
        <v>334.16132544429098</v>
      </c>
      <c r="G49">
        <v>2.3040613166330304</v>
      </c>
      <c r="H49">
        <v>5.804210991472912E-2</v>
      </c>
      <c r="I49">
        <v>269.9086774953384</v>
      </c>
      <c r="J49">
        <v>1.514519862946184</v>
      </c>
      <c r="K49">
        <v>8.1765309298839184E-2</v>
      </c>
      <c r="L49">
        <v>380.22681343371659</v>
      </c>
      <c r="M49">
        <v>10.018726385112092</v>
      </c>
      <c r="N49">
        <v>0.23985646060630833</v>
      </c>
      <c r="O49">
        <v>1115.3857116164684</v>
      </c>
      <c r="P49">
        <v>7.7579750152953757</v>
      </c>
      <c r="Q49">
        <v>4.1726472193639841E-2</v>
      </c>
      <c r="R49">
        <v>194.03734534938644</v>
      </c>
      <c r="S49">
        <v>0.8921770637820633</v>
      </c>
      <c r="T49">
        <v>6.696848507188204E-4</v>
      </c>
      <c r="U49">
        <v>3.1141830071603023</v>
      </c>
      <c r="V49">
        <v>2.1788282257475229E-3</v>
      </c>
    </row>
    <row r="50" spans="1:22" x14ac:dyDescent="0.2">
      <c r="A50">
        <v>4800</v>
      </c>
      <c r="B50">
        <v>3.1939197646939955E-3</v>
      </c>
      <c r="C50">
        <v>4750.8114686999998</v>
      </c>
      <c r="D50">
        <v>0.37236997824986129</v>
      </c>
      <c r="E50">
        <v>7.7597572165591627E-2</v>
      </c>
      <c r="F50">
        <v>368.65143578756857</v>
      </c>
      <c r="G50">
        <v>2.5520869736321949</v>
      </c>
      <c r="H50">
        <v>5.673115261443671E-2</v>
      </c>
      <c r="I50">
        <v>269.51901047323588</v>
      </c>
      <c r="J50">
        <v>1.7337418006678229</v>
      </c>
      <c r="K50">
        <v>8.1135475619271535E-2</v>
      </c>
      <c r="L50">
        <v>385.4593480904644</v>
      </c>
      <c r="M50">
        <v>10.401044960459243</v>
      </c>
      <c r="N50">
        <v>0.24939981669507533</v>
      </c>
      <c r="O50">
        <v>1184.8515094466416</v>
      </c>
      <c r="P50">
        <v>8.4888817895656388</v>
      </c>
      <c r="Q50">
        <v>4.1842433520968197E-2</v>
      </c>
      <c r="R50">
        <v>198.78551304973303</v>
      </c>
      <c r="S50">
        <v>0.95672159878875562</v>
      </c>
      <c r="T50">
        <v>-7.7475854538003502E-6</v>
      </c>
      <c r="U50">
        <v>-3.6807317828647997E-2</v>
      </c>
      <c r="V50">
        <v>-2.6145518822495402E-4</v>
      </c>
    </row>
    <row r="51" spans="1:22" x14ac:dyDescent="0.2">
      <c r="A51">
        <v>4900</v>
      </c>
      <c r="B51">
        <v>3.0479761550594722E-3</v>
      </c>
      <c r="C51">
        <v>4850.3349803000001</v>
      </c>
      <c r="D51">
        <v>0.37512507947956458</v>
      </c>
      <c r="E51">
        <v>7.0824587088549329E-2</v>
      </c>
      <c r="F51">
        <v>343.52297222089453</v>
      </c>
      <c r="G51">
        <v>2.2710421085708199</v>
      </c>
      <c r="H51">
        <v>6.1595348415770149E-2</v>
      </c>
      <c r="I51">
        <v>298.75807304477615</v>
      </c>
      <c r="J51">
        <v>1.9663888541865806</v>
      </c>
      <c r="K51">
        <v>8.0430774878077052E-2</v>
      </c>
      <c r="L51">
        <v>390.11620088377163</v>
      </c>
      <c r="M51">
        <v>9.7873359403661304</v>
      </c>
      <c r="N51">
        <v>0.24089312729551191</v>
      </c>
      <c r="O51">
        <v>1168.4123618352821</v>
      </c>
      <c r="P51">
        <v>7.8565096707438853</v>
      </c>
      <c r="Q51">
        <v>5.3227625188957066E-2</v>
      </c>
      <c r="R51">
        <v>258.17181237229585</v>
      </c>
      <c r="S51">
        <v>1.103042441742905</v>
      </c>
      <c r="T51">
        <v>5.7355211701854791E-4</v>
      </c>
      <c r="U51">
        <v>2.7819198962001819</v>
      </c>
      <c r="V51">
        <v>1.0238027825045844E-3</v>
      </c>
    </row>
    <row r="52" spans="1:22" x14ac:dyDescent="0.2">
      <c r="A52">
        <v>5000</v>
      </c>
      <c r="B52">
        <v>3.1237545677543208E-3</v>
      </c>
      <c r="C52">
        <v>4948.9812167</v>
      </c>
      <c r="D52">
        <v>0.37118527638944188</v>
      </c>
      <c r="E52">
        <v>7.0907457697066328E-2</v>
      </c>
      <c r="F52">
        <v>350.91967626673113</v>
      </c>
      <c r="G52">
        <v>2.3331630332430473</v>
      </c>
      <c r="H52">
        <v>5.8373848304405306E-2</v>
      </c>
      <c r="I52">
        <v>288.89107880499699</v>
      </c>
      <c r="J52">
        <v>1.71611221438561</v>
      </c>
      <c r="K52">
        <v>7.4805787845323865E-2</v>
      </c>
      <c r="L52">
        <v>370.212438946953</v>
      </c>
      <c r="M52">
        <v>9.6869017904457415</v>
      </c>
      <c r="N52">
        <v>0.23632669619114963</v>
      </c>
      <c r="O52">
        <v>1169.5763804547669</v>
      </c>
      <c r="P52">
        <v>7.9588869141668619</v>
      </c>
      <c r="Q52">
        <v>5.9074016676485458E-2</v>
      </c>
      <c r="R52">
        <v>292.35619892694911</v>
      </c>
      <c r="S52">
        <v>1.2845749801922699</v>
      </c>
      <c r="T52">
        <v>9.7877567648297758E-4</v>
      </c>
      <c r="U52">
        <v>4.8439424382770921</v>
      </c>
      <c r="V52">
        <v>1.8484587582210455E-3</v>
      </c>
    </row>
    <row r="53" spans="1:22" x14ac:dyDescent="0.2">
      <c r="A53">
        <v>5100</v>
      </c>
      <c r="B53">
        <v>2.8487069957507955E-3</v>
      </c>
      <c r="C53">
        <v>5050.2316661000004</v>
      </c>
      <c r="D53">
        <v>0.36746007248948304</v>
      </c>
      <c r="E53">
        <v>6.8298114675878208E-2</v>
      </c>
      <c r="F53">
        <v>344.92130147104928</v>
      </c>
      <c r="G53">
        <v>2.3072232123335312</v>
      </c>
      <c r="H53">
        <v>5.4117305359620657E-2</v>
      </c>
      <c r="I53">
        <v>273.3049292111595</v>
      </c>
      <c r="J53">
        <v>1.828499239468385</v>
      </c>
      <c r="K53">
        <v>9.0132792736218603E-2</v>
      </c>
      <c r="L53">
        <v>455.19148403047927</v>
      </c>
      <c r="M53">
        <v>10.833993183301413</v>
      </c>
      <c r="N53">
        <v>0.22307229341474022</v>
      </c>
      <c r="O53">
        <v>1126.5667600326717</v>
      </c>
      <c r="P53">
        <v>7.7145316405987412</v>
      </c>
      <c r="Q53">
        <v>5.3459313950985229E-2</v>
      </c>
      <c r="R53">
        <v>269.98192016324714</v>
      </c>
      <c r="S53">
        <v>1.1429038438553751</v>
      </c>
      <c r="T53">
        <v>7.9567238753897756E-4</v>
      </c>
      <c r="U53">
        <v>4.0183298873907356</v>
      </c>
      <c r="V53">
        <v>2.0571175072906425E-3</v>
      </c>
    </row>
    <row r="54" spans="1:22" x14ac:dyDescent="0.2">
      <c r="A54">
        <v>5200</v>
      </c>
      <c r="B54">
        <v>2.8066078775869909E-3</v>
      </c>
      <c r="C54">
        <v>5150.0295051000003</v>
      </c>
      <c r="D54">
        <v>0.36445360762475354</v>
      </c>
      <c r="E54">
        <v>6.8029977422233781E-2</v>
      </c>
      <c r="F54">
        <v>350.35639095579086</v>
      </c>
      <c r="G54">
        <v>2.2695786551713826</v>
      </c>
      <c r="H54">
        <v>5.7192155294602288E-2</v>
      </c>
      <c r="I54">
        <v>294.54128722746299</v>
      </c>
      <c r="J54">
        <v>1.9199059880589775</v>
      </c>
      <c r="K54">
        <v>7.3120445710069829E-2</v>
      </c>
      <c r="L54">
        <v>376.57245283292235</v>
      </c>
      <c r="M54">
        <v>9.8703059695765845</v>
      </c>
      <c r="N54">
        <v>0.23265479641007564</v>
      </c>
      <c r="O54">
        <v>1198.1790660149231</v>
      </c>
      <c r="P54">
        <v>8.1514399961447346</v>
      </c>
      <c r="Q54">
        <v>5.8059862270541496E-2</v>
      </c>
      <c r="R54">
        <v>299.01000375533101</v>
      </c>
      <c r="S54">
        <v>1.3126363139589958</v>
      </c>
      <c r="T54">
        <v>6.1850323406653011E-4</v>
      </c>
      <c r="U54">
        <v>3.1853099044424016</v>
      </c>
      <c r="V54">
        <v>2.065423347599989E-3</v>
      </c>
    </row>
    <row r="55" spans="1:22" x14ac:dyDescent="0.2">
      <c r="A55">
        <v>5300</v>
      </c>
      <c r="B55">
        <v>2.6915369546059243E-3</v>
      </c>
      <c r="C55">
        <v>5249.4066450999999</v>
      </c>
      <c r="D55">
        <v>0.36372341856484597</v>
      </c>
      <c r="E55">
        <v>7.0561719601260744E-2</v>
      </c>
      <c r="F55">
        <v>370.40715976454106</v>
      </c>
      <c r="G55">
        <v>2.3685203027945838</v>
      </c>
      <c r="H55">
        <v>5.1852028172243644E-2</v>
      </c>
      <c r="I55">
        <v>272.19238124928819</v>
      </c>
      <c r="J55">
        <v>1.662742934587206</v>
      </c>
      <c r="K55">
        <v>8.0485847992121468E-2</v>
      </c>
      <c r="L55">
        <v>422.50294528635095</v>
      </c>
      <c r="M55">
        <v>10.255684468412541</v>
      </c>
      <c r="N55">
        <v>0.22548141010787168</v>
      </c>
      <c r="O55">
        <v>1183.6436125667799</v>
      </c>
      <c r="P55">
        <v>8.2592319695277663</v>
      </c>
      <c r="Q55">
        <v>5.7402171525727998E-2</v>
      </c>
      <c r="R55">
        <v>301.32734065032656</v>
      </c>
      <c r="S55">
        <v>1.2684529433293064</v>
      </c>
      <c r="T55">
        <v>3.5398893912485071E-4</v>
      </c>
      <c r="U55">
        <v>1.8582318893338905</v>
      </c>
      <c r="V55">
        <v>3.4896788834202159E-3</v>
      </c>
    </row>
    <row r="56" spans="1:22" x14ac:dyDescent="0.2">
      <c r="A56">
        <v>5400</v>
      </c>
      <c r="B56">
        <v>2.6887303467283373E-3</v>
      </c>
      <c r="C56">
        <v>5349.2038549999997</v>
      </c>
      <c r="D56">
        <v>0.38384428435756951</v>
      </c>
      <c r="E56">
        <v>6.276350833978625E-2</v>
      </c>
      <c r="F56">
        <v>335.73480076450926</v>
      </c>
      <c r="G56">
        <v>2.2183490582456349</v>
      </c>
      <c r="H56">
        <v>5.3465629191586442E-2</v>
      </c>
      <c r="I56">
        <v>285.99854978163472</v>
      </c>
      <c r="J56">
        <v>1.7091716566930988</v>
      </c>
      <c r="K56">
        <v>8.8820451524443053E-2</v>
      </c>
      <c r="L56">
        <v>475.11870169739137</v>
      </c>
      <c r="M56">
        <v>11.642927653944881</v>
      </c>
      <c r="N56">
        <v>0.24202433075175653</v>
      </c>
      <c r="O56">
        <v>1294.637483061091</v>
      </c>
      <c r="P56">
        <v>8.7701777187300607</v>
      </c>
      <c r="Q56">
        <v>5.1622932534716552E-2</v>
      </c>
      <c r="R56">
        <v>276.14158972111068</v>
      </c>
      <c r="S56">
        <v>1.2959507975370601</v>
      </c>
      <c r="T56">
        <v>1.3765695466534101E-3</v>
      </c>
      <c r="U56">
        <v>7.3635511256340234</v>
      </c>
      <c r="V56">
        <v>2.8352046998956146E-3</v>
      </c>
    </row>
    <row r="57" spans="1:22" x14ac:dyDescent="0.2">
      <c r="A57">
        <v>5500</v>
      </c>
      <c r="B57">
        <v>2.5596263843593358E-3</v>
      </c>
      <c r="C57">
        <v>5448.9789754000003</v>
      </c>
      <c r="D57">
        <v>0.36085240015664805</v>
      </c>
      <c r="E57">
        <v>6.2547119140288598E-2</v>
      </c>
      <c r="F57">
        <v>340.81793716727151</v>
      </c>
      <c r="G57">
        <v>2.3532972616986516</v>
      </c>
      <c r="H57">
        <v>5.2413355475569016E-2</v>
      </c>
      <c r="I57">
        <v>285.59927201654205</v>
      </c>
      <c r="J57">
        <v>1.8107683829276267</v>
      </c>
      <c r="K57">
        <v>7.4592748236179895E-2</v>
      </c>
      <c r="L57">
        <v>406.4543168562497</v>
      </c>
      <c r="M57">
        <v>10.00298461119344</v>
      </c>
      <c r="N57">
        <v>0.2341780194131434</v>
      </c>
      <c r="O57">
        <v>1276.0311042830315</v>
      </c>
      <c r="P57">
        <v>8.1980180179891988</v>
      </c>
      <c r="Q57">
        <v>5.1161078743197488E-2</v>
      </c>
      <c r="R57">
        <v>278.77564243046697</v>
      </c>
      <c r="S57">
        <v>1.2316743050920962</v>
      </c>
      <c r="T57">
        <v>9.2055376412723063E-4</v>
      </c>
      <c r="U57">
        <v>5.0160781064546107</v>
      </c>
      <c r="V57">
        <v>2.8302849259868716E-3</v>
      </c>
    </row>
    <row r="58" spans="1:22" x14ac:dyDescent="0.2">
      <c r="A58">
        <v>5600</v>
      </c>
      <c r="B58">
        <v>2.5203338740731177E-3</v>
      </c>
      <c r="C58">
        <v>5550.8726180000003</v>
      </c>
      <c r="D58">
        <v>0.38331526628494922</v>
      </c>
      <c r="E58">
        <v>6.4308200536100424E-2</v>
      </c>
      <c r="F58">
        <v>356.96662946869276</v>
      </c>
      <c r="G58">
        <v>2.3653930429862355</v>
      </c>
      <c r="H58">
        <v>5.0073467977396181E-2</v>
      </c>
      <c r="I58">
        <v>277.9514422840283</v>
      </c>
      <c r="J58">
        <v>1.9215320464923218</v>
      </c>
      <c r="K58">
        <v>7.6480039556837118E-2</v>
      </c>
      <c r="L58">
        <v>424.53095739960406</v>
      </c>
      <c r="M58">
        <v>10.983419485009309</v>
      </c>
      <c r="N58">
        <v>0.26339861840391116</v>
      </c>
      <c r="O58">
        <v>1462.0921785173014</v>
      </c>
      <c r="P58">
        <v>9.4368425875765798</v>
      </c>
      <c r="Q58">
        <v>4.3002821081467295E-2</v>
      </c>
      <c r="R58">
        <v>238.70318203786996</v>
      </c>
      <c r="S58">
        <v>1.1482360718969935</v>
      </c>
      <c r="T58">
        <v>4.3378724273359162E-4</v>
      </c>
      <c r="U58">
        <v>2.4078977277276135</v>
      </c>
      <c r="V58">
        <v>1.6640236248329473E-3</v>
      </c>
    </row>
    <row r="59" spans="1:22" x14ac:dyDescent="0.2">
      <c r="A59">
        <v>5700</v>
      </c>
      <c r="B59">
        <v>2.3800034801937683E-3</v>
      </c>
      <c r="C59">
        <v>5649.9284704000002</v>
      </c>
      <c r="D59">
        <v>0.34044644739310714</v>
      </c>
      <c r="E59">
        <v>6.7069566972464273E-2</v>
      </c>
      <c r="F59">
        <v>378.93825593512543</v>
      </c>
      <c r="G59">
        <v>2.462191708189974</v>
      </c>
      <c r="H59">
        <v>4.910054429629733E-2</v>
      </c>
      <c r="I59">
        <v>277.41456313178662</v>
      </c>
      <c r="J59">
        <v>1.9384388537774904</v>
      </c>
      <c r="K59">
        <v>6.9166483136578333E-2</v>
      </c>
      <c r="L59">
        <v>390.78568227079541</v>
      </c>
      <c r="M59">
        <v>9.971259949513863</v>
      </c>
      <c r="N59">
        <v>0.22763202253843076</v>
      </c>
      <c r="O59">
        <v>1286.1046449146145</v>
      </c>
      <c r="P59">
        <v>8.9136971358892421</v>
      </c>
      <c r="Q59">
        <v>4.2820349214264329E-2</v>
      </c>
      <c r="R59">
        <v>241.93191013814231</v>
      </c>
      <c r="S59">
        <v>1.0916001412740612</v>
      </c>
      <c r="T59">
        <v>8.2759250383374224E-4</v>
      </c>
      <c r="U59">
        <v>4.6758384492998815</v>
      </c>
      <c r="V59">
        <v>2.4082745753537652E-3</v>
      </c>
    </row>
    <row r="60" spans="1:22" x14ac:dyDescent="0.2">
      <c r="A60">
        <v>5800</v>
      </c>
      <c r="B60">
        <v>2.5736594237472706E-3</v>
      </c>
      <c r="C60">
        <v>5751.4176117999996</v>
      </c>
      <c r="D60">
        <v>0.37066176370869047</v>
      </c>
      <c r="E60">
        <v>6.382892765375682E-2</v>
      </c>
      <c r="F60">
        <v>367.10681865012504</v>
      </c>
      <c r="G60">
        <v>2.46838264960869</v>
      </c>
      <c r="H60">
        <v>5.0609036829958418E-2</v>
      </c>
      <c r="I60">
        <v>291.07370574005768</v>
      </c>
      <c r="J60">
        <v>1.6594483694607214</v>
      </c>
      <c r="K60">
        <v>5.9820146799822428E-2</v>
      </c>
      <c r="L60">
        <v>344.05064584496012</v>
      </c>
      <c r="M60">
        <v>9.5142145024362712</v>
      </c>
      <c r="N60">
        <v>0.24322160217797822</v>
      </c>
      <c r="O60">
        <v>1398.8690063366371</v>
      </c>
      <c r="P60">
        <v>9.6141584061002128</v>
      </c>
      <c r="Q60">
        <v>6.7474774231727375E-2</v>
      </c>
      <c r="R60">
        <v>388.07560486858557</v>
      </c>
      <c r="S60">
        <v>1.6112650902503838</v>
      </c>
      <c r="T60">
        <v>1.4524049916241503E-4</v>
      </c>
      <c r="U60">
        <v>0.83533876482933689</v>
      </c>
      <c r="V60">
        <v>6.9573200623773267E-3</v>
      </c>
    </row>
    <row r="61" spans="1:22" x14ac:dyDescent="0.2">
      <c r="A61">
        <v>5900</v>
      </c>
      <c r="B61">
        <v>2.3884233038265292E-3</v>
      </c>
      <c r="C61">
        <v>5852.0820199999998</v>
      </c>
      <c r="D61">
        <v>0.3488999140699901</v>
      </c>
      <c r="E61">
        <v>6.2353674713162978E-2</v>
      </c>
      <c r="F61">
        <v>364.89881866982972</v>
      </c>
      <c r="G61">
        <v>2.3783877140187251</v>
      </c>
      <c r="H61">
        <v>4.8859958282117796E-2</v>
      </c>
      <c r="I61">
        <v>285.93248336073162</v>
      </c>
      <c r="J61">
        <v>1.7695600284679289</v>
      </c>
      <c r="K61">
        <v>7.3151475745592359E-2</v>
      </c>
      <c r="L61">
        <v>428.08843594724715</v>
      </c>
      <c r="M61">
        <v>10.865313620643622</v>
      </c>
      <c r="N61">
        <v>0.23633492473871728</v>
      </c>
      <c r="O61">
        <v>1383.0513637615006</v>
      </c>
      <c r="P61">
        <v>9.0142822184679421</v>
      </c>
      <c r="Q61">
        <v>3.9392381330380206E-2</v>
      </c>
      <c r="R61">
        <v>230.5274465085017</v>
      </c>
      <c r="S61">
        <v>1.052842109839603</v>
      </c>
      <c r="T61">
        <v>2.1132255300204446E-5</v>
      </c>
      <c r="U61">
        <v>0.12366769128437613</v>
      </c>
      <c r="V61">
        <v>4.6476926223266626E-3</v>
      </c>
    </row>
    <row r="62" spans="1:22" x14ac:dyDescent="0.2">
      <c r="A62">
        <v>6000</v>
      </c>
      <c r="B62">
        <v>2.2368664784368315E-3</v>
      </c>
      <c r="C62">
        <v>5950.5354557999999</v>
      </c>
      <c r="D62">
        <v>0.37430967027913697</v>
      </c>
      <c r="E62">
        <v>5.8914632817727124E-2</v>
      </c>
      <c r="F62">
        <v>350.57361144732351</v>
      </c>
      <c r="G62">
        <v>2.4215897429247919</v>
      </c>
      <c r="H62">
        <v>4.3293427356084234E-2</v>
      </c>
      <c r="I62">
        <v>257.61907448548089</v>
      </c>
      <c r="J62">
        <v>1.9195873851249496</v>
      </c>
      <c r="K62">
        <v>6.7861750008785512E-2</v>
      </c>
      <c r="L62">
        <v>403.81374951991415</v>
      </c>
      <c r="M62">
        <v>9.9258195530398847</v>
      </c>
      <c r="N62">
        <v>0.25581099413099517</v>
      </c>
      <c r="O62">
        <v>1522.2123905599324</v>
      </c>
      <c r="P62">
        <v>9.792136377440908</v>
      </c>
      <c r="Q62">
        <v>5.0423984515613564E-2</v>
      </c>
      <c r="R62">
        <v>300.0497076828687</v>
      </c>
      <c r="S62">
        <v>1.2762503990601102</v>
      </c>
      <c r="T62">
        <v>2.1294162374279138E-4</v>
      </c>
      <c r="U62">
        <v>1.2671166820971032</v>
      </c>
      <c r="V62">
        <v>6.8466342923462946E-3</v>
      </c>
    </row>
    <row r="63" spans="1:22" x14ac:dyDescent="0.2">
      <c r="A63">
        <v>6100</v>
      </c>
      <c r="B63">
        <v>2.2340598705592445E-3</v>
      </c>
      <c r="C63">
        <v>6049.4730186999996</v>
      </c>
      <c r="D63">
        <v>0.38265014325485852</v>
      </c>
      <c r="E63">
        <v>5.8541280787055533E-2</v>
      </c>
      <c r="F63">
        <v>354.14389860143314</v>
      </c>
      <c r="G63">
        <v>2.2923429626919565</v>
      </c>
      <c r="H63">
        <v>4.7055916221521214E-2</v>
      </c>
      <c r="I63">
        <v>284.66349555230022</v>
      </c>
      <c r="J63">
        <v>1.9821712689339455</v>
      </c>
      <c r="K63">
        <v>6.6791075888777265E-2</v>
      </c>
      <c r="L63">
        <v>404.05081147910215</v>
      </c>
      <c r="M63">
        <v>10.354800414115287</v>
      </c>
      <c r="N63">
        <v>0.25584635021996022</v>
      </c>
      <c r="O63">
        <v>1547.7355925885201</v>
      </c>
      <c r="P63">
        <v>10.033283860695208</v>
      </c>
      <c r="Q63">
        <v>5.9653284271685696E-2</v>
      </c>
      <c r="R63">
        <v>360.87093367840367</v>
      </c>
      <c r="S63">
        <v>1.3638374238803797</v>
      </c>
      <c r="T63">
        <v>3.5943287443534653E-4</v>
      </c>
      <c r="U63">
        <v>2.1743794759304138</v>
      </c>
      <c r="V63">
        <v>8.4398118000000247E-3</v>
      </c>
    </row>
    <row r="64" spans="1:22" x14ac:dyDescent="0.2">
      <c r="A64">
        <v>6200</v>
      </c>
      <c r="B64">
        <v>2.1161823397005909E-3</v>
      </c>
      <c r="C64">
        <v>6148.2151744000003</v>
      </c>
      <c r="D64">
        <v>0.37319748469000985</v>
      </c>
      <c r="E64">
        <v>6.4054848082138835E-2</v>
      </c>
      <c r="F64">
        <v>393.82298897249274</v>
      </c>
      <c r="G64">
        <v>2.5642373623199508</v>
      </c>
      <c r="H64">
        <v>5.0269518913469979E-2</v>
      </c>
      <c r="I64">
        <v>309.06781899358396</v>
      </c>
      <c r="J64">
        <v>1.9477333793153682</v>
      </c>
      <c r="K64">
        <v>6.8048564130519712E-2</v>
      </c>
      <c r="L64">
        <v>418.37721458339286</v>
      </c>
      <c r="M64">
        <v>10.165342073669578</v>
      </c>
      <c r="N64">
        <v>0.24529116444537552</v>
      </c>
      <c r="O64">
        <v>1508.1028593893036</v>
      </c>
      <c r="P64">
        <v>10.843544922420673</v>
      </c>
      <c r="Q64">
        <v>5.8665408767425729E-2</v>
      </c>
      <c r="R64">
        <v>360.68755639626568</v>
      </c>
      <c r="S64">
        <v>1.4464583740570347</v>
      </c>
      <c r="T64">
        <v>1.192347346688796E-3</v>
      </c>
      <c r="U64">
        <v>7.3308080500676329</v>
      </c>
      <c r="V64">
        <v>1.3800173392307654E-2</v>
      </c>
    </row>
    <row r="65" spans="1:22" x14ac:dyDescent="0.2">
      <c r="A65">
        <v>6300</v>
      </c>
      <c r="B65">
        <v>2.0796964372919603E-3</v>
      </c>
      <c r="C65">
        <v>6250.7662974000004</v>
      </c>
      <c r="D65">
        <v>0.34319443010194739</v>
      </c>
      <c r="E65">
        <v>5.8065111007930693E-2</v>
      </c>
      <c r="F65">
        <v>362.95143894316294</v>
      </c>
      <c r="G65">
        <v>2.6934706827860664</v>
      </c>
      <c r="H65">
        <v>5.1322399251438167E-2</v>
      </c>
      <c r="I65">
        <v>320.80432354259671</v>
      </c>
      <c r="J65">
        <v>2.0699546679420937</v>
      </c>
      <c r="K65">
        <v>6.4846946263449223E-2</v>
      </c>
      <c r="L65">
        <v>405.34310619287726</v>
      </c>
      <c r="M65">
        <v>10.43479231527539</v>
      </c>
      <c r="N65">
        <v>0.23370088081649174</v>
      </c>
      <c r="O65">
        <v>1460.8095894804208</v>
      </c>
      <c r="P65">
        <v>9.519778125664498</v>
      </c>
      <c r="Q65">
        <v>4.4652848281851627E-2</v>
      </c>
      <c r="R65">
        <v>279.11451912311367</v>
      </c>
      <c r="S65">
        <v>1.1595981250257728</v>
      </c>
      <c r="T65">
        <v>-6.2452598451949388E-6</v>
      </c>
      <c r="U65">
        <v>-3.9037659758850068E-2</v>
      </c>
      <c r="V65">
        <v>-2.0047867098512356E-4</v>
      </c>
    </row>
    <row r="66" spans="1:22" x14ac:dyDescent="0.2">
      <c r="A66">
        <v>6400</v>
      </c>
      <c r="B66">
        <v>2.0768898294143733E-3</v>
      </c>
      <c r="C66">
        <v>6350.5168708000001</v>
      </c>
      <c r="D66">
        <v>0.36597890345389056</v>
      </c>
      <c r="E66">
        <v>5.2204223856425744E-2</v>
      </c>
      <c r="F66">
        <v>331.52380432725153</v>
      </c>
      <c r="G66">
        <v>2.168602738616598</v>
      </c>
      <c r="H66">
        <v>5.2225455172665379E-2</v>
      </c>
      <c r="I66">
        <v>331.65863415922064</v>
      </c>
      <c r="J66">
        <v>1.8262798649979821</v>
      </c>
      <c r="K66">
        <v>7.2951126552455225E-2</v>
      </c>
      <c r="L66">
        <v>463.27735991523275</v>
      </c>
      <c r="M66">
        <v>10.891410621829847</v>
      </c>
      <c r="N66">
        <v>0.24676717702824219</v>
      </c>
      <c r="O66">
        <v>1567.0991208775422</v>
      </c>
      <c r="P66">
        <v>10.058415288537839</v>
      </c>
      <c r="Q66">
        <v>4.6034169784209322E-2</v>
      </c>
      <c r="R66">
        <v>292.34077184789288</v>
      </c>
      <c r="S66">
        <v>1.2050886101004072</v>
      </c>
      <c r="T66">
        <v>2.2643008898380116E-4</v>
      </c>
      <c r="U66">
        <v>1.4379481001483745</v>
      </c>
      <c r="V66">
        <v>4.0884507284729692E-2</v>
      </c>
    </row>
    <row r="67" spans="1:22" x14ac:dyDescent="0.2">
      <c r="A67">
        <v>6500</v>
      </c>
      <c r="B67">
        <v>2.0179510639850465E-3</v>
      </c>
      <c r="C67">
        <v>6451.0197909999997</v>
      </c>
      <c r="D67">
        <v>0.35487741533385703</v>
      </c>
      <c r="E67">
        <v>5.5362432788676051E-2</v>
      </c>
      <c r="F67">
        <v>357.14414959765651</v>
      </c>
      <c r="G67">
        <v>2.3752247453686652</v>
      </c>
      <c r="H67">
        <v>4.7518726952214305E-2</v>
      </c>
      <c r="I67">
        <v>306.54424801185957</v>
      </c>
      <c r="J67">
        <v>2.0084097540578485</v>
      </c>
      <c r="K67">
        <v>6.6424446724795083E-2</v>
      </c>
      <c r="L67">
        <v>428.50542042787822</v>
      </c>
      <c r="M67">
        <v>10.917614025543722</v>
      </c>
      <c r="N67">
        <v>0.24553628358415122</v>
      </c>
      <c r="O67">
        <v>1583.9594248099479</v>
      </c>
      <c r="P67">
        <v>10.336104773305975</v>
      </c>
      <c r="Q67">
        <v>4.2714514202013769E-2</v>
      </c>
      <c r="R67">
        <v>275.55217648014138</v>
      </c>
      <c r="S67">
        <v>1.1036287554058575</v>
      </c>
      <c r="T67">
        <v>2.0217082289696555E-4</v>
      </c>
      <c r="U67">
        <v>1.3042079796710806</v>
      </c>
      <c r="V67">
        <v>2.2484317870653833E-3</v>
      </c>
    </row>
    <row r="68" spans="1:22" x14ac:dyDescent="0.2">
      <c r="A68">
        <v>7500</v>
      </c>
      <c r="B68">
        <v>1.7827573238432565E-2</v>
      </c>
      <c r="C68">
        <v>6982.5665533000001</v>
      </c>
      <c r="D68">
        <v>0.34949567299892853</v>
      </c>
      <c r="E68">
        <v>5.3642651051432844E-2</v>
      </c>
      <c r="F68">
        <v>374.56338106207807</v>
      </c>
      <c r="G68">
        <v>2.4951503936841268</v>
      </c>
      <c r="H68">
        <v>4.6950985767117641E-2</v>
      </c>
      <c r="I68">
        <v>327.83838286193998</v>
      </c>
      <c r="J68">
        <v>2.0270283936311091</v>
      </c>
      <c r="K68">
        <v>6.2196837981758152E-2</v>
      </c>
      <c r="L68">
        <v>434.29356061244357</v>
      </c>
      <c r="M68">
        <v>10.873581794937403</v>
      </c>
      <c r="N68">
        <v>0.23649846451630024</v>
      </c>
      <c r="O68">
        <v>1651.3662682383249</v>
      </c>
      <c r="P68">
        <v>10.609734172456806</v>
      </c>
      <c r="Q68">
        <v>5.0049711593500489E-2</v>
      </c>
      <c r="R68">
        <v>349.47544217508778</v>
      </c>
      <c r="S68">
        <v>1.3261550030886631</v>
      </c>
      <c r="T68">
        <v>7.5065890736966527E-4</v>
      </c>
      <c r="U68">
        <v>5.2415257795361478</v>
      </c>
      <c r="V68">
        <v>3.4432727129722978E-3</v>
      </c>
    </row>
    <row r="69" spans="1:22" x14ac:dyDescent="0.2">
      <c r="A69">
        <v>10000</v>
      </c>
      <c r="B69">
        <v>3.1593984877996757E-2</v>
      </c>
      <c r="C69">
        <v>8660.5293345999999</v>
      </c>
      <c r="D69">
        <v>0.33501433170492656</v>
      </c>
      <c r="E69">
        <v>4.5594164903545654E-2</v>
      </c>
      <c r="F69">
        <v>394.86960263374692</v>
      </c>
      <c r="G69">
        <v>2.6276559812738047</v>
      </c>
      <c r="H69">
        <v>4.574188065489819E-2</v>
      </c>
      <c r="I69">
        <v>396.14889923151804</v>
      </c>
      <c r="J69">
        <v>2.4364131399841087</v>
      </c>
      <c r="K69">
        <v>4.8446366696935736E-2</v>
      </c>
      <c r="L69">
        <v>419.57117993360043</v>
      </c>
      <c r="M69">
        <v>10.831372744016011</v>
      </c>
      <c r="N69">
        <v>0.23523760357867898</v>
      </c>
      <c r="O69">
        <v>2037.2821663941552</v>
      </c>
      <c r="P69">
        <v>12.459151349024385</v>
      </c>
      <c r="Q69">
        <v>4.9518086788137315E-2</v>
      </c>
      <c r="R69">
        <v>428.85284322193189</v>
      </c>
      <c r="S69">
        <v>1.6131302125214451</v>
      </c>
      <c r="T69">
        <v>1.8122746411745585E-3</v>
      </c>
      <c r="U69">
        <v>15.695257692243953</v>
      </c>
      <c r="V69">
        <v>1.1150700376423555E-2</v>
      </c>
    </row>
    <row r="70" spans="1:22" x14ac:dyDescent="0.2">
      <c r="A70">
        <v>15000</v>
      </c>
      <c r="B70">
        <v>3.6685171567939559E-2</v>
      </c>
      <c r="C70">
        <v>12240.307278</v>
      </c>
      <c r="D70">
        <v>0.2688367579212983</v>
      </c>
      <c r="E70">
        <v>3.2400042760821708E-2</v>
      </c>
      <c r="F70">
        <v>396.5864792127972</v>
      </c>
      <c r="G70">
        <v>2.6460286379005735</v>
      </c>
      <c r="H70">
        <v>3.5463897510933914E-2</v>
      </c>
      <c r="I70">
        <v>434.08900280933045</v>
      </c>
      <c r="J70">
        <v>2.5860816649857319</v>
      </c>
      <c r="K70">
        <v>3.6177456623270786E-2</v>
      </c>
      <c r="L70">
        <v>442.82318560535072</v>
      </c>
      <c r="M70">
        <v>11.408636778637275</v>
      </c>
      <c r="N70">
        <v>0.19012813617082663</v>
      </c>
      <c r="O70">
        <v>2327.2268089243444</v>
      </c>
      <c r="P70">
        <v>13.080042211024384</v>
      </c>
      <c r="Q70">
        <v>3.9040237614905673E-2</v>
      </c>
      <c r="R70">
        <v>477.86450461257925</v>
      </c>
      <c r="S70">
        <v>1.7230071442834152</v>
      </c>
      <c r="T70">
        <v>3.490927512295156E-3</v>
      </c>
      <c r="U70">
        <v>42.730025435716833</v>
      </c>
      <c r="V70">
        <v>2.9097872054915465E-2</v>
      </c>
    </row>
    <row r="71" spans="1:22" x14ac:dyDescent="0.2">
      <c r="A71">
        <v>20000</v>
      </c>
      <c r="B71">
        <v>1.9966208441153852E-2</v>
      </c>
      <c r="C71">
        <v>17274.568265000002</v>
      </c>
      <c r="D71">
        <v>0.21277891054966211</v>
      </c>
      <c r="E71">
        <v>2.3727621794163416E-2</v>
      </c>
      <c r="F71">
        <v>409.88442244937778</v>
      </c>
      <c r="G71">
        <v>2.7048085829207915</v>
      </c>
      <c r="H71">
        <v>2.7712595426067577E-2</v>
      </c>
      <c r="I71">
        <v>478.72312148793117</v>
      </c>
      <c r="J71">
        <v>2.8558072125438576</v>
      </c>
      <c r="K71">
        <v>2.6984297369116731E-2</v>
      </c>
      <c r="L71">
        <v>466.14208698586691</v>
      </c>
      <c r="M71">
        <v>12.694552223998198</v>
      </c>
      <c r="N71">
        <v>0.14762079296671318</v>
      </c>
      <c r="O71">
        <v>2550.0854654369191</v>
      </c>
      <c r="P71">
        <v>13.695411626541294</v>
      </c>
      <c r="Q71">
        <v>2.9627928595329422E-2</v>
      </c>
      <c r="R71">
        <v>511.80967507056374</v>
      </c>
      <c r="S71">
        <v>1.8298757832135193</v>
      </c>
      <c r="T71">
        <v>8.5458916185027524E-3</v>
      </c>
      <c r="U71">
        <v>147.62658814911714</v>
      </c>
      <c r="V71">
        <v>7.3467547606156855E-2</v>
      </c>
    </row>
    <row r="72" spans="1:22" x14ac:dyDescent="0.2">
      <c r="A72">
        <v>25000</v>
      </c>
      <c r="B72">
        <v>1.2104899776032692E-2</v>
      </c>
      <c r="C72">
        <v>22299.277086999999</v>
      </c>
      <c r="D72">
        <v>0.19197083280502711</v>
      </c>
      <c r="E72">
        <v>2.0454991893585454E-2</v>
      </c>
      <c r="F72">
        <v>456.13153204740081</v>
      </c>
      <c r="G72">
        <v>2.949956982059295</v>
      </c>
      <c r="H72">
        <v>2.4052608605810329E-2</v>
      </c>
      <c r="I72">
        <v>536.35578396612527</v>
      </c>
      <c r="J72">
        <v>3.0306739190187759</v>
      </c>
      <c r="K72">
        <v>2.3399254980820582E-2</v>
      </c>
      <c r="L72">
        <v>521.78647044668298</v>
      </c>
      <c r="M72">
        <v>13.856880639274261</v>
      </c>
      <c r="N72">
        <v>0.1226943403197291</v>
      </c>
      <c r="O72">
        <v>2735.9950917963151</v>
      </c>
      <c r="P72">
        <v>13.998871545196268</v>
      </c>
      <c r="Q72">
        <v>2.5109167643912949E-2</v>
      </c>
      <c r="R72">
        <v>559.91628671554975</v>
      </c>
      <c r="S72">
        <v>1.7842719209850213</v>
      </c>
      <c r="T72">
        <v>2.0768069860564491E-2</v>
      </c>
      <c r="U72">
        <v>463.11294438290099</v>
      </c>
      <c r="V72">
        <v>0.20538111995761651</v>
      </c>
    </row>
    <row r="73" spans="1:22" x14ac:dyDescent="0.2">
      <c r="A73">
        <v>30000</v>
      </c>
      <c r="B73">
        <v>7.5553884064641788E-3</v>
      </c>
      <c r="C73">
        <v>27313.066568999999</v>
      </c>
      <c r="D73">
        <v>0.20024759251203411</v>
      </c>
      <c r="E73">
        <v>1.6914701861000577E-2</v>
      </c>
      <c r="F73">
        <v>461.99237792429693</v>
      </c>
      <c r="G73">
        <v>3.0131977085012185</v>
      </c>
      <c r="H73">
        <v>2.3300546235887665E-2</v>
      </c>
      <c r="I73">
        <v>636.40937043486213</v>
      </c>
      <c r="J73">
        <v>3.4931852311210916</v>
      </c>
      <c r="K73">
        <v>2.0862345214564301E-2</v>
      </c>
      <c r="L73">
        <v>569.81462363085336</v>
      </c>
      <c r="M73">
        <v>14.89561715545342</v>
      </c>
      <c r="N73">
        <v>0.12167408950962585</v>
      </c>
      <c r="O73">
        <v>3323.2925064988754</v>
      </c>
      <c r="P73">
        <v>14.838610816476409</v>
      </c>
      <c r="Q73">
        <v>2.5454933429263041E-2</v>
      </c>
      <c r="R73">
        <v>695.25229126292481</v>
      </c>
      <c r="S73">
        <v>1.9092774899292817</v>
      </c>
      <c r="T73">
        <v>3.2256224358580908E-2</v>
      </c>
      <c r="U73">
        <v>881.01640317051965</v>
      </c>
      <c r="V73">
        <v>0.38944027039331353</v>
      </c>
    </row>
    <row r="74" spans="1:22" x14ac:dyDescent="0.2">
      <c r="A74">
        <v>35000</v>
      </c>
      <c r="B74">
        <v>5.1220593765962585E-3</v>
      </c>
      <c r="C74">
        <v>32337.410104999999</v>
      </c>
      <c r="D74">
        <v>0.22240601322575562</v>
      </c>
      <c r="E74">
        <v>1.5076769788752491E-2</v>
      </c>
      <c r="F74">
        <v>487.5436877175635</v>
      </c>
      <c r="G74">
        <v>3.2110373759868693</v>
      </c>
      <c r="H74">
        <v>1.9295925564865209E-2</v>
      </c>
      <c r="I74">
        <v>623.98025834660007</v>
      </c>
      <c r="J74">
        <v>3.4425581512334182</v>
      </c>
      <c r="K74">
        <v>1.9612144859075108E-2</v>
      </c>
      <c r="L74">
        <v>634.20597134657919</v>
      </c>
      <c r="M74">
        <v>17.049995054069857</v>
      </c>
      <c r="N74">
        <v>0.11805752013258487</v>
      </c>
      <c r="O74">
        <v>3817.6744445066911</v>
      </c>
      <c r="P74">
        <v>15.830950191625178</v>
      </c>
      <c r="Q74">
        <v>2.5549991360028994E-2</v>
      </c>
      <c r="R74">
        <v>826.22054878846427</v>
      </c>
      <c r="S74">
        <v>1.953969984344647</v>
      </c>
      <c r="T74">
        <v>5.9186356874066627E-2</v>
      </c>
      <c r="U74">
        <v>1913.9334948575784</v>
      </c>
      <c r="V74">
        <v>0.73401404558082206</v>
      </c>
    </row>
    <row r="75" spans="1:22" x14ac:dyDescent="0.2">
      <c r="A75">
        <v>40000</v>
      </c>
      <c r="B75">
        <v>3.5952646911889354E-3</v>
      </c>
      <c r="C75">
        <v>37357.561143999999</v>
      </c>
      <c r="D75">
        <v>0.22707419206872981</v>
      </c>
      <c r="E75">
        <v>1.3849771947203746E-2</v>
      </c>
      <c r="F75">
        <v>517.39370234811986</v>
      </c>
      <c r="G75">
        <v>3.3918101524083641</v>
      </c>
      <c r="H75">
        <v>2.2059206299345876E-2</v>
      </c>
      <c r="I75">
        <v>824.07814811592357</v>
      </c>
      <c r="J75">
        <v>4.0328373118640606</v>
      </c>
      <c r="K75">
        <v>1.7865743096925991E-2</v>
      </c>
      <c r="L75">
        <v>667.42059012640857</v>
      </c>
      <c r="M75">
        <v>18.103651736117207</v>
      </c>
      <c r="N75">
        <v>0.11236931864043773</v>
      </c>
      <c r="O75">
        <v>4197.8436918197713</v>
      </c>
      <c r="P75">
        <v>16.79919753226093</v>
      </c>
      <c r="Q75">
        <v>2.9280613292934216E-2</v>
      </c>
      <c r="R75">
        <v>1093.8523014246091</v>
      </c>
      <c r="S75">
        <v>2.4538269631481828</v>
      </c>
      <c r="T75">
        <v>6.755851703843184E-2</v>
      </c>
      <c r="U75">
        <v>2523.8214310611834</v>
      </c>
      <c r="V75">
        <v>0.91497043447088233</v>
      </c>
    </row>
    <row r="76" spans="1:22" x14ac:dyDescent="0.2">
      <c r="A76">
        <v>45000</v>
      </c>
      <c r="B76">
        <v>1.838328159819479E-3</v>
      </c>
      <c r="C76">
        <v>41546.011773999999</v>
      </c>
      <c r="D76">
        <v>0.20359658796560653</v>
      </c>
      <c r="E76">
        <v>1.1189664434425555E-2</v>
      </c>
      <c r="F76">
        <v>464.88593033975314</v>
      </c>
      <c r="G76">
        <v>2.9712211309241678</v>
      </c>
      <c r="H76">
        <v>1.9346929686431768E-2</v>
      </c>
      <c r="I76">
        <v>803.78776854324428</v>
      </c>
      <c r="J76">
        <v>3.6962608692601489</v>
      </c>
      <c r="K76">
        <v>1.5840162502734973E-2</v>
      </c>
      <c r="L76">
        <v>658.09557784070046</v>
      </c>
      <c r="M76">
        <v>17.517570895906395</v>
      </c>
      <c r="N76">
        <v>0.10403047893260398</v>
      </c>
      <c r="O76">
        <v>4322.0515025888235</v>
      </c>
      <c r="P76">
        <v>17.476588415826907</v>
      </c>
      <c r="Q76">
        <v>2.3451190887462083E-2</v>
      </c>
      <c r="R76">
        <v>974.30345272482123</v>
      </c>
      <c r="S76">
        <v>1.9301395590021186</v>
      </c>
      <c r="T76">
        <v>6.0274755642805489E-2</v>
      </c>
      <c r="U76">
        <v>2504.1757076109698</v>
      </c>
      <c r="V76">
        <v>0.77577594745465595</v>
      </c>
    </row>
    <row r="77" spans="1:22" x14ac:dyDescent="0.2">
      <c r="A77">
        <v>50000</v>
      </c>
      <c r="B77">
        <v>2.1274087712109392E-3</v>
      </c>
      <c r="C77">
        <v>47395.202388999998</v>
      </c>
      <c r="D77">
        <v>0.20941343796651335</v>
      </c>
      <c r="E77">
        <v>1.2504083107275125E-2</v>
      </c>
      <c r="F77">
        <v>592.63354955818056</v>
      </c>
      <c r="G77">
        <v>3.3391561594690806</v>
      </c>
      <c r="H77">
        <v>2.4758668484799243E-2</v>
      </c>
      <c r="I77">
        <v>1173.442103719216</v>
      </c>
      <c r="J77">
        <v>4.310001108646123</v>
      </c>
      <c r="K77">
        <v>1.7966305483152246E-2</v>
      </c>
      <c r="L77">
        <v>851.51668455660104</v>
      </c>
      <c r="M77">
        <v>19.341104655971353</v>
      </c>
      <c r="N77">
        <v>9.6806244855756965E-2</v>
      </c>
      <c r="O77">
        <v>4588.1515674576913</v>
      </c>
      <c r="P77">
        <v>18.085599221410181</v>
      </c>
      <c r="Q77">
        <v>1.9667710917123295E-2</v>
      </c>
      <c r="R77">
        <v>932.15513944540339</v>
      </c>
      <c r="S77">
        <v>1.9679633513435328</v>
      </c>
      <c r="T77">
        <v>7.4973176710480871E-2</v>
      </c>
      <c r="U77">
        <v>3553.3688839395018</v>
      </c>
      <c r="V77">
        <v>1.051411310220844</v>
      </c>
    </row>
    <row r="78" spans="1:22" x14ac:dyDescent="0.2">
      <c r="A78">
        <v>100000</v>
      </c>
      <c r="B78">
        <v>8.3131725334126671E-3</v>
      </c>
      <c r="C78">
        <v>67427.634216000006</v>
      </c>
      <c r="D78">
        <v>0.18057262683974581</v>
      </c>
      <c r="E78">
        <v>1.0035867960932752E-2</v>
      </c>
      <c r="F78">
        <v>676.69483390984749</v>
      </c>
      <c r="G78">
        <v>3.5028803321053368</v>
      </c>
      <c r="H78">
        <v>2.0474009685697896E-2</v>
      </c>
      <c r="I78">
        <v>1380.5140360220789</v>
      </c>
      <c r="J78">
        <v>4.8370834459270213</v>
      </c>
      <c r="K78">
        <v>1.3835471961362623E-2</v>
      </c>
      <c r="L78">
        <v>932.89314261648315</v>
      </c>
      <c r="M78">
        <v>20.535450171988966</v>
      </c>
      <c r="N78">
        <v>7.5180665990991144E-2</v>
      </c>
      <c r="O78">
        <v>5069.2544465558221</v>
      </c>
      <c r="P78">
        <v>18.435251166554721</v>
      </c>
      <c r="Q78">
        <v>1.5905476322637533E-2</v>
      </c>
      <c r="R78">
        <v>1072.4686395140525</v>
      </c>
      <c r="S78">
        <v>1.9919177339816345</v>
      </c>
      <c r="T78">
        <v>7.5651012564754483E-2</v>
      </c>
      <c r="U78">
        <v>5100.9688032862859</v>
      </c>
      <c r="V78">
        <v>1.3116439348831195</v>
      </c>
    </row>
    <row r="79" spans="1:22" x14ac:dyDescent="0.2">
      <c r="A79">
        <v>200000</v>
      </c>
      <c r="B79">
        <v>2.8178343090973388E-3</v>
      </c>
      <c r="C79">
        <v>135619.77780000001</v>
      </c>
      <c r="D79">
        <v>9.4787456653799382E-2</v>
      </c>
      <c r="E79">
        <v>6.8842165760880682E-3</v>
      </c>
      <c r="F79">
        <v>933.63592237614068</v>
      </c>
      <c r="G79">
        <v>3.897207637446185</v>
      </c>
      <c r="H79">
        <v>2.7312905854781078E-2</v>
      </c>
      <c r="I79">
        <v>3704.1702230977289</v>
      </c>
      <c r="J79">
        <v>6.6909796812123314</v>
      </c>
      <c r="K79">
        <v>1.0081134547981908E-2</v>
      </c>
      <c r="L79">
        <v>1367.2012273692098</v>
      </c>
      <c r="M79">
        <v>25.056818518798522</v>
      </c>
      <c r="N79">
        <v>3.4266548330437636E-2</v>
      </c>
      <c r="O79">
        <v>4647.2216705469136</v>
      </c>
      <c r="P79">
        <v>17.909208485088822</v>
      </c>
      <c r="Q79">
        <v>1.1704810329043464E-2</v>
      </c>
      <c r="R79">
        <v>1587.4037760160195</v>
      </c>
      <c r="S79">
        <v>2.0823247978135395</v>
      </c>
      <c r="T79">
        <v>3.8734963446336375E-2</v>
      </c>
      <c r="U79">
        <v>5253.2271356832616</v>
      </c>
      <c r="V79">
        <v>0.95183234538127537</v>
      </c>
    </row>
    <row r="80" spans="1:22" x14ac:dyDescent="0.2">
      <c r="A80">
        <v>300000</v>
      </c>
      <c r="B80">
        <v>6.1745373306913796E-4</v>
      </c>
      <c r="C80">
        <v>241382.6819</v>
      </c>
      <c r="D80">
        <v>6.6482180197410271E-2</v>
      </c>
      <c r="E80">
        <v>4.9140308655673086E-3</v>
      </c>
      <c r="F80">
        <v>1186.1619492700154</v>
      </c>
      <c r="G80">
        <v>4.2171830639089674</v>
      </c>
      <c r="H80">
        <v>2.728839190388203E-2</v>
      </c>
      <c r="I80">
        <v>6586.9452224972911</v>
      </c>
      <c r="J80">
        <v>8.3591313260456612</v>
      </c>
      <c r="K80">
        <v>6.0673701864613454E-3</v>
      </c>
      <c r="L80">
        <v>1464.5580876881427</v>
      </c>
      <c r="M80">
        <v>28.217626839109951</v>
      </c>
      <c r="N80">
        <v>2.4941181440015499E-2</v>
      </c>
      <c r="O80">
        <v>6020.3692657454449</v>
      </c>
      <c r="P80">
        <v>19.421633974045768</v>
      </c>
      <c r="Q80">
        <v>8.2665765433273738E-3</v>
      </c>
      <c r="R80">
        <v>1995.4084161599928</v>
      </c>
      <c r="S80">
        <v>2.3395777045636681</v>
      </c>
      <c r="T80">
        <v>2.7207052027606052E-2</v>
      </c>
      <c r="U80">
        <v>6567.3111850163814</v>
      </c>
      <c r="V80">
        <v>1.146942897972721</v>
      </c>
    </row>
    <row r="81" spans="1:22" x14ac:dyDescent="0.2">
      <c r="A81">
        <v>400000</v>
      </c>
      <c r="B81">
        <v>2.2733523808454625E-4</v>
      </c>
      <c r="C81">
        <v>343073.24959000002</v>
      </c>
      <c r="D81">
        <v>5.6942839635484487E-2</v>
      </c>
      <c r="E81">
        <v>2.7938667714079045E-3</v>
      </c>
      <c r="F81">
        <v>958.50095218843148</v>
      </c>
      <c r="G81">
        <v>4.0378306838266989</v>
      </c>
      <c r="H81">
        <v>2.1594274856868202E-2</v>
      </c>
      <c r="I81">
        <v>7408.4180476854062</v>
      </c>
      <c r="J81">
        <v>8.5176755827341371</v>
      </c>
      <c r="K81">
        <v>4.2451731864145753E-3</v>
      </c>
      <c r="L81">
        <v>1456.4053601355831</v>
      </c>
      <c r="M81">
        <v>27.465288509488289</v>
      </c>
      <c r="N81">
        <v>2.9065319961159929E-2</v>
      </c>
      <c r="O81">
        <v>9971.5337694482296</v>
      </c>
      <c r="P81">
        <v>20.597841250629706</v>
      </c>
      <c r="Q81">
        <v>2.6981038447046412E-3</v>
      </c>
      <c r="R81">
        <v>925.64725373409408</v>
      </c>
      <c r="S81">
        <v>2.1958488708618527</v>
      </c>
      <c r="T81">
        <v>2.0934242643205338E-2</v>
      </c>
      <c r="U81">
        <v>7181.9786513100071</v>
      </c>
      <c r="V81">
        <v>1.0659719583345577</v>
      </c>
    </row>
    <row r="82" spans="1:22" x14ac:dyDescent="0.2">
      <c r="A82">
        <v>500000</v>
      </c>
      <c r="B82">
        <v>1.0384449147071866E-4</v>
      </c>
      <c r="C82">
        <v>444733.24984</v>
      </c>
      <c r="D82">
        <v>6.0257235980886031E-2</v>
      </c>
      <c r="E82">
        <v>3.1687233407209476E-3</v>
      </c>
      <c r="F82">
        <v>1409.2366291626886</v>
      </c>
      <c r="G82">
        <v>3.6739705459315433</v>
      </c>
      <c r="H82">
        <v>7.8344988318505178E-3</v>
      </c>
      <c r="I82">
        <v>3484.2621263565647</v>
      </c>
      <c r="J82">
        <v>8.5645756024577828</v>
      </c>
      <c r="K82">
        <v>2.3784331439969286E-3</v>
      </c>
      <c r="L82">
        <v>1057.7683016569229</v>
      </c>
      <c r="M82">
        <v>25.593084854338116</v>
      </c>
      <c r="N82">
        <v>1.2017470762963296E-2</v>
      </c>
      <c r="O82">
        <v>5344.5688272698508</v>
      </c>
      <c r="P82">
        <v>18.376115157048694</v>
      </c>
      <c r="Q82">
        <v>4.1522440885659187E-3</v>
      </c>
      <c r="R82">
        <v>1846.64100763685</v>
      </c>
      <c r="S82">
        <v>2.3944776347300314</v>
      </c>
      <c r="T82">
        <v>4.170908798535989E-2</v>
      </c>
      <c r="U82">
        <v>18549.418247591602</v>
      </c>
      <c r="V82">
        <v>1.4102657903432694</v>
      </c>
    </row>
    <row r="83" spans="1:22" x14ac:dyDescent="0.2">
      <c r="A83">
        <v>1000000</v>
      </c>
      <c r="B83">
        <v>1.4594360963452352E-4</v>
      </c>
      <c r="C83">
        <v>668431.99795999995</v>
      </c>
      <c r="D83">
        <v>5.2127622170068055E-2</v>
      </c>
      <c r="E83">
        <v>1.2101347240313328E-3</v>
      </c>
      <c r="F83">
        <v>808.89277138503701</v>
      </c>
      <c r="G83">
        <v>3.7568038413961542</v>
      </c>
      <c r="H83">
        <v>3.8187214065064116E-3</v>
      </c>
      <c r="I83">
        <v>2552.5555794037018</v>
      </c>
      <c r="J83">
        <v>7.2109831793753143</v>
      </c>
      <c r="K83">
        <v>2.2724977182444418E-3</v>
      </c>
      <c r="L83">
        <v>1519.0101901656733</v>
      </c>
      <c r="M83">
        <v>25.109119350717474</v>
      </c>
      <c r="N83">
        <v>9.523569861156319E-3</v>
      </c>
      <c r="O83">
        <v>6365.8588300043575</v>
      </c>
      <c r="P83">
        <v>14.919242552347267</v>
      </c>
      <c r="Q83">
        <v>2.0964499316991265E-3</v>
      </c>
      <c r="R83">
        <v>1401.3342164687526</v>
      </c>
      <c r="S83">
        <v>1.7978259763303168</v>
      </c>
      <c r="T83">
        <v>3.8235104658968171E-2</v>
      </c>
      <c r="U83">
        <v>25557.567399403797</v>
      </c>
      <c r="V83">
        <v>1.4747018569653916</v>
      </c>
    </row>
    <row r="84" spans="1:22" x14ac:dyDescent="0.2">
      <c r="A84">
        <v>2000000</v>
      </c>
      <c r="B84">
        <v>3.0872686653456898E-5</v>
      </c>
      <c r="C84">
        <v>1351186.1129000001</v>
      </c>
      <c r="D84">
        <v>4.9202458459216367E-3</v>
      </c>
      <c r="E84">
        <v>3.2005271794981199E-4</v>
      </c>
      <c r="F84">
        <v>432.45078788968652</v>
      </c>
      <c r="G84">
        <v>3.0578980675993743</v>
      </c>
      <c r="H84">
        <v>7.0363783813717686E-3</v>
      </c>
      <c r="I84">
        <v>9507.4567540193148</v>
      </c>
      <c r="J84">
        <v>6.8537150292011741</v>
      </c>
      <c r="K84">
        <v>6.7843120735832914E-4</v>
      </c>
      <c r="L84">
        <v>916.68682594055474</v>
      </c>
      <c r="M84">
        <v>15.915632224599408</v>
      </c>
      <c r="N84">
        <v>3.291145155368522E-3</v>
      </c>
      <c r="O84">
        <v>4446.9496294720602</v>
      </c>
      <c r="P84">
        <v>12.469366293210028</v>
      </c>
      <c r="Q84">
        <v>5.2972668941496533E-4</v>
      </c>
      <c r="R84">
        <v>715.75934636999261</v>
      </c>
      <c r="S84">
        <v>0.55851140359829354</v>
      </c>
      <c r="T84">
        <v>4.2094279377982035E-4</v>
      </c>
      <c r="U84">
        <v>568.77205728062177</v>
      </c>
      <c r="V84">
        <v>0.3462174538999534</v>
      </c>
    </row>
    <row r="85" spans="1:22" x14ac:dyDescent="0.2">
      <c r="B85">
        <v>2.8066078775869909E-6</v>
      </c>
      <c r="C85">
        <v>2759955.0177000002</v>
      </c>
      <c r="D85">
        <v>3.6778770788731454E-3</v>
      </c>
      <c r="E85">
        <v>2.2197539850415623E-5</v>
      </c>
      <c r="F85">
        <v>61.264211490750313</v>
      </c>
      <c r="G85">
        <v>0.17072367202490568</v>
      </c>
      <c r="H85">
        <v>3.3636193386150869E-3</v>
      </c>
      <c r="I85">
        <v>9283.4380712434649</v>
      </c>
      <c r="J85">
        <v>7.6530911450390704</v>
      </c>
      <c r="K85">
        <v>2.295519900231773E-4</v>
      </c>
      <c r="L85">
        <v>633.55316668748856</v>
      </c>
      <c r="M85">
        <v>13.999520725570619</v>
      </c>
      <c r="N85">
        <v>6.6048737202072029E-4</v>
      </c>
      <c r="O85">
        <v>1822.9154365360737</v>
      </c>
      <c r="P85">
        <v>6.1627688105218112</v>
      </c>
      <c r="Q85">
        <v>2.8599583482714088E-3</v>
      </c>
      <c r="R85">
        <v>7893.3563937246799</v>
      </c>
      <c r="S85">
        <v>4.0023144032165874</v>
      </c>
      <c r="T85">
        <v>-7.2120631442161194E-5</v>
      </c>
      <c r="U85">
        <v>-199.0496986284852</v>
      </c>
      <c r="V85">
        <v>-4.7725455298859742E-2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 enableFormatConditionsCalculation="0"/>
  <dimension ref="A1:EL88"/>
  <sheetViews>
    <sheetView workbookViewId="0">
      <pane xSplit="4" ySplit="4" topLeftCell="E5" activePane="bottomRight" state="frozen"/>
      <selection activeCell="I95" sqref="I95"/>
      <selection pane="topRight" activeCell="I95" sqref="I95"/>
      <selection pane="bottomLeft" activeCell="I95" sqref="I95"/>
      <selection pane="bottomRight" sqref="A1:XFD1048576"/>
    </sheetView>
  </sheetViews>
  <sheetFormatPr baseColWidth="10" defaultColWidth="8.83203125" defaultRowHeight="15" x14ac:dyDescent="0.2"/>
  <cols>
    <col min="1" max="3" width="12.5" style="81" customWidth="1"/>
    <col min="4" max="4" width="15.1640625" style="81" customWidth="1"/>
    <col min="5" max="10" width="12.5" style="81" customWidth="1"/>
    <col min="11" max="11" width="12.1640625" style="81" customWidth="1"/>
    <col min="12" max="13" width="12.5" style="81" customWidth="1"/>
    <col min="14" max="14" width="13.83203125" style="81" bestFit="1" customWidth="1"/>
    <col min="15" max="16" width="12.5" style="81" hidden="1" customWidth="1"/>
    <col min="17" max="18" width="12.5" style="81" customWidth="1"/>
    <col min="19" max="22" width="12.5" style="81" hidden="1" customWidth="1"/>
    <col min="23" max="26" width="12.5" style="81" customWidth="1"/>
    <col min="27" max="28" width="12.5" style="81" hidden="1" customWidth="1"/>
    <col min="29" max="30" width="12.5" style="81" customWidth="1"/>
    <col min="31" max="34" width="12.5" style="81" hidden="1" customWidth="1"/>
    <col min="35" max="35" width="12.5" style="81" customWidth="1"/>
    <col min="36" max="38" width="12.1640625" style="81" customWidth="1"/>
    <col min="39" max="44" width="12.1640625" style="81" hidden="1" customWidth="1"/>
    <col min="45" max="55" width="12.1640625" style="81" customWidth="1"/>
    <col min="56" max="64" width="12.5" style="81" customWidth="1"/>
    <col min="65" max="68" width="12.83203125" style="81" customWidth="1"/>
    <col min="69" max="72" width="12.83203125" style="81" hidden="1" customWidth="1"/>
    <col min="73" max="74" width="12.83203125" style="81" customWidth="1"/>
    <col min="75" max="76" width="13" style="81" customWidth="1"/>
    <col min="77" max="80" width="13" style="81" hidden="1" customWidth="1"/>
    <col min="81" max="84" width="13" style="81" customWidth="1"/>
    <col min="85" max="92" width="13" style="81" hidden="1" customWidth="1"/>
    <col min="93" max="100" width="13" style="81" customWidth="1"/>
    <col min="101" max="104" width="13" style="81" hidden="1" customWidth="1"/>
    <col min="105" max="112" width="13" style="81" customWidth="1"/>
    <col min="113" max="16384" width="8.83203125" style="81"/>
  </cols>
  <sheetData>
    <row r="1" spans="1:142" x14ac:dyDescent="0.2">
      <c r="A1" s="86" t="s">
        <v>147</v>
      </c>
    </row>
    <row r="2" spans="1:142" x14ac:dyDescent="0.2">
      <c r="A2" s="86" t="s">
        <v>19</v>
      </c>
    </row>
    <row r="3" spans="1:142" x14ac:dyDescent="0.2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</row>
    <row r="4" spans="1:142" s="91" customFormat="1" ht="45" customHeight="1" x14ac:dyDescent="0.2">
      <c r="A4" s="87" t="s">
        <v>10</v>
      </c>
      <c r="B4" s="88" t="s">
        <v>20</v>
      </c>
      <c r="C4" s="87" t="s">
        <v>21</v>
      </c>
      <c r="D4" s="88" t="s">
        <v>12</v>
      </c>
      <c r="E4" s="87" t="s">
        <v>28</v>
      </c>
      <c r="F4" s="88" t="s">
        <v>29</v>
      </c>
      <c r="G4" s="87" t="s">
        <v>30</v>
      </c>
      <c r="H4" s="88" t="s">
        <v>31</v>
      </c>
      <c r="I4" s="88" t="s">
        <v>32</v>
      </c>
      <c r="J4" s="88" t="s">
        <v>33</v>
      </c>
      <c r="K4" s="88" t="s">
        <v>34</v>
      </c>
      <c r="L4" s="88" t="s">
        <v>35</v>
      </c>
      <c r="M4" s="88" t="s">
        <v>36</v>
      </c>
      <c r="N4" s="88" t="s">
        <v>37</v>
      </c>
      <c r="O4" s="88" t="s">
        <v>38</v>
      </c>
      <c r="P4" s="88" t="s">
        <v>38</v>
      </c>
      <c r="Q4" s="88" t="s">
        <v>39</v>
      </c>
      <c r="R4" s="88" t="s">
        <v>40</v>
      </c>
      <c r="S4" s="88" t="s">
        <v>38</v>
      </c>
      <c r="T4" s="88" t="s">
        <v>38</v>
      </c>
      <c r="U4" s="88" t="s">
        <v>38</v>
      </c>
      <c r="V4" s="88" t="s">
        <v>38</v>
      </c>
      <c r="W4" s="88" t="s">
        <v>41</v>
      </c>
      <c r="X4" s="88" t="s">
        <v>42</v>
      </c>
      <c r="Y4" s="88" t="s">
        <v>43</v>
      </c>
      <c r="Z4" s="88" t="s">
        <v>44</v>
      </c>
      <c r="AA4" s="88" t="s">
        <v>38</v>
      </c>
      <c r="AB4" s="88" t="s">
        <v>38</v>
      </c>
      <c r="AC4" s="88" t="s">
        <v>45</v>
      </c>
      <c r="AD4" s="88" t="s">
        <v>46</v>
      </c>
      <c r="AE4" s="88" t="s">
        <v>38</v>
      </c>
      <c r="AF4" s="88" t="s">
        <v>38</v>
      </c>
      <c r="AG4" s="88" t="s">
        <v>38</v>
      </c>
      <c r="AH4" s="88" t="s">
        <v>38</v>
      </c>
      <c r="AI4" s="88" t="s">
        <v>47</v>
      </c>
      <c r="AJ4" s="88" t="s">
        <v>48</v>
      </c>
      <c r="AK4" s="88" t="s">
        <v>49</v>
      </c>
      <c r="AL4" s="88" t="s">
        <v>50</v>
      </c>
      <c r="AM4" s="88" t="s">
        <v>38</v>
      </c>
      <c r="AN4" s="88" t="s">
        <v>38</v>
      </c>
      <c r="AO4" s="88" t="s">
        <v>38</v>
      </c>
      <c r="AP4" s="88" t="s">
        <v>38</v>
      </c>
      <c r="AQ4" s="88" t="s">
        <v>38</v>
      </c>
      <c r="AR4" s="88" t="s">
        <v>38</v>
      </c>
      <c r="AS4" s="88" t="s">
        <v>51</v>
      </c>
      <c r="AT4" s="88" t="s">
        <v>52</v>
      </c>
      <c r="AU4" s="88" t="s">
        <v>53</v>
      </c>
      <c r="AV4" s="88" t="s">
        <v>54</v>
      </c>
      <c r="AW4" s="88" t="s">
        <v>55</v>
      </c>
      <c r="AX4" s="88" t="s">
        <v>56</v>
      </c>
      <c r="AY4" s="88" t="s">
        <v>57</v>
      </c>
      <c r="AZ4" s="88" t="s">
        <v>58</v>
      </c>
      <c r="BA4" s="88" t="s">
        <v>59</v>
      </c>
      <c r="BB4" s="88" t="s">
        <v>60</v>
      </c>
      <c r="BC4" s="88" t="s">
        <v>61</v>
      </c>
      <c r="BD4" s="88" t="s">
        <v>62</v>
      </c>
      <c r="BE4" s="88" t="s">
        <v>63</v>
      </c>
      <c r="BF4" s="88" t="s">
        <v>64</v>
      </c>
      <c r="BG4" s="87" t="s">
        <v>65</v>
      </c>
      <c r="BH4" s="89" t="s">
        <v>66</v>
      </c>
      <c r="BI4" s="88" t="s">
        <v>67</v>
      </c>
      <c r="BJ4" s="88" t="s">
        <v>68</v>
      </c>
      <c r="BK4" s="88" t="s">
        <v>69</v>
      </c>
      <c r="BL4" s="88" t="s">
        <v>70</v>
      </c>
      <c r="BM4" s="88" t="s">
        <v>71</v>
      </c>
      <c r="BN4" s="88" t="s">
        <v>72</v>
      </c>
      <c r="BO4" s="88" t="s">
        <v>73</v>
      </c>
      <c r="BP4" s="88" t="s">
        <v>74</v>
      </c>
      <c r="BQ4" s="88" t="s">
        <v>75</v>
      </c>
      <c r="BR4" s="88" t="s">
        <v>76</v>
      </c>
      <c r="BS4" s="88" t="s">
        <v>63</v>
      </c>
      <c r="BT4" s="88" t="s">
        <v>77</v>
      </c>
      <c r="BU4" s="87" t="s">
        <v>78</v>
      </c>
      <c r="BV4" s="88" t="s">
        <v>79</v>
      </c>
      <c r="BW4" s="88" t="s">
        <v>80</v>
      </c>
      <c r="BX4" s="88" t="s">
        <v>81</v>
      </c>
      <c r="BY4" s="90" t="s">
        <v>82</v>
      </c>
      <c r="BZ4" s="88" t="s">
        <v>83</v>
      </c>
      <c r="CA4" s="90" t="s">
        <v>84</v>
      </c>
      <c r="CB4" s="88" t="s">
        <v>85</v>
      </c>
      <c r="CC4" s="88" t="s">
        <v>86</v>
      </c>
      <c r="CD4" s="88" t="s">
        <v>87</v>
      </c>
      <c r="CE4" s="88" t="s">
        <v>88</v>
      </c>
      <c r="CF4" s="89" t="s">
        <v>89</v>
      </c>
      <c r="CG4" s="88" t="s">
        <v>38</v>
      </c>
      <c r="CH4" s="88" t="s">
        <v>38</v>
      </c>
      <c r="CI4" s="88" t="s">
        <v>38</v>
      </c>
      <c r="CJ4" s="88" t="s">
        <v>38</v>
      </c>
      <c r="CK4" s="88" t="s">
        <v>38</v>
      </c>
      <c r="CL4" s="88" t="s">
        <v>38</v>
      </c>
      <c r="CM4" s="88" t="s">
        <v>38</v>
      </c>
      <c r="CN4" s="88" t="s">
        <v>38</v>
      </c>
      <c r="CO4" s="87" t="s">
        <v>90</v>
      </c>
      <c r="CP4" s="88" t="s">
        <v>91</v>
      </c>
      <c r="CQ4" s="88" t="s">
        <v>92</v>
      </c>
      <c r="CR4" s="88" t="s">
        <v>93</v>
      </c>
      <c r="CS4" s="88" t="s">
        <v>94</v>
      </c>
      <c r="CT4" s="88" t="s">
        <v>95</v>
      </c>
      <c r="CU4" s="88" t="s">
        <v>96</v>
      </c>
      <c r="CV4" s="89" t="s">
        <v>97</v>
      </c>
      <c r="CW4" s="87" t="s">
        <v>38</v>
      </c>
      <c r="CX4" s="88" t="s">
        <v>38</v>
      </c>
      <c r="CY4" s="88" t="s">
        <v>38</v>
      </c>
      <c r="CZ4" s="89" t="s">
        <v>38</v>
      </c>
      <c r="DA4" s="87" t="s">
        <v>98</v>
      </c>
      <c r="DB4" s="88" t="s">
        <v>99</v>
      </c>
      <c r="DC4" s="88" t="s">
        <v>100</v>
      </c>
      <c r="DD4" s="88" t="s">
        <v>101</v>
      </c>
      <c r="DE4" s="88" t="s">
        <v>102</v>
      </c>
      <c r="DF4" s="88" t="s">
        <v>103</v>
      </c>
      <c r="DG4" s="88" t="s">
        <v>104</v>
      </c>
      <c r="DH4" s="89" t="s">
        <v>105</v>
      </c>
      <c r="DI4" s="87" t="s">
        <v>106</v>
      </c>
      <c r="DJ4" s="88" t="s">
        <v>107</v>
      </c>
      <c r="DK4" s="88" t="s">
        <v>108</v>
      </c>
      <c r="DL4" s="88" t="s">
        <v>109</v>
      </c>
      <c r="DM4" s="88" t="s">
        <v>110</v>
      </c>
      <c r="DN4" s="88" t="s">
        <v>111</v>
      </c>
      <c r="DO4" s="88" t="s">
        <v>112</v>
      </c>
      <c r="DP4" s="88" t="s">
        <v>113</v>
      </c>
      <c r="DQ4" s="88" t="s">
        <v>114</v>
      </c>
      <c r="DR4" s="89" t="s">
        <v>115</v>
      </c>
      <c r="DS4" s="87" t="s">
        <v>116</v>
      </c>
      <c r="DT4" s="88" t="s">
        <v>117</v>
      </c>
      <c r="DU4" s="88" t="s">
        <v>118</v>
      </c>
      <c r="DV4" s="88" t="s">
        <v>119</v>
      </c>
      <c r="DW4" s="88" t="s">
        <v>120</v>
      </c>
      <c r="DX4" s="88" t="s">
        <v>121</v>
      </c>
      <c r="DY4" s="88" t="s">
        <v>122</v>
      </c>
      <c r="DZ4" s="88" t="s">
        <v>123</v>
      </c>
      <c r="EA4" s="88" t="s">
        <v>124</v>
      </c>
      <c r="EB4" s="88" t="s">
        <v>125</v>
      </c>
      <c r="EC4" s="88" t="s">
        <v>126</v>
      </c>
      <c r="ED4" s="88" t="s">
        <v>127</v>
      </c>
      <c r="EE4" s="88" t="s">
        <v>128</v>
      </c>
      <c r="EF4" s="88" t="s">
        <v>129</v>
      </c>
      <c r="EG4" s="88" t="s">
        <v>130</v>
      </c>
      <c r="EH4" s="88" t="s">
        <v>131</v>
      </c>
      <c r="EI4" s="88" t="s">
        <v>132</v>
      </c>
      <c r="EJ4" s="88" t="s">
        <v>133</v>
      </c>
      <c r="EK4" s="88" t="s">
        <v>134</v>
      </c>
      <c r="EL4" s="89" t="s">
        <v>135</v>
      </c>
    </row>
    <row r="5" spans="1:142" x14ac:dyDescent="0.2">
      <c r="A5" s="79">
        <v>0</v>
      </c>
      <c r="B5" s="27">
        <v>123673</v>
      </c>
      <c r="C5" s="79">
        <v>0</v>
      </c>
      <c r="D5" s="27">
        <v>0</v>
      </c>
      <c r="E5" s="27">
        <v>0</v>
      </c>
      <c r="F5" s="27">
        <v>0</v>
      </c>
      <c r="G5" s="79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80" t="s">
        <v>136</v>
      </c>
      <c r="P5" s="80">
        <v>0</v>
      </c>
      <c r="Q5" s="27">
        <v>0</v>
      </c>
      <c r="R5" s="27">
        <v>0</v>
      </c>
      <c r="S5" s="80" t="s">
        <v>136</v>
      </c>
      <c r="T5" s="80">
        <v>0</v>
      </c>
      <c r="U5" s="80" t="s">
        <v>136</v>
      </c>
      <c r="V5" s="80">
        <v>0</v>
      </c>
      <c r="W5" s="27">
        <v>0</v>
      </c>
      <c r="X5" s="27">
        <v>0</v>
      </c>
      <c r="Y5" s="27">
        <v>0</v>
      </c>
      <c r="Z5" s="27">
        <v>0</v>
      </c>
      <c r="AA5" s="80" t="s">
        <v>136</v>
      </c>
      <c r="AB5" s="80">
        <v>0</v>
      </c>
      <c r="AC5" s="27">
        <v>0</v>
      </c>
      <c r="AD5" s="27">
        <v>0</v>
      </c>
      <c r="AE5" s="80" t="s">
        <v>136</v>
      </c>
      <c r="AF5" s="80">
        <v>0</v>
      </c>
      <c r="AG5" s="80" t="s">
        <v>136</v>
      </c>
      <c r="AH5" s="80">
        <v>0</v>
      </c>
      <c r="AI5" s="27">
        <f t="shared" ref="AI5:AI36" si="0">AC5</f>
        <v>0</v>
      </c>
      <c r="AJ5" s="27">
        <f t="shared" ref="AJ5:AJ36" si="1">AD5</f>
        <v>0</v>
      </c>
      <c r="AK5" s="27">
        <v>0</v>
      </c>
      <c r="AL5" s="27">
        <v>1.1803E-5</v>
      </c>
      <c r="AM5" s="80" t="s">
        <v>136</v>
      </c>
      <c r="AN5" s="80">
        <v>0</v>
      </c>
      <c r="AO5" s="80" t="s">
        <v>136</v>
      </c>
      <c r="AP5" s="80">
        <v>0</v>
      </c>
      <c r="AQ5" s="80" t="s">
        <v>136</v>
      </c>
      <c r="AR5" s="80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  <c r="BA5" s="80">
        <v>0</v>
      </c>
      <c r="BB5" s="80">
        <v>0</v>
      </c>
      <c r="BC5" s="27">
        <v>0</v>
      </c>
      <c r="BD5" s="80">
        <v>0</v>
      </c>
      <c r="BE5" s="27">
        <v>0</v>
      </c>
      <c r="BF5" s="27">
        <v>7.4354593000000004E-6</v>
      </c>
      <c r="BG5" s="27">
        <v>0</v>
      </c>
      <c r="BH5" s="80">
        <v>0</v>
      </c>
      <c r="BI5" s="27">
        <v>0</v>
      </c>
      <c r="BJ5" s="27">
        <v>0</v>
      </c>
      <c r="BK5" s="27">
        <v>0</v>
      </c>
      <c r="BL5" s="27">
        <v>0</v>
      </c>
      <c r="BM5" s="27">
        <v>0</v>
      </c>
      <c r="BN5" s="27">
        <v>0</v>
      </c>
      <c r="BO5" s="27">
        <v>0</v>
      </c>
      <c r="BP5" s="27">
        <v>0</v>
      </c>
      <c r="BQ5" s="27">
        <v>0</v>
      </c>
      <c r="BR5" s="92">
        <v>0</v>
      </c>
      <c r="BS5" s="80" t="s">
        <v>136</v>
      </c>
      <c r="BT5" s="80">
        <v>0</v>
      </c>
      <c r="BU5" s="27">
        <v>0</v>
      </c>
      <c r="BV5" s="27">
        <v>0</v>
      </c>
      <c r="BW5" s="27">
        <v>0</v>
      </c>
      <c r="BX5" s="27">
        <v>0</v>
      </c>
      <c r="BY5" s="80" t="s">
        <v>136</v>
      </c>
      <c r="BZ5" s="80">
        <v>0</v>
      </c>
      <c r="CA5" s="80" t="s">
        <v>136</v>
      </c>
      <c r="CB5" s="80">
        <v>0</v>
      </c>
      <c r="CC5" s="27">
        <v>0</v>
      </c>
      <c r="CD5" s="27">
        <v>0</v>
      </c>
      <c r="CE5" s="27">
        <v>0</v>
      </c>
      <c r="CF5" s="27">
        <v>0</v>
      </c>
      <c r="CG5" s="80" t="s">
        <v>136</v>
      </c>
      <c r="CH5" s="80">
        <v>0</v>
      </c>
      <c r="CI5" s="80" t="s">
        <v>136</v>
      </c>
      <c r="CJ5" s="80">
        <v>0</v>
      </c>
      <c r="CK5" s="80" t="s">
        <v>136</v>
      </c>
      <c r="CL5" s="80">
        <v>0</v>
      </c>
      <c r="CM5" s="80" t="s">
        <v>136</v>
      </c>
      <c r="CN5" s="80">
        <v>0</v>
      </c>
      <c r="CO5" s="27">
        <v>0</v>
      </c>
      <c r="CP5" s="27">
        <v>0</v>
      </c>
      <c r="CQ5" s="27">
        <v>0</v>
      </c>
      <c r="CR5" s="27">
        <v>0</v>
      </c>
      <c r="CS5" s="27">
        <v>0</v>
      </c>
      <c r="CT5" s="27">
        <v>0</v>
      </c>
      <c r="CU5" s="27">
        <v>0</v>
      </c>
      <c r="CV5" s="27">
        <v>0</v>
      </c>
      <c r="CW5" s="93" t="s">
        <v>136</v>
      </c>
      <c r="CX5" s="80">
        <v>0</v>
      </c>
      <c r="CY5" s="80" t="s">
        <v>136</v>
      </c>
      <c r="CZ5" s="94">
        <v>0</v>
      </c>
      <c r="DA5" s="27">
        <v>0</v>
      </c>
      <c r="DB5" s="27">
        <v>0</v>
      </c>
      <c r="DC5" s="27">
        <v>0</v>
      </c>
      <c r="DD5" s="27">
        <v>0</v>
      </c>
      <c r="DE5" s="27">
        <v>0</v>
      </c>
      <c r="DF5" s="27">
        <v>0</v>
      </c>
      <c r="DG5" s="27">
        <v>0</v>
      </c>
      <c r="DH5" s="27">
        <v>7.4354593000000004E-6</v>
      </c>
      <c r="DI5" s="95">
        <v>0</v>
      </c>
      <c r="DJ5" s="96">
        <v>0</v>
      </c>
      <c r="DK5" s="96">
        <v>0</v>
      </c>
      <c r="DL5" s="96">
        <v>0</v>
      </c>
      <c r="DM5" s="96">
        <v>0</v>
      </c>
      <c r="DN5" s="96">
        <v>0</v>
      </c>
      <c r="DO5" s="96">
        <v>0</v>
      </c>
      <c r="DP5" s="96">
        <v>0</v>
      </c>
      <c r="DQ5" s="96">
        <v>0</v>
      </c>
      <c r="DR5" s="97">
        <v>0</v>
      </c>
      <c r="DS5" s="93">
        <v>0</v>
      </c>
      <c r="DT5" s="80">
        <v>0</v>
      </c>
      <c r="DU5" s="80">
        <v>0</v>
      </c>
      <c r="DV5" s="80">
        <v>0</v>
      </c>
      <c r="DW5" s="80">
        <v>0</v>
      </c>
      <c r="DX5" s="80">
        <v>0</v>
      </c>
      <c r="DY5" s="80">
        <v>0</v>
      </c>
      <c r="DZ5" s="80">
        <v>0</v>
      </c>
      <c r="EA5" s="80">
        <v>0</v>
      </c>
      <c r="EB5" s="80">
        <v>0</v>
      </c>
      <c r="EC5" s="80">
        <v>0</v>
      </c>
      <c r="ED5" s="80">
        <v>0</v>
      </c>
      <c r="EE5" s="80">
        <v>0</v>
      </c>
      <c r="EF5" s="80">
        <v>0</v>
      </c>
      <c r="EG5" s="80">
        <v>0</v>
      </c>
      <c r="EH5" s="80">
        <v>0</v>
      </c>
      <c r="EI5" s="80">
        <v>0</v>
      </c>
      <c r="EJ5" s="80">
        <v>0</v>
      </c>
      <c r="EK5" s="80">
        <v>0</v>
      </c>
      <c r="EL5" s="94">
        <v>0</v>
      </c>
    </row>
    <row r="6" spans="1:142" x14ac:dyDescent="0.2">
      <c r="A6" s="79">
        <v>100</v>
      </c>
      <c r="B6" s="27">
        <v>27668</v>
      </c>
      <c r="C6" s="79">
        <v>88.34473998</v>
      </c>
      <c r="D6" s="27">
        <v>44.565396358000001</v>
      </c>
      <c r="E6" s="27">
        <v>1.15022492E-2</v>
      </c>
      <c r="F6" s="27">
        <v>2.0330319999999999E-4</v>
      </c>
      <c r="G6" s="79">
        <v>6.6439500000000002E-4</v>
      </c>
      <c r="H6" s="27">
        <v>7.3905627999999998E-6</v>
      </c>
      <c r="I6" s="27">
        <v>0.84335522380000005</v>
      </c>
      <c r="J6" s="27">
        <v>1.08437603E-2</v>
      </c>
      <c r="K6" s="27">
        <v>0.30179869520000002</v>
      </c>
      <c r="L6" s="27">
        <v>3.8290592000000002E-3</v>
      </c>
      <c r="M6" s="27">
        <v>4.5680909700000001E-2</v>
      </c>
      <c r="N6" s="27">
        <v>6.9036830000000001E-4</v>
      </c>
      <c r="O6" s="80" t="s">
        <v>136</v>
      </c>
      <c r="P6" s="80">
        <v>0</v>
      </c>
      <c r="Q6" s="27">
        <v>3.5424953999999998E-3</v>
      </c>
      <c r="R6" s="27">
        <v>7.7059999999999997E-5</v>
      </c>
      <c r="S6" s="80" t="s">
        <v>136</v>
      </c>
      <c r="T6" s="80">
        <v>0</v>
      </c>
      <c r="U6" s="80" t="s">
        <v>136</v>
      </c>
      <c r="V6" s="80">
        <v>0</v>
      </c>
      <c r="W6" s="27">
        <v>0</v>
      </c>
      <c r="X6" s="27">
        <v>0</v>
      </c>
      <c r="Y6" s="27">
        <v>7.8422192299999999E-2</v>
      </c>
      <c r="Z6" s="27">
        <v>2.6201929999999998E-3</v>
      </c>
      <c r="AA6" s="80" t="s">
        <v>136</v>
      </c>
      <c r="AB6" s="80">
        <v>0</v>
      </c>
      <c r="AC6" s="27">
        <v>0</v>
      </c>
      <c r="AD6" s="27">
        <v>0</v>
      </c>
      <c r="AE6" s="80" t="s">
        <v>136</v>
      </c>
      <c r="AF6" s="80">
        <v>0</v>
      </c>
      <c r="AG6" s="80" t="s">
        <v>136</v>
      </c>
      <c r="AH6" s="80">
        <v>0</v>
      </c>
      <c r="AI6" s="27">
        <f t="shared" si="0"/>
        <v>0</v>
      </c>
      <c r="AJ6" s="27">
        <f t="shared" si="1"/>
        <v>0</v>
      </c>
      <c r="AK6" s="27">
        <v>1.2317847109</v>
      </c>
      <c r="AL6" s="27">
        <v>2.86677405E-2</v>
      </c>
      <c r="AM6" s="80" t="s">
        <v>136</v>
      </c>
      <c r="AN6" s="80">
        <v>0</v>
      </c>
      <c r="AO6" s="80" t="s">
        <v>136</v>
      </c>
      <c r="AP6" s="80">
        <v>0</v>
      </c>
      <c r="AQ6" s="80" t="s">
        <v>136</v>
      </c>
      <c r="AR6" s="80">
        <v>0</v>
      </c>
      <c r="AS6" s="27">
        <v>0.29131615960000001</v>
      </c>
      <c r="AT6" s="27">
        <v>1.8897853900000001E-2</v>
      </c>
      <c r="AU6" s="27">
        <v>0.1076971751</v>
      </c>
      <c r="AV6" s="27">
        <v>2.8086866000000001E-3</v>
      </c>
      <c r="AW6" s="27">
        <v>7.4894345000000001E-2</v>
      </c>
      <c r="AX6" s="27">
        <v>2.1864293999999999E-3</v>
      </c>
      <c r="AY6" s="27">
        <v>4.3716494999999998E-3</v>
      </c>
      <c r="AZ6" s="27">
        <v>8.6900100000000005E-5</v>
      </c>
      <c r="BA6" s="80">
        <f t="shared" ref="BA6:BA37" si="2">AU6-(AW6+AY6)</f>
        <v>2.8431180599999994E-2</v>
      </c>
      <c r="BB6" s="80">
        <f t="shared" ref="BB6:BB37" si="3">AV6-(AX6+AZ6)</f>
        <v>5.3535710000000023E-4</v>
      </c>
      <c r="BC6" s="27">
        <v>0</v>
      </c>
      <c r="BD6" s="80">
        <v>0</v>
      </c>
      <c r="BE6" s="27">
        <v>1.6235619145</v>
      </c>
      <c r="BF6" s="27">
        <v>6.02287798E-2</v>
      </c>
      <c r="BG6" s="27">
        <v>1.47811E-5</v>
      </c>
      <c r="BH6" s="80">
        <v>0</v>
      </c>
      <c r="BI6" s="27">
        <v>3.4644078227000001</v>
      </c>
      <c r="BJ6" s="27">
        <v>0.24925965550000001</v>
      </c>
      <c r="BK6" s="27">
        <v>0.1979711274</v>
      </c>
      <c r="BL6" s="27">
        <v>4.3406271999999997E-3</v>
      </c>
      <c r="BM6" s="27">
        <v>5.5321799400000003E-2</v>
      </c>
      <c r="BN6" s="27">
        <v>1.3650755000000001E-3</v>
      </c>
      <c r="BO6" s="27">
        <v>0</v>
      </c>
      <c r="BP6" s="27">
        <v>0</v>
      </c>
      <c r="BQ6" s="27">
        <v>0</v>
      </c>
      <c r="BR6" s="92">
        <v>0</v>
      </c>
      <c r="BS6" s="80" t="s">
        <v>136</v>
      </c>
      <c r="BT6" s="80">
        <v>0</v>
      </c>
      <c r="BU6" s="27">
        <v>1.1512872E-3</v>
      </c>
      <c r="BV6" s="27">
        <v>2.6327500000000002E-5</v>
      </c>
      <c r="BW6" s="27">
        <v>4.4529622599999999E-2</v>
      </c>
      <c r="BX6" s="27">
        <v>6.6404069999999999E-4</v>
      </c>
      <c r="BY6" s="80" t="s">
        <v>136</v>
      </c>
      <c r="BZ6" s="80">
        <v>0</v>
      </c>
      <c r="CA6" s="80" t="s">
        <v>136</v>
      </c>
      <c r="CB6" s="80">
        <v>0</v>
      </c>
      <c r="CC6" s="27">
        <v>3.1804080000000001E-4</v>
      </c>
      <c r="CD6" s="27">
        <v>3.6956999999999999E-5</v>
      </c>
      <c r="CE6" s="27">
        <v>3.2244546000000001E-3</v>
      </c>
      <c r="CF6" s="27">
        <v>4.0102999999999999E-5</v>
      </c>
      <c r="CG6" s="80" t="s">
        <v>136</v>
      </c>
      <c r="CH6" s="80">
        <v>0</v>
      </c>
      <c r="CI6" s="80" t="s">
        <v>136</v>
      </c>
      <c r="CJ6" s="80">
        <v>0</v>
      </c>
      <c r="CK6" s="80" t="s">
        <v>136</v>
      </c>
      <c r="CL6" s="80">
        <v>0</v>
      </c>
      <c r="CM6" s="80" t="s">
        <v>136</v>
      </c>
      <c r="CN6" s="80">
        <v>0</v>
      </c>
      <c r="CO6" s="27">
        <v>0</v>
      </c>
      <c r="CP6" s="27">
        <v>0</v>
      </c>
      <c r="CQ6" s="27">
        <v>0</v>
      </c>
      <c r="CR6" s="27">
        <v>0</v>
      </c>
      <c r="CS6" s="27">
        <v>0</v>
      </c>
      <c r="CT6" s="27">
        <v>0</v>
      </c>
      <c r="CU6" s="27">
        <v>7.8422192299999999E-2</v>
      </c>
      <c r="CV6" s="27">
        <v>2.6201929999999998E-3</v>
      </c>
      <c r="CW6" s="93" t="s">
        <v>136</v>
      </c>
      <c r="CX6" s="80">
        <v>0</v>
      </c>
      <c r="CY6" s="80" t="s">
        <v>136</v>
      </c>
      <c r="CZ6" s="94">
        <v>0</v>
      </c>
      <c r="DA6" s="27">
        <v>9.9096614299999997E-2</v>
      </c>
      <c r="DB6" s="27">
        <v>4.9836389999999998E-3</v>
      </c>
      <c r="DC6" s="27">
        <v>0.19221954529999999</v>
      </c>
      <c r="DD6" s="27">
        <v>1.3914214899999999E-2</v>
      </c>
      <c r="DE6" s="27">
        <v>5.3205788599999998E-2</v>
      </c>
      <c r="DF6" s="27">
        <v>1.0670584E-2</v>
      </c>
      <c r="DG6" s="27">
        <v>1.5703561259000001</v>
      </c>
      <c r="DH6" s="27">
        <v>4.9558195800000003E-2</v>
      </c>
      <c r="DI6" s="95">
        <v>7.3905627999999998E-6</v>
      </c>
      <c r="DJ6" s="96">
        <v>1.47811E-5</v>
      </c>
      <c r="DK6" s="96">
        <v>1.47811E-5</v>
      </c>
      <c r="DL6" s="96">
        <v>1.47811E-5</v>
      </c>
      <c r="DM6" s="96">
        <v>1.47811E-5</v>
      </c>
      <c r="DN6" s="96">
        <v>1.47811E-5</v>
      </c>
      <c r="DO6" s="96">
        <v>1.47811E-5</v>
      </c>
      <c r="DP6" s="96">
        <v>1.47811E-5</v>
      </c>
      <c r="DQ6" s="96">
        <v>1.47811E-5</v>
      </c>
      <c r="DR6" s="97">
        <v>1.47811E-5</v>
      </c>
      <c r="DS6" s="93">
        <v>6.0390970999999998E-3</v>
      </c>
      <c r="DT6" s="80">
        <v>4.209269E-4</v>
      </c>
      <c r="DU6" s="80">
        <v>1.7470681000000001E-3</v>
      </c>
      <c r="DV6" s="80">
        <v>1.2618030000000001E-4</v>
      </c>
      <c r="DW6" s="80">
        <v>5.5458869999999998E-4</v>
      </c>
      <c r="DX6" s="80">
        <v>3.5283300000000001E-5</v>
      </c>
      <c r="DY6" s="80">
        <v>0</v>
      </c>
      <c r="DZ6" s="80">
        <v>0</v>
      </c>
      <c r="EA6" s="80">
        <v>0</v>
      </c>
      <c r="EB6" s="80">
        <v>0</v>
      </c>
      <c r="EC6" s="80">
        <v>0</v>
      </c>
      <c r="ED6" s="80">
        <v>0</v>
      </c>
      <c r="EE6" s="80">
        <v>0</v>
      </c>
      <c r="EF6" s="80">
        <v>0</v>
      </c>
      <c r="EG6" s="80">
        <v>0</v>
      </c>
      <c r="EH6" s="80">
        <v>0</v>
      </c>
      <c r="EI6" s="80">
        <v>0</v>
      </c>
      <c r="EJ6" s="80">
        <v>0</v>
      </c>
      <c r="EK6" s="80">
        <v>0</v>
      </c>
      <c r="EL6" s="94">
        <v>0</v>
      </c>
    </row>
    <row r="7" spans="1:142" x14ac:dyDescent="0.2">
      <c r="A7" s="79">
        <v>200</v>
      </c>
      <c r="B7" s="27">
        <v>39598</v>
      </c>
      <c r="C7" s="79">
        <v>174.10863330999999</v>
      </c>
      <c r="D7" s="27">
        <v>151.2473181</v>
      </c>
      <c r="E7" s="27">
        <v>0.10241572660000001</v>
      </c>
      <c r="F7" s="27">
        <v>7.9888639999999998E-4</v>
      </c>
      <c r="G7" s="79">
        <v>4.464836E-4</v>
      </c>
      <c r="H7" s="27">
        <v>4.9665711999999997E-6</v>
      </c>
      <c r="I7" s="27">
        <v>11.736687562</v>
      </c>
      <c r="J7" s="27">
        <v>9.7685692300000002E-2</v>
      </c>
      <c r="K7" s="27">
        <v>3.6236542638999998</v>
      </c>
      <c r="L7" s="27">
        <v>2.9955556000000001E-2</v>
      </c>
      <c r="M7" s="27">
        <v>0.41393487670000001</v>
      </c>
      <c r="N7" s="27">
        <v>4.0025377999999999E-3</v>
      </c>
      <c r="O7" s="80" t="s">
        <v>136</v>
      </c>
      <c r="P7" s="80">
        <v>0</v>
      </c>
      <c r="Q7" s="27">
        <v>2.25612052E-2</v>
      </c>
      <c r="R7" s="27">
        <v>2.5075290000000001E-4</v>
      </c>
      <c r="S7" s="80" t="s">
        <v>136</v>
      </c>
      <c r="T7" s="80">
        <v>0</v>
      </c>
      <c r="U7" s="80" t="s">
        <v>136</v>
      </c>
      <c r="V7" s="80">
        <v>0</v>
      </c>
      <c r="W7" s="27">
        <v>0</v>
      </c>
      <c r="X7" s="27">
        <v>0</v>
      </c>
      <c r="Y7" s="27">
        <v>0.40214460089999998</v>
      </c>
      <c r="Z7" s="27">
        <v>1.1447352799999999E-2</v>
      </c>
      <c r="AA7" s="80" t="s">
        <v>136</v>
      </c>
      <c r="AB7" s="80">
        <v>0</v>
      </c>
      <c r="AC7" s="27">
        <v>0</v>
      </c>
      <c r="AD7" s="27">
        <v>0</v>
      </c>
      <c r="AE7" s="80" t="s">
        <v>136</v>
      </c>
      <c r="AF7" s="80">
        <v>0</v>
      </c>
      <c r="AG7" s="80" t="s">
        <v>136</v>
      </c>
      <c r="AH7" s="80">
        <v>0</v>
      </c>
      <c r="AI7" s="27">
        <f t="shared" si="0"/>
        <v>0</v>
      </c>
      <c r="AJ7" s="27">
        <f t="shared" si="1"/>
        <v>0</v>
      </c>
      <c r="AK7" s="27">
        <v>4.7735268738999999</v>
      </c>
      <c r="AL7" s="27">
        <v>8.3619108100000006E-2</v>
      </c>
      <c r="AM7" s="80" t="s">
        <v>136</v>
      </c>
      <c r="AN7" s="80">
        <v>0</v>
      </c>
      <c r="AO7" s="80" t="s">
        <v>136</v>
      </c>
      <c r="AP7" s="80">
        <v>0</v>
      </c>
      <c r="AQ7" s="80" t="s">
        <v>136</v>
      </c>
      <c r="AR7" s="80">
        <v>0</v>
      </c>
      <c r="AS7" s="27">
        <v>1.3109592224</v>
      </c>
      <c r="AT7" s="27">
        <v>7.8498053400000004E-2</v>
      </c>
      <c r="AU7" s="27">
        <v>0.51998602400000005</v>
      </c>
      <c r="AV7" s="27">
        <v>1.07209464E-2</v>
      </c>
      <c r="AW7" s="27">
        <v>0.31258708740000002</v>
      </c>
      <c r="AX7" s="27">
        <v>7.3381284999999999E-3</v>
      </c>
      <c r="AY7" s="27">
        <v>0.10593005699999999</v>
      </c>
      <c r="AZ7" s="27">
        <v>1.8113095E-3</v>
      </c>
      <c r="BA7" s="80">
        <f t="shared" si="2"/>
        <v>0.10146887960000006</v>
      </c>
      <c r="BB7" s="80">
        <f t="shared" si="3"/>
        <v>1.5715084000000011E-3</v>
      </c>
      <c r="BC7" s="27">
        <v>0</v>
      </c>
      <c r="BD7" s="80">
        <v>0</v>
      </c>
      <c r="BE7" s="27">
        <v>6.7570239132000003</v>
      </c>
      <c r="BF7" s="27">
        <v>0.1369809883</v>
      </c>
      <c r="BG7" s="27">
        <v>9.9331422999999995E-6</v>
      </c>
      <c r="BH7" s="80">
        <v>0</v>
      </c>
      <c r="BI7" s="27">
        <v>6.9406355630999998</v>
      </c>
      <c r="BJ7" s="27">
        <v>0.42149289960000003</v>
      </c>
      <c r="BK7" s="27">
        <v>1.1232774852</v>
      </c>
      <c r="BL7" s="27">
        <v>1.3338796999999999E-2</v>
      </c>
      <c r="BM7" s="27">
        <v>0.26251523850000003</v>
      </c>
      <c r="BN7" s="27">
        <v>3.4453086E-3</v>
      </c>
      <c r="BO7" s="27">
        <v>2.1662999999999999E-4</v>
      </c>
      <c r="BP7" s="27">
        <v>5.7211537999999997E-6</v>
      </c>
      <c r="BQ7" s="27">
        <v>0</v>
      </c>
      <c r="BR7" s="92">
        <v>0</v>
      </c>
      <c r="BS7" s="80" t="s">
        <v>136</v>
      </c>
      <c r="BT7" s="80">
        <v>0</v>
      </c>
      <c r="BU7" s="27">
        <v>1.3484170300000001E-2</v>
      </c>
      <c r="BV7" s="27">
        <v>2.3877910000000001E-4</v>
      </c>
      <c r="BW7" s="27">
        <v>0.40045070640000002</v>
      </c>
      <c r="BX7" s="27">
        <v>3.7637586000000001E-3</v>
      </c>
      <c r="BY7" s="80" t="s">
        <v>136</v>
      </c>
      <c r="BZ7" s="80">
        <v>0</v>
      </c>
      <c r="CA7" s="80" t="s">
        <v>136</v>
      </c>
      <c r="CB7" s="80">
        <v>0</v>
      </c>
      <c r="CC7" s="27">
        <v>2.583021E-4</v>
      </c>
      <c r="CD7" s="27">
        <v>4.6954399999999999E-5</v>
      </c>
      <c r="CE7" s="27">
        <v>2.23029031E-2</v>
      </c>
      <c r="CF7" s="27">
        <v>2.037985E-4</v>
      </c>
      <c r="CG7" s="80" t="s">
        <v>136</v>
      </c>
      <c r="CH7" s="80">
        <v>0</v>
      </c>
      <c r="CI7" s="80" t="s">
        <v>136</v>
      </c>
      <c r="CJ7" s="80">
        <v>0</v>
      </c>
      <c r="CK7" s="80" t="s">
        <v>136</v>
      </c>
      <c r="CL7" s="80">
        <v>0</v>
      </c>
      <c r="CM7" s="80" t="s">
        <v>136</v>
      </c>
      <c r="CN7" s="80">
        <v>0</v>
      </c>
      <c r="CO7" s="27">
        <v>0</v>
      </c>
      <c r="CP7" s="27">
        <v>0</v>
      </c>
      <c r="CQ7" s="27">
        <v>0</v>
      </c>
      <c r="CR7" s="27">
        <v>0</v>
      </c>
      <c r="CS7" s="27">
        <v>3.6116095000000002E-3</v>
      </c>
      <c r="CT7" s="27">
        <v>2.9574549999999999E-4</v>
      </c>
      <c r="CU7" s="27">
        <v>0.39853299149999999</v>
      </c>
      <c r="CV7" s="27">
        <v>1.11516073E-2</v>
      </c>
      <c r="CW7" s="93" t="s">
        <v>136</v>
      </c>
      <c r="CX7" s="80">
        <v>0</v>
      </c>
      <c r="CY7" s="80" t="s">
        <v>136</v>
      </c>
      <c r="CZ7" s="94">
        <v>0</v>
      </c>
      <c r="DA7" s="27">
        <v>0.33414827339999997</v>
      </c>
      <c r="DB7" s="27">
        <v>1.4776457200000001E-2</v>
      </c>
      <c r="DC7" s="27">
        <v>0.97681094899999998</v>
      </c>
      <c r="DD7" s="27">
        <v>6.3721596199999994E-2</v>
      </c>
      <c r="DE7" s="27">
        <v>0.1778940889</v>
      </c>
      <c r="DF7" s="27">
        <v>2.5620161400000001E-2</v>
      </c>
      <c r="DG7" s="27">
        <v>6.5791298242999998</v>
      </c>
      <c r="DH7" s="27">
        <v>0.1113608269</v>
      </c>
      <c r="DI7" s="95">
        <v>4.9665711999999997E-6</v>
      </c>
      <c r="DJ7" s="96">
        <v>9.9331422999999995E-6</v>
      </c>
      <c r="DK7" s="96">
        <v>9.9331422999999995E-6</v>
      </c>
      <c r="DL7" s="96">
        <v>9.9331422999999995E-6</v>
      </c>
      <c r="DM7" s="96">
        <v>9.9331422999999995E-6</v>
      </c>
      <c r="DN7" s="96">
        <v>9.9331422999999995E-6</v>
      </c>
      <c r="DO7" s="96">
        <v>9.9331422999999995E-6</v>
      </c>
      <c r="DP7" s="96">
        <v>9.9331422999999995E-6</v>
      </c>
      <c r="DQ7" s="96">
        <v>9.9331422999999995E-6</v>
      </c>
      <c r="DR7" s="97">
        <v>9.9331422999999995E-6</v>
      </c>
      <c r="DS7" s="93">
        <v>0.1304067253</v>
      </c>
      <c r="DT7" s="80">
        <v>2.1555670000000002E-3</v>
      </c>
      <c r="DU7" s="80">
        <v>6.5415552000000002E-3</v>
      </c>
      <c r="DV7" s="80">
        <v>3.2425759999999998E-4</v>
      </c>
      <c r="DW7" s="80">
        <v>1.6516472999999999E-3</v>
      </c>
      <c r="DX7" s="80">
        <v>8.91661E-5</v>
      </c>
      <c r="DY7" s="80">
        <v>4.2978000000000001E-5</v>
      </c>
      <c r="DZ7" s="80">
        <v>5.8908639999999996E-6</v>
      </c>
      <c r="EA7" s="80">
        <v>0</v>
      </c>
      <c r="EB7" s="80">
        <v>0</v>
      </c>
      <c r="EC7" s="80">
        <v>0</v>
      </c>
      <c r="ED7" s="80">
        <v>0</v>
      </c>
      <c r="EE7" s="80">
        <v>0</v>
      </c>
      <c r="EF7" s="80">
        <v>0</v>
      </c>
      <c r="EG7" s="80">
        <v>0</v>
      </c>
      <c r="EH7" s="80">
        <v>0</v>
      </c>
      <c r="EI7" s="80">
        <v>0</v>
      </c>
      <c r="EJ7" s="80">
        <v>0</v>
      </c>
      <c r="EK7" s="80">
        <v>0</v>
      </c>
      <c r="EL7" s="94">
        <v>0</v>
      </c>
    </row>
    <row r="8" spans="1:142" x14ac:dyDescent="0.2">
      <c r="A8" s="79">
        <v>300</v>
      </c>
      <c r="B8" s="27">
        <v>39283</v>
      </c>
      <c r="C8" s="79">
        <v>256.78194993</v>
      </c>
      <c r="D8" s="27">
        <v>249.25362744</v>
      </c>
      <c r="E8" s="27">
        <v>0.4850301521</v>
      </c>
      <c r="F8" s="27">
        <v>2.3811650000000002E-3</v>
      </c>
      <c r="G8" s="79">
        <v>1.6187998E-3</v>
      </c>
      <c r="H8" s="27">
        <v>1.08813E-5</v>
      </c>
      <c r="I8" s="27">
        <v>23.405984171</v>
      </c>
      <c r="J8" s="27">
        <v>0.1750770324</v>
      </c>
      <c r="K8" s="27">
        <v>7.7477515368000001</v>
      </c>
      <c r="L8" s="27">
        <v>5.5972899399999998E-2</v>
      </c>
      <c r="M8" s="27">
        <v>0.85343504820000005</v>
      </c>
      <c r="N8" s="27">
        <v>7.7045474000000001E-3</v>
      </c>
      <c r="O8" s="80" t="s">
        <v>136</v>
      </c>
      <c r="P8" s="80">
        <v>0</v>
      </c>
      <c r="Q8" s="27">
        <v>4.0006183700000003E-2</v>
      </c>
      <c r="R8" s="27">
        <v>4.0240250000000001E-4</v>
      </c>
      <c r="S8" s="80" t="s">
        <v>136</v>
      </c>
      <c r="T8" s="80">
        <v>0</v>
      </c>
      <c r="U8" s="80" t="s">
        <v>136</v>
      </c>
      <c r="V8" s="80">
        <v>0</v>
      </c>
      <c r="W8" s="27">
        <v>0</v>
      </c>
      <c r="X8" s="27">
        <v>0</v>
      </c>
      <c r="Y8" s="27">
        <v>0.89759651760000003</v>
      </c>
      <c r="Z8" s="27">
        <v>2.3621550099999999E-2</v>
      </c>
      <c r="AA8" s="80" t="s">
        <v>136</v>
      </c>
      <c r="AB8" s="80">
        <v>0</v>
      </c>
      <c r="AC8" s="27">
        <v>0</v>
      </c>
      <c r="AD8" s="27">
        <v>0</v>
      </c>
      <c r="AE8" s="80" t="s">
        <v>136</v>
      </c>
      <c r="AF8" s="80">
        <v>0</v>
      </c>
      <c r="AG8" s="80" t="s">
        <v>136</v>
      </c>
      <c r="AH8" s="80">
        <v>0</v>
      </c>
      <c r="AI8" s="27">
        <f t="shared" si="0"/>
        <v>0</v>
      </c>
      <c r="AJ8" s="27">
        <f t="shared" si="1"/>
        <v>0</v>
      </c>
      <c r="AK8" s="27">
        <v>9.0469069830999995</v>
      </c>
      <c r="AL8" s="27">
        <v>0.16090222139999999</v>
      </c>
      <c r="AM8" s="80" t="s">
        <v>136</v>
      </c>
      <c r="AN8" s="80">
        <v>0</v>
      </c>
      <c r="AO8" s="80" t="s">
        <v>136</v>
      </c>
      <c r="AP8" s="80">
        <v>0</v>
      </c>
      <c r="AQ8" s="80" t="s">
        <v>136</v>
      </c>
      <c r="AR8" s="80">
        <v>0</v>
      </c>
      <c r="AS8" s="27">
        <v>2.9577699868999998</v>
      </c>
      <c r="AT8" s="27">
        <v>0.17001857000000001</v>
      </c>
      <c r="AU8" s="27">
        <v>1.4314745260999999</v>
      </c>
      <c r="AV8" s="27">
        <v>2.55506528E-2</v>
      </c>
      <c r="AW8" s="27">
        <v>0.78684334960000002</v>
      </c>
      <c r="AX8" s="27">
        <v>1.6468126499999999E-2</v>
      </c>
      <c r="AY8" s="27">
        <v>0.33832065179999998</v>
      </c>
      <c r="AZ8" s="27">
        <v>5.1891906999999996E-3</v>
      </c>
      <c r="BA8" s="80">
        <f t="shared" si="2"/>
        <v>0.30631052469999998</v>
      </c>
      <c r="BB8" s="80">
        <f t="shared" si="3"/>
        <v>3.8933356000000023E-3</v>
      </c>
      <c r="BC8" s="27">
        <v>0</v>
      </c>
      <c r="BD8" s="80">
        <v>0</v>
      </c>
      <c r="BE8" s="27">
        <v>12.821773819000001</v>
      </c>
      <c r="BF8" s="27">
        <v>0.2340712502</v>
      </c>
      <c r="BG8" s="27">
        <v>1.80399E-5</v>
      </c>
      <c r="BH8" s="80">
        <v>0</v>
      </c>
      <c r="BI8" s="27">
        <v>10.773602443</v>
      </c>
      <c r="BJ8" s="27">
        <v>0.59017983919999994</v>
      </c>
      <c r="BK8" s="27">
        <v>2.4879302356999999</v>
      </c>
      <c r="BL8" s="27">
        <v>2.46690255E-2</v>
      </c>
      <c r="BM8" s="27">
        <v>0.57579353200000005</v>
      </c>
      <c r="BN8" s="27">
        <v>6.0142245E-3</v>
      </c>
      <c r="BO8" s="27">
        <v>1.4892683999999999E-3</v>
      </c>
      <c r="BP8" s="27">
        <v>9.1418913999999998E-6</v>
      </c>
      <c r="BQ8" s="27">
        <v>0</v>
      </c>
      <c r="BR8" s="92">
        <v>0</v>
      </c>
      <c r="BS8" s="80" t="s">
        <v>136</v>
      </c>
      <c r="BT8" s="80">
        <v>0</v>
      </c>
      <c r="BU8" s="27">
        <v>2.2415918600000001E-2</v>
      </c>
      <c r="BV8" s="27">
        <v>3.6530619999999999E-4</v>
      </c>
      <c r="BW8" s="27">
        <v>0.83101912960000002</v>
      </c>
      <c r="BX8" s="27">
        <v>7.3392411000000003E-3</v>
      </c>
      <c r="BY8" s="80" t="s">
        <v>136</v>
      </c>
      <c r="BZ8" s="80">
        <v>0</v>
      </c>
      <c r="CA8" s="80" t="s">
        <v>136</v>
      </c>
      <c r="CB8" s="80">
        <v>0</v>
      </c>
      <c r="CC8" s="27">
        <v>2.1727739999999999E-4</v>
      </c>
      <c r="CD8" s="27">
        <v>5.4523E-5</v>
      </c>
      <c r="CE8" s="27">
        <v>3.9788906300000003E-2</v>
      </c>
      <c r="CF8" s="27">
        <v>3.478795E-4</v>
      </c>
      <c r="CG8" s="80" t="s">
        <v>136</v>
      </c>
      <c r="CH8" s="80">
        <v>0</v>
      </c>
      <c r="CI8" s="80" t="s">
        <v>136</v>
      </c>
      <c r="CJ8" s="80">
        <v>0</v>
      </c>
      <c r="CK8" s="80" t="s">
        <v>136</v>
      </c>
      <c r="CL8" s="80">
        <v>0</v>
      </c>
      <c r="CM8" s="80" t="s">
        <v>136</v>
      </c>
      <c r="CN8" s="80">
        <v>0</v>
      </c>
      <c r="CO8" s="27">
        <v>0</v>
      </c>
      <c r="CP8" s="27">
        <v>0</v>
      </c>
      <c r="CQ8" s="27">
        <v>0</v>
      </c>
      <c r="CR8" s="27">
        <v>0</v>
      </c>
      <c r="CS8" s="27">
        <v>6.3055091000000004E-3</v>
      </c>
      <c r="CT8" s="27">
        <v>3.1970460000000002E-4</v>
      </c>
      <c r="CU8" s="27">
        <v>0.89129100849999998</v>
      </c>
      <c r="CV8" s="27">
        <v>2.3301845500000001E-2</v>
      </c>
      <c r="CW8" s="93" t="s">
        <v>136</v>
      </c>
      <c r="CX8" s="80">
        <v>0</v>
      </c>
      <c r="CY8" s="80" t="s">
        <v>136</v>
      </c>
      <c r="CZ8" s="94">
        <v>0</v>
      </c>
      <c r="DA8" s="27">
        <v>0.77009990230000003</v>
      </c>
      <c r="DB8" s="27">
        <v>3.1004665899999999E-2</v>
      </c>
      <c r="DC8" s="27">
        <v>2.1876700846000001</v>
      </c>
      <c r="DD8" s="27">
        <v>0.13901390420000001</v>
      </c>
      <c r="DE8" s="27">
        <v>0.4190112218</v>
      </c>
      <c r="DF8" s="27">
        <v>5.1873626399999997E-2</v>
      </c>
      <c r="DG8" s="27">
        <v>12.402762598000001</v>
      </c>
      <c r="DH8" s="27">
        <v>0.18219762370000001</v>
      </c>
      <c r="DI8" s="95">
        <v>1.08813E-5</v>
      </c>
      <c r="DJ8" s="96">
        <v>1.80399E-5</v>
      </c>
      <c r="DK8" s="96">
        <v>1.80399E-5</v>
      </c>
      <c r="DL8" s="96">
        <v>1.80399E-5</v>
      </c>
      <c r="DM8" s="96">
        <v>1.80399E-5</v>
      </c>
      <c r="DN8" s="96">
        <v>1.80399E-5</v>
      </c>
      <c r="DO8" s="96">
        <v>1.80399E-5</v>
      </c>
      <c r="DP8" s="96">
        <v>1.80399E-5</v>
      </c>
      <c r="DQ8" s="96">
        <v>1.80399E-5</v>
      </c>
      <c r="DR8" s="97">
        <v>1.80399E-5</v>
      </c>
      <c r="DS8" s="93">
        <v>1.689696826</v>
      </c>
      <c r="DT8" s="80">
        <v>1.6629221699999999E-2</v>
      </c>
      <c r="DU8" s="80">
        <v>4.1654711099999998E-2</v>
      </c>
      <c r="DV8" s="80">
        <v>8.2820259999999998E-4</v>
      </c>
      <c r="DW8" s="80">
        <v>3.6377414E-3</v>
      </c>
      <c r="DX8" s="80">
        <v>1.658307E-4</v>
      </c>
      <c r="DY8" s="80">
        <v>1.1147354000000001E-3</v>
      </c>
      <c r="DZ8" s="80">
        <v>5.5249099999999999E-5</v>
      </c>
      <c r="EA8" s="80">
        <v>6.1163760000000004E-4</v>
      </c>
      <c r="EB8" s="80">
        <v>2.8747799999999999E-5</v>
      </c>
      <c r="EC8" s="80">
        <v>3.3523500000000003E-4</v>
      </c>
      <c r="ED8" s="80">
        <v>1.45834E-5</v>
      </c>
      <c r="EE8" s="80">
        <v>1.6761750000000001E-4</v>
      </c>
      <c r="EF8" s="80">
        <v>7.2917122000000002E-6</v>
      </c>
      <c r="EG8" s="80">
        <v>0</v>
      </c>
      <c r="EH8" s="80">
        <v>0</v>
      </c>
      <c r="EI8" s="80">
        <v>0</v>
      </c>
      <c r="EJ8" s="80">
        <v>0</v>
      </c>
      <c r="EK8" s="80">
        <v>0</v>
      </c>
      <c r="EL8" s="94">
        <v>0</v>
      </c>
    </row>
    <row r="9" spans="1:142" x14ac:dyDescent="0.2">
      <c r="A9" s="79">
        <v>400</v>
      </c>
      <c r="B9" s="27">
        <v>36628</v>
      </c>
      <c r="C9" s="79">
        <v>336.77803693999999</v>
      </c>
      <c r="D9" s="27">
        <v>349.86338820999998</v>
      </c>
      <c r="E9" s="27">
        <v>1.3099722851</v>
      </c>
      <c r="F9" s="27">
        <v>4.9553638000000002E-3</v>
      </c>
      <c r="G9" s="79">
        <v>1.3211717999999999E-3</v>
      </c>
      <c r="H9" s="27">
        <v>8.7259823999999997E-6</v>
      </c>
      <c r="I9" s="27">
        <v>34.574000906999999</v>
      </c>
      <c r="J9" s="27">
        <v>0.24715430269999999</v>
      </c>
      <c r="K9" s="27">
        <v>11.670086097</v>
      </c>
      <c r="L9" s="27">
        <v>8.0606681700000002E-2</v>
      </c>
      <c r="M9" s="27">
        <v>1.3880067495999999</v>
      </c>
      <c r="N9" s="27">
        <v>1.2236570699999999E-2</v>
      </c>
      <c r="O9" s="80" t="s">
        <v>136</v>
      </c>
      <c r="P9" s="80">
        <v>0</v>
      </c>
      <c r="Q9" s="27">
        <v>6.1125845700000001E-2</v>
      </c>
      <c r="R9" s="27">
        <v>5.6143380000000002E-4</v>
      </c>
      <c r="S9" s="80" t="s">
        <v>136</v>
      </c>
      <c r="T9" s="80">
        <v>0</v>
      </c>
      <c r="U9" s="80" t="s">
        <v>136</v>
      </c>
      <c r="V9" s="80">
        <v>0</v>
      </c>
      <c r="W9" s="27">
        <v>6.5060469999999996E-4</v>
      </c>
      <c r="X9" s="27">
        <v>6.8082487000000004E-6</v>
      </c>
      <c r="Y9" s="27">
        <v>1.5969995252</v>
      </c>
      <c r="Z9" s="27">
        <v>4.1045287499999999E-2</v>
      </c>
      <c r="AA9" s="80" t="s">
        <v>136</v>
      </c>
      <c r="AB9" s="80">
        <v>0</v>
      </c>
      <c r="AC9" s="27">
        <v>0</v>
      </c>
      <c r="AD9" s="27">
        <v>0</v>
      </c>
      <c r="AE9" s="80" t="s">
        <v>136</v>
      </c>
      <c r="AF9" s="80">
        <v>0</v>
      </c>
      <c r="AG9" s="80" t="s">
        <v>136</v>
      </c>
      <c r="AH9" s="80">
        <v>0</v>
      </c>
      <c r="AI9" s="27">
        <f t="shared" si="0"/>
        <v>0</v>
      </c>
      <c r="AJ9" s="27">
        <f t="shared" si="1"/>
        <v>0</v>
      </c>
      <c r="AK9" s="27">
        <v>13.75054076</v>
      </c>
      <c r="AL9" s="27">
        <v>0.2452899949</v>
      </c>
      <c r="AM9" s="80" t="s">
        <v>136</v>
      </c>
      <c r="AN9" s="80">
        <v>0</v>
      </c>
      <c r="AO9" s="80" t="s">
        <v>136</v>
      </c>
      <c r="AP9" s="80">
        <v>0</v>
      </c>
      <c r="AQ9" s="80" t="s">
        <v>136</v>
      </c>
      <c r="AR9" s="80">
        <v>0</v>
      </c>
      <c r="AS9" s="27">
        <v>5.1638033779999999</v>
      </c>
      <c r="AT9" s="27">
        <v>0.27677601940000002</v>
      </c>
      <c r="AU9" s="27">
        <v>2.589349409</v>
      </c>
      <c r="AV9" s="27">
        <v>4.1743603900000002E-2</v>
      </c>
      <c r="AW9" s="27">
        <v>1.3447753011000001</v>
      </c>
      <c r="AX9" s="27">
        <v>2.6189581100000001E-2</v>
      </c>
      <c r="AY9" s="27">
        <v>0.59997057060000003</v>
      </c>
      <c r="AZ9" s="27">
        <v>8.6707638E-3</v>
      </c>
      <c r="BA9" s="80">
        <f t="shared" si="2"/>
        <v>0.64460353729999986</v>
      </c>
      <c r="BB9" s="80">
        <f t="shared" si="3"/>
        <v>6.8832590000000027E-3</v>
      </c>
      <c r="BC9" s="27">
        <v>0</v>
      </c>
      <c r="BD9" s="80">
        <v>0</v>
      </c>
      <c r="BE9" s="27">
        <v>18.560818119</v>
      </c>
      <c r="BF9" s="27">
        <v>0.32985093799999998</v>
      </c>
      <c r="BG9" s="27">
        <v>1.42147E-5</v>
      </c>
      <c r="BH9" s="80">
        <v>0</v>
      </c>
      <c r="BI9" s="27">
        <v>14.718823384</v>
      </c>
      <c r="BJ9" s="27">
        <v>0.75424089679999995</v>
      </c>
      <c r="BK9" s="27">
        <v>4.2116077214000001</v>
      </c>
      <c r="BL9" s="27">
        <v>3.8179995500000001E-2</v>
      </c>
      <c r="BM9" s="27">
        <v>0.92838767580000003</v>
      </c>
      <c r="BN9" s="27">
        <v>8.6254659000000004E-3</v>
      </c>
      <c r="BO9" s="27">
        <v>3.8845538000000001E-3</v>
      </c>
      <c r="BP9" s="27">
        <v>4.7661999999999999E-5</v>
      </c>
      <c r="BQ9" s="27">
        <v>0</v>
      </c>
      <c r="BR9" s="92">
        <v>0</v>
      </c>
      <c r="BS9" s="80" t="s">
        <v>136</v>
      </c>
      <c r="BT9" s="80">
        <v>0</v>
      </c>
      <c r="BU9" s="27">
        <v>3.3459665700000002E-2</v>
      </c>
      <c r="BV9" s="27">
        <v>5.4994509999999996E-4</v>
      </c>
      <c r="BW9" s="27">
        <v>1.3545470839</v>
      </c>
      <c r="BX9" s="27">
        <v>1.1686625500000001E-2</v>
      </c>
      <c r="BY9" s="80" t="s">
        <v>136</v>
      </c>
      <c r="BZ9" s="80">
        <v>0</v>
      </c>
      <c r="CA9" s="80" t="s">
        <v>136</v>
      </c>
      <c r="CB9" s="80">
        <v>0</v>
      </c>
      <c r="CC9" s="27">
        <v>1.1095600000000001E-3</v>
      </c>
      <c r="CD9" s="27">
        <v>6.0600999999999998E-5</v>
      </c>
      <c r="CE9" s="27">
        <v>6.0016285699999998E-2</v>
      </c>
      <c r="CF9" s="27">
        <v>5.0083280000000005E-4</v>
      </c>
      <c r="CG9" s="80" t="s">
        <v>136</v>
      </c>
      <c r="CH9" s="80">
        <v>0</v>
      </c>
      <c r="CI9" s="80" t="s">
        <v>136</v>
      </c>
      <c r="CJ9" s="80">
        <v>0</v>
      </c>
      <c r="CK9" s="80" t="s">
        <v>136</v>
      </c>
      <c r="CL9" s="80">
        <v>0</v>
      </c>
      <c r="CM9" s="80" t="s">
        <v>136</v>
      </c>
      <c r="CN9" s="80">
        <v>0</v>
      </c>
      <c r="CO9" s="27">
        <v>0</v>
      </c>
      <c r="CP9" s="27">
        <v>0</v>
      </c>
      <c r="CQ9" s="27">
        <v>6.5060469999999996E-4</v>
      </c>
      <c r="CR9" s="27">
        <v>6.8082487000000004E-6</v>
      </c>
      <c r="CS9" s="27">
        <v>1.9314502599999998E-2</v>
      </c>
      <c r="CT9" s="27">
        <v>5.8292580000000004E-4</v>
      </c>
      <c r="CU9" s="27">
        <v>1.5776850226000001</v>
      </c>
      <c r="CV9" s="27">
        <v>4.0462361600000003E-2</v>
      </c>
      <c r="CW9" s="93" t="s">
        <v>136</v>
      </c>
      <c r="CX9" s="80">
        <v>0</v>
      </c>
      <c r="CY9" s="80" t="s">
        <v>136</v>
      </c>
      <c r="CZ9" s="94">
        <v>0</v>
      </c>
      <c r="DA9" s="27">
        <v>1.4733069445</v>
      </c>
      <c r="DB9" s="27">
        <v>5.4692555699999999E-2</v>
      </c>
      <c r="DC9" s="27">
        <v>3.6904964334999999</v>
      </c>
      <c r="DD9" s="27">
        <v>0.22208346370000001</v>
      </c>
      <c r="DE9" s="27">
        <v>0.72102203860000003</v>
      </c>
      <c r="DF9" s="27">
        <v>8.2731874900000002E-2</v>
      </c>
      <c r="DG9" s="27">
        <v>17.839796080999999</v>
      </c>
      <c r="DH9" s="27">
        <v>0.24711906310000001</v>
      </c>
      <c r="DI9" s="95">
        <v>8.7259823999999997E-6</v>
      </c>
      <c r="DJ9" s="96">
        <v>1.42147E-5</v>
      </c>
      <c r="DK9" s="96">
        <v>1.42147E-5</v>
      </c>
      <c r="DL9" s="96">
        <v>1.42147E-5</v>
      </c>
      <c r="DM9" s="96">
        <v>1.42147E-5</v>
      </c>
      <c r="DN9" s="96">
        <v>1.42147E-5</v>
      </c>
      <c r="DO9" s="96">
        <v>1.42147E-5</v>
      </c>
      <c r="DP9" s="96">
        <v>1.42147E-5</v>
      </c>
      <c r="DQ9" s="96">
        <v>1.42147E-5</v>
      </c>
      <c r="DR9" s="97">
        <v>1.42147E-5</v>
      </c>
      <c r="DS9" s="93">
        <v>4.6045662543999999</v>
      </c>
      <c r="DT9" s="80">
        <v>3.9685313999999999E-2</v>
      </c>
      <c r="DU9" s="80">
        <v>0.3189118554</v>
      </c>
      <c r="DV9" s="80">
        <v>3.5596069000000002E-3</v>
      </c>
      <c r="DW9" s="80">
        <v>1.39952654E-2</v>
      </c>
      <c r="DX9" s="80">
        <v>2.9887920000000001E-4</v>
      </c>
      <c r="DY9" s="80">
        <v>1.6853370999999999E-3</v>
      </c>
      <c r="DZ9" s="80">
        <v>6.7636099999999994E-5</v>
      </c>
      <c r="EA9" s="80">
        <v>9.0738389999999998E-4</v>
      </c>
      <c r="EB9" s="80">
        <v>3.4521399999999998E-5</v>
      </c>
      <c r="EC9" s="80">
        <v>5.0532159999999997E-4</v>
      </c>
      <c r="ED9" s="80">
        <v>1.7340400000000001E-5</v>
      </c>
      <c r="EE9" s="80">
        <v>2.5266079999999998E-4</v>
      </c>
      <c r="EF9" s="80">
        <v>8.6702053000000006E-6</v>
      </c>
      <c r="EG9" s="80">
        <v>0</v>
      </c>
      <c r="EH9" s="80">
        <v>0</v>
      </c>
      <c r="EI9" s="80">
        <v>0</v>
      </c>
      <c r="EJ9" s="80">
        <v>0</v>
      </c>
      <c r="EK9" s="80">
        <v>0</v>
      </c>
      <c r="EL9" s="94">
        <v>0</v>
      </c>
    </row>
    <row r="10" spans="1:142" x14ac:dyDescent="0.2">
      <c r="A10" s="79">
        <v>500</v>
      </c>
      <c r="B10" s="27">
        <v>35197</v>
      </c>
      <c r="C10" s="79">
        <v>414.28497464999998</v>
      </c>
      <c r="D10" s="27">
        <v>449.62819292</v>
      </c>
      <c r="E10" s="27">
        <v>2.5623527444</v>
      </c>
      <c r="F10" s="27">
        <v>8.2178032000000002E-3</v>
      </c>
      <c r="G10" s="79">
        <v>1.1167709000000001E-3</v>
      </c>
      <c r="H10" s="27">
        <v>7.2838607E-6</v>
      </c>
      <c r="I10" s="27">
        <v>45.220890246000003</v>
      </c>
      <c r="J10" s="27">
        <v>0.31371713039999999</v>
      </c>
      <c r="K10" s="27">
        <v>15.470448403000001</v>
      </c>
      <c r="L10" s="27">
        <v>0.1035407143</v>
      </c>
      <c r="M10" s="27">
        <v>1.9995653327</v>
      </c>
      <c r="N10" s="27">
        <v>1.7373604500000001E-2</v>
      </c>
      <c r="O10" s="80" t="s">
        <v>136</v>
      </c>
      <c r="P10" s="80">
        <v>0</v>
      </c>
      <c r="Q10" s="27">
        <v>8.6190008100000007E-2</v>
      </c>
      <c r="R10" s="27">
        <v>6.9796110000000001E-4</v>
      </c>
      <c r="S10" s="80" t="s">
        <v>136</v>
      </c>
      <c r="T10" s="80">
        <v>0</v>
      </c>
      <c r="U10" s="80" t="s">
        <v>136</v>
      </c>
      <c r="V10" s="80">
        <v>0</v>
      </c>
      <c r="W10" s="27">
        <v>2.0003042000000001E-3</v>
      </c>
      <c r="X10" s="27">
        <v>1.7552000000000001E-5</v>
      </c>
      <c r="Y10" s="27">
        <v>2.2793565123000001</v>
      </c>
      <c r="Z10" s="27">
        <v>5.77170366E-2</v>
      </c>
      <c r="AA10" s="80" t="s">
        <v>136</v>
      </c>
      <c r="AB10" s="80">
        <v>0</v>
      </c>
      <c r="AC10" s="27">
        <v>0</v>
      </c>
      <c r="AD10" s="27">
        <v>0</v>
      </c>
      <c r="AE10" s="80" t="s">
        <v>136</v>
      </c>
      <c r="AF10" s="80">
        <v>0</v>
      </c>
      <c r="AG10" s="80" t="s">
        <v>136</v>
      </c>
      <c r="AH10" s="80">
        <v>0</v>
      </c>
      <c r="AI10" s="27">
        <f t="shared" si="0"/>
        <v>0</v>
      </c>
      <c r="AJ10" s="27">
        <f t="shared" si="1"/>
        <v>0</v>
      </c>
      <c r="AK10" s="27">
        <v>18.832946882000002</v>
      </c>
      <c r="AL10" s="27">
        <v>0.33324546640000002</v>
      </c>
      <c r="AM10" s="80" t="s">
        <v>136</v>
      </c>
      <c r="AN10" s="80">
        <v>0</v>
      </c>
      <c r="AO10" s="80" t="s">
        <v>136</v>
      </c>
      <c r="AP10" s="80">
        <v>0</v>
      </c>
      <c r="AQ10" s="80" t="s">
        <v>136</v>
      </c>
      <c r="AR10" s="80">
        <v>0</v>
      </c>
      <c r="AS10" s="27">
        <v>7.6258863437000004</v>
      </c>
      <c r="AT10" s="27">
        <v>0.3875428957</v>
      </c>
      <c r="AU10" s="27">
        <v>3.8525863219000001</v>
      </c>
      <c r="AV10" s="27">
        <v>5.7914768700000001E-2</v>
      </c>
      <c r="AW10" s="27">
        <v>1.9445367251000001</v>
      </c>
      <c r="AX10" s="27">
        <v>3.5882810299999998E-2</v>
      </c>
      <c r="AY10" s="27">
        <v>0.85052705200000001</v>
      </c>
      <c r="AZ10" s="27">
        <v>1.19294712E-2</v>
      </c>
      <c r="BA10" s="80">
        <f t="shared" si="2"/>
        <v>1.0575225447999999</v>
      </c>
      <c r="BB10" s="80">
        <f t="shared" si="3"/>
        <v>1.0102487200000003E-2</v>
      </c>
      <c r="BC10" s="27">
        <v>0</v>
      </c>
      <c r="BD10" s="80">
        <v>0</v>
      </c>
      <c r="BE10" s="27">
        <v>24.227314084</v>
      </c>
      <c r="BF10" s="27">
        <v>0.42459050790000002</v>
      </c>
      <c r="BG10" s="27">
        <v>1.1712800000000001E-5</v>
      </c>
      <c r="BH10" s="80">
        <v>0</v>
      </c>
      <c r="BI10" s="27">
        <v>19.017012238</v>
      </c>
      <c r="BJ10" s="27">
        <v>0.924751514</v>
      </c>
      <c r="BK10" s="27">
        <v>6.3182008429999996</v>
      </c>
      <c r="BL10" s="27">
        <v>5.4003881400000002E-2</v>
      </c>
      <c r="BM10" s="27">
        <v>1.3467646986999999</v>
      </c>
      <c r="BN10" s="27">
        <v>1.13950062E-2</v>
      </c>
      <c r="BO10" s="27">
        <v>6.1815530999999998E-3</v>
      </c>
      <c r="BP10" s="27">
        <v>6.9957799999999996E-5</v>
      </c>
      <c r="BQ10" s="27">
        <v>0</v>
      </c>
      <c r="BR10" s="92">
        <v>0</v>
      </c>
      <c r="BS10" s="80" t="s">
        <v>136</v>
      </c>
      <c r="BT10" s="80">
        <v>0</v>
      </c>
      <c r="BU10" s="27">
        <v>5.0739627299999999E-2</v>
      </c>
      <c r="BV10" s="27">
        <v>7.609963E-4</v>
      </c>
      <c r="BW10" s="27">
        <v>1.9488257054</v>
      </c>
      <c r="BX10" s="27">
        <v>1.66126082E-2</v>
      </c>
      <c r="BY10" s="80" t="s">
        <v>136</v>
      </c>
      <c r="BZ10" s="80">
        <v>0</v>
      </c>
      <c r="CA10" s="80" t="s">
        <v>136</v>
      </c>
      <c r="CB10" s="80">
        <v>0</v>
      </c>
      <c r="CC10" s="27">
        <v>2.3732292000000002E-3</v>
      </c>
      <c r="CD10" s="27">
        <v>6.9972E-5</v>
      </c>
      <c r="CE10" s="27">
        <v>8.3816778999999994E-2</v>
      </c>
      <c r="CF10" s="27">
        <v>6.2798919999999998E-4</v>
      </c>
      <c r="CG10" s="80" t="s">
        <v>136</v>
      </c>
      <c r="CH10" s="80">
        <v>0</v>
      </c>
      <c r="CI10" s="80" t="s">
        <v>136</v>
      </c>
      <c r="CJ10" s="80">
        <v>0</v>
      </c>
      <c r="CK10" s="80" t="s">
        <v>136</v>
      </c>
      <c r="CL10" s="80">
        <v>0</v>
      </c>
      <c r="CM10" s="80" t="s">
        <v>136</v>
      </c>
      <c r="CN10" s="80">
        <v>0</v>
      </c>
      <c r="CO10" s="27">
        <v>0</v>
      </c>
      <c r="CP10" s="27">
        <v>0</v>
      </c>
      <c r="CQ10" s="27">
        <v>2.0003042000000001E-3</v>
      </c>
      <c r="CR10" s="27">
        <v>1.7552000000000001E-5</v>
      </c>
      <c r="CS10" s="27">
        <v>3.4668043000000003E-2</v>
      </c>
      <c r="CT10" s="27">
        <v>7.8464180000000004E-4</v>
      </c>
      <c r="CU10" s="27">
        <v>2.2446884694000002</v>
      </c>
      <c r="CV10" s="27">
        <v>5.6932394800000001E-2</v>
      </c>
      <c r="CW10" s="93" t="s">
        <v>136</v>
      </c>
      <c r="CX10" s="80">
        <v>0</v>
      </c>
      <c r="CY10" s="80" t="s">
        <v>136</v>
      </c>
      <c r="CZ10" s="94">
        <v>0</v>
      </c>
      <c r="DA10" s="27">
        <v>2.3425933002999999</v>
      </c>
      <c r="DB10" s="27">
        <v>8.1846325299999995E-2</v>
      </c>
      <c r="DC10" s="27">
        <v>5.2832930433999996</v>
      </c>
      <c r="DD10" s="27">
        <v>0.30569657039999998</v>
      </c>
      <c r="DE10" s="27">
        <v>0.98225409379999995</v>
      </c>
      <c r="DF10" s="27">
        <v>0.1149724723</v>
      </c>
      <c r="DG10" s="27">
        <v>23.245059990000001</v>
      </c>
      <c r="DH10" s="27">
        <v>0.30961803570000002</v>
      </c>
      <c r="DI10" s="95">
        <v>7.2838607E-6</v>
      </c>
      <c r="DJ10" s="96">
        <v>1.1712800000000001E-5</v>
      </c>
      <c r="DK10" s="96">
        <v>1.1712800000000001E-5</v>
      </c>
      <c r="DL10" s="96">
        <v>1.1712800000000001E-5</v>
      </c>
      <c r="DM10" s="96">
        <v>1.1712800000000001E-5</v>
      </c>
      <c r="DN10" s="96">
        <v>1.1712800000000001E-5</v>
      </c>
      <c r="DO10" s="96">
        <v>1.1712800000000001E-5</v>
      </c>
      <c r="DP10" s="96">
        <v>1.1712800000000001E-5</v>
      </c>
      <c r="DQ10" s="96">
        <v>1.1712800000000001E-5</v>
      </c>
      <c r="DR10" s="97">
        <v>1.1712800000000001E-5</v>
      </c>
      <c r="DS10" s="93">
        <v>8.2338354789999997</v>
      </c>
      <c r="DT10" s="80">
        <v>6.6750735699999994E-2</v>
      </c>
      <c r="DU10" s="80">
        <v>0.999930765</v>
      </c>
      <c r="DV10" s="80">
        <v>9.4575970999999995E-3</v>
      </c>
      <c r="DW10" s="80">
        <v>7.7619113000000003E-2</v>
      </c>
      <c r="DX10" s="80">
        <v>9.3356829999999996E-4</v>
      </c>
      <c r="DY10" s="80">
        <v>4.2648722999999999E-3</v>
      </c>
      <c r="DZ10" s="80">
        <v>9.7024899999999993E-5</v>
      </c>
      <c r="EA10" s="80">
        <v>8.758269E-4</v>
      </c>
      <c r="EB10" s="80">
        <v>3.3618899999999998E-5</v>
      </c>
      <c r="EC10" s="80">
        <v>4.4851370000000002E-4</v>
      </c>
      <c r="ED10" s="80">
        <v>1.5365700000000001E-5</v>
      </c>
      <c r="EE10" s="80">
        <v>2.242569E-4</v>
      </c>
      <c r="EF10" s="80">
        <v>7.6828359000000006E-6</v>
      </c>
      <c r="EG10" s="80">
        <v>0</v>
      </c>
      <c r="EH10" s="80">
        <v>0</v>
      </c>
      <c r="EI10" s="80">
        <v>0</v>
      </c>
      <c r="EJ10" s="80">
        <v>0</v>
      </c>
      <c r="EK10" s="80">
        <v>0</v>
      </c>
      <c r="EL10" s="94">
        <v>0</v>
      </c>
    </row>
    <row r="11" spans="1:142" x14ac:dyDescent="0.2">
      <c r="A11" s="79">
        <v>600</v>
      </c>
      <c r="B11" s="27">
        <v>33525</v>
      </c>
      <c r="C11" s="79">
        <v>489.28559079000001</v>
      </c>
      <c r="D11" s="27">
        <v>549.62643854999999</v>
      </c>
      <c r="E11" s="27">
        <v>3.9788060698000001</v>
      </c>
      <c r="F11" s="27">
        <v>1.14264364E-2</v>
      </c>
      <c r="G11" s="79">
        <v>2.710395E-3</v>
      </c>
      <c r="H11" s="27">
        <v>9.8990833999999997E-6</v>
      </c>
      <c r="I11" s="27">
        <v>55.038667130999997</v>
      </c>
      <c r="J11" s="27">
        <v>0.37457583249999998</v>
      </c>
      <c r="K11" s="27">
        <v>19.186101413999999</v>
      </c>
      <c r="L11" s="27">
        <v>0.1258689231</v>
      </c>
      <c r="M11" s="27">
        <v>2.6074242745</v>
      </c>
      <c r="N11" s="27">
        <v>2.2550077599999999E-2</v>
      </c>
      <c r="O11" s="80" t="s">
        <v>136</v>
      </c>
      <c r="P11" s="80">
        <v>0</v>
      </c>
      <c r="Q11" s="27">
        <v>0.1335211889</v>
      </c>
      <c r="R11" s="27">
        <v>9.4546370000000003E-4</v>
      </c>
      <c r="S11" s="80" t="s">
        <v>136</v>
      </c>
      <c r="T11" s="80">
        <v>0</v>
      </c>
      <c r="U11" s="80" t="s">
        <v>136</v>
      </c>
      <c r="V11" s="80">
        <v>0</v>
      </c>
      <c r="W11" s="27">
        <v>4.0797085000000002E-3</v>
      </c>
      <c r="X11" s="27">
        <v>3.1974200000000003E-5</v>
      </c>
      <c r="Y11" s="27">
        <v>3.0301316292</v>
      </c>
      <c r="Z11" s="27">
        <v>7.6199147100000003E-2</v>
      </c>
      <c r="AA11" s="80" t="s">
        <v>136</v>
      </c>
      <c r="AB11" s="80">
        <v>0</v>
      </c>
      <c r="AC11" s="27">
        <v>0</v>
      </c>
      <c r="AD11" s="27">
        <v>0</v>
      </c>
      <c r="AE11" s="80" t="s">
        <v>136</v>
      </c>
      <c r="AF11" s="80">
        <v>0</v>
      </c>
      <c r="AG11" s="80" t="s">
        <v>136</v>
      </c>
      <c r="AH11" s="80">
        <v>0</v>
      </c>
      <c r="AI11" s="27">
        <f t="shared" si="0"/>
        <v>0</v>
      </c>
      <c r="AJ11" s="27">
        <f t="shared" si="1"/>
        <v>0</v>
      </c>
      <c r="AK11" s="27">
        <v>24.265952745</v>
      </c>
      <c r="AL11" s="27">
        <v>0.4229963303</v>
      </c>
      <c r="AM11" s="80" t="s">
        <v>136</v>
      </c>
      <c r="AN11" s="80">
        <v>0</v>
      </c>
      <c r="AO11" s="80" t="s">
        <v>136</v>
      </c>
      <c r="AP11" s="80">
        <v>0</v>
      </c>
      <c r="AQ11" s="80" t="s">
        <v>136</v>
      </c>
      <c r="AR11" s="80">
        <v>0</v>
      </c>
      <c r="AS11" s="27">
        <v>10.246679847999999</v>
      </c>
      <c r="AT11" s="27">
        <v>0.49901789099999999</v>
      </c>
      <c r="AU11" s="27">
        <v>5.2929249749</v>
      </c>
      <c r="AV11" s="27">
        <v>7.5480049800000004E-2</v>
      </c>
      <c r="AW11" s="27">
        <v>2.5874423615</v>
      </c>
      <c r="AX11" s="27">
        <v>4.6174205699999998E-2</v>
      </c>
      <c r="AY11" s="27">
        <v>1.1194723803</v>
      </c>
      <c r="AZ11" s="27">
        <v>1.50576375E-2</v>
      </c>
      <c r="BA11" s="80">
        <f t="shared" si="2"/>
        <v>1.5860102331000001</v>
      </c>
      <c r="BB11" s="80">
        <f t="shared" si="3"/>
        <v>1.4248206600000007E-2</v>
      </c>
      <c r="BC11" s="27">
        <v>0</v>
      </c>
      <c r="BD11" s="80">
        <v>0</v>
      </c>
      <c r="BE11" s="27">
        <v>29.797377214000001</v>
      </c>
      <c r="BF11" s="27">
        <v>0.52029068700000003</v>
      </c>
      <c r="BG11" s="27">
        <v>1.72536E-5</v>
      </c>
      <c r="BH11" s="80">
        <v>0</v>
      </c>
      <c r="BI11" s="27">
        <v>23.308736619000001</v>
      </c>
      <c r="BJ11" s="27">
        <v>1.0906327415999999</v>
      </c>
      <c r="BK11" s="27">
        <v>8.7531515989000006</v>
      </c>
      <c r="BL11" s="27">
        <v>7.1685149099999998E-2</v>
      </c>
      <c r="BM11" s="27">
        <v>1.8078737428</v>
      </c>
      <c r="BN11" s="27">
        <v>1.43607309E-2</v>
      </c>
      <c r="BO11" s="27">
        <v>8.2761728999999999E-3</v>
      </c>
      <c r="BP11" s="27">
        <v>1.088358E-4</v>
      </c>
      <c r="BQ11" s="27">
        <v>0</v>
      </c>
      <c r="BR11" s="92">
        <v>0</v>
      </c>
      <c r="BS11" s="80" t="s">
        <v>136</v>
      </c>
      <c r="BT11" s="80">
        <v>0</v>
      </c>
      <c r="BU11" s="27">
        <v>6.9728874199999999E-2</v>
      </c>
      <c r="BV11" s="27">
        <v>1.0891233999999999E-3</v>
      </c>
      <c r="BW11" s="27">
        <v>2.5376954003000001</v>
      </c>
      <c r="BX11" s="27">
        <v>2.1460954300000001E-2</v>
      </c>
      <c r="BY11" s="80" t="s">
        <v>136</v>
      </c>
      <c r="BZ11" s="80">
        <v>0</v>
      </c>
      <c r="CA11" s="80" t="s">
        <v>136</v>
      </c>
      <c r="CB11" s="80">
        <v>0</v>
      </c>
      <c r="CC11" s="27">
        <v>3.9507860000000004E-3</v>
      </c>
      <c r="CD11" s="27">
        <v>7.6293700000000004E-5</v>
      </c>
      <c r="CE11" s="27">
        <v>0.12957040289999999</v>
      </c>
      <c r="CF11" s="27">
        <v>8.6916999999999995E-4</v>
      </c>
      <c r="CG11" s="80" t="s">
        <v>136</v>
      </c>
      <c r="CH11" s="80">
        <v>0</v>
      </c>
      <c r="CI11" s="80" t="s">
        <v>136</v>
      </c>
      <c r="CJ11" s="80">
        <v>0</v>
      </c>
      <c r="CK11" s="80" t="s">
        <v>136</v>
      </c>
      <c r="CL11" s="80">
        <v>0</v>
      </c>
      <c r="CM11" s="80" t="s">
        <v>136</v>
      </c>
      <c r="CN11" s="80">
        <v>0</v>
      </c>
      <c r="CO11" s="27">
        <v>9.2594550000000002E-4</v>
      </c>
      <c r="CP11" s="27">
        <v>4.3876239E-6</v>
      </c>
      <c r="CQ11" s="27">
        <v>3.153763E-3</v>
      </c>
      <c r="CR11" s="27">
        <v>2.7586500000000001E-5</v>
      </c>
      <c r="CS11" s="27">
        <v>7.5605485900000005E-2</v>
      </c>
      <c r="CT11" s="27">
        <v>1.3644642E-3</v>
      </c>
      <c r="CU11" s="27">
        <v>2.9545261432999999</v>
      </c>
      <c r="CV11" s="27">
        <v>7.4834682900000005E-2</v>
      </c>
      <c r="CW11" s="93" t="s">
        <v>136</v>
      </c>
      <c r="CX11" s="80">
        <v>0</v>
      </c>
      <c r="CY11" s="80" t="s">
        <v>136</v>
      </c>
      <c r="CZ11" s="94">
        <v>0</v>
      </c>
      <c r="DA11" s="27">
        <v>3.3191473994999998</v>
      </c>
      <c r="DB11" s="27">
        <v>0.1115486287</v>
      </c>
      <c r="DC11" s="27">
        <v>6.9275324489000001</v>
      </c>
      <c r="DD11" s="27">
        <v>0.38746926230000001</v>
      </c>
      <c r="DE11" s="27">
        <v>1.2922138756999999</v>
      </c>
      <c r="DF11" s="27">
        <v>0.15055738190000001</v>
      </c>
      <c r="DG11" s="27">
        <v>28.505163337999999</v>
      </c>
      <c r="DH11" s="27">
        <v>0.36973330510000002</v>
      </c>
      <c r="DI11" s="95">
        <v>9.8990833999999997E-6</v>
      </c>
      <c r="DJ11" s="96">
        <v>1.72536E-5</v>
      </c>
      <c r="DK11" s="96">
        <v>1.72536E-5</v>
      </c>
      <c r="DL11" s="96">
        <v>1.72536E-5</v>
      </c>
      <c r="DM11" s="96">
        <v>1.72536E-5</v>
      </c>
      <c r="DN11" s="96">
        <v>1.72536E-5</v>
      </c>
      <c r="DO11" s="96">
        <v>1.72536E-5</v>
      </c>
      <c r="DP11" s="96">
        <v>1.72536E-5</v>
      </c>
      <c r="DQ11" s="96">
        <v>1.72536E-5</v>
      </c>
      <c r="DR11" s="97">
        <v>1.72536E-5</v>
      </c>
      <c r="DS11" s="93">
        <v>12.236348412</v>
      </c>
      <c r="DT11" s="80">
        <v>9.5365454399999994E-2</v>
      </c>
      <c r="DU11" s="80">
        <v>2.0758309977999998</v>
      </c>
      <c r="DV11" s="80">
        <v>1.8273338699999999E-2</v>
      </c>
      <c r="DW11" s="80">
        <v>0.25325370660000002</v>
      </c>
      <c r="DX11" s="80">
        <v>2.6310049E-3</v>
      </c>
      <c r="DY11" s="80">
        <v>2.1998227499999998E-2</v>
      </c>
      <c r="DZ11" s="80">
        <v>3.3760929999999999E-4</v>
      </c>
      <c r="EA11" s="80">
        <v>2.8633654999999998E-3</v>
      </c>
      <c r="EB11" s="80">
        <v>9.9654499999999999E-5</v>
      </c>
      <c r="EC11" s="80">
        <v>1.5566063E-3</v>
      </c>
      <c r="ED11" s="80">
        <v>6.1597299999999994E-5</v>
      </c>
      <c r="EE11" s="80">
        <v>1.1443374E-3</v>
      </c>
      <c r="EF11" s="80">
        <v>4.5945500000000003E-5</v>
      </c>
      <c r="EG11" s="80">
        <v>7.3206849999999995E-4</v>
      </c>
      <c r="EH11" s="80">
        <v>3.0293600000000001E-5</v>
      </c>
      <c r="EI11" s="80">
        <v>5.2270099999999998E-4</v>
      </c>
      <c r="EJ11" s="80">
        <v>2.1582599999999999E-5</v>
      </c>
      <c r="EK11" s="80">
        <v>3.6902719999999998E-4</v>
      </c>
      <c r="EL11" s="94">
        <v>1.54161E-5</v>
      </c>
    </row>
    <row r="12" spans="1:142" x14ac:dyDescent="0.2">
      <c r="A12" s="79">
        <v>700</v>
      </c>
      <c r="B12" s="27">
        <v>32132</v>
      </c>
      <c r="C12" s="79">
        <v>562.09072501000003</v>
      </c>
      <c r="D12" s="27">
        <v>649.56473409</v>
      </c>
      <c r="E12" s="27">
        <v>5.7151055253000003</v>
      </c>
      <c r="F12" s="27">
        <v>1.49175955E-2</v>
      </c>
      <c r="G12" s="79">
        <v>6.6893639999999997E-3</v>
      </c>
      <c r="H12" s="27">
        <v>1.7030699999999999E-5</v>
      </c>
      <c r="I12" s="27">
        <v>63.892104355999997</v>
      </c>
      <c r="J12" s="27">
        <v>0.42946742300000001</v>
      </c>
      <c r="K12" s="27">
        <v>22.760383096999998</v>
      </c>
      <c r="L12" s="27">
        <v>0.14731486960000001</v>
      </c>
      <c r="M12" s="27">
        <v>3.2416655894000002</v>
      </c>
      <c r="N12" s="27">
        <v>2.79568184E-2</v>
      </c>
      <c r="O12" s="80" t="s">
        <v>136</v>
      </c>
      <c r="P12" s="80">
        <v>0</v>
      </c>
      <c r="Q12" s="27">
        <v>0.1996191055</v>
      </c>
      <c r="R12" s="27">
        <v>1.2048287E-3</v>
      </c>
      <c r="S12" s="80" t="s">
        <v>136</v>
      </c>
      <c r="T12" s="80">
        <v>0</v>
      </c>
      <c r="U12" s="80" t="s">
        <v>136</v>
      </c>
      <c r="V12" s="80">
        <v>0</v>
      </c>
      <c r="W12" s="27">
        <v>4.5631774E-3</v>
      </c>
      <c r="X12" s="27">
        <v>3.6600000000000002E-5</v>
      </c>
      <c r="Y12" s="27">
        <v>3.9031451711999998</v>
      </c>
      <c r="Z12" s="27">
        <v>9.81558877E-2</v>
      </c>
      <c r="AA12" s="80" t="s">
        <v>136</v>
      </c>
      <c r="AB12" s="80">
        <v>0</v>
      </c>
      <c r="AC12" s="27">
        <v>0</v>
      </c>
      <c r="AD12" s="27">
        <v>0</v>
      </c>
      <c r="AE12" s="80" t="s">
        <v>136</v>
      </c>
      <c r="AF12" s="80">
        <v>0</v>
      </c>
      <c r="AG12" s="80" t="s">
        <v>136</v>
      </c>
      <c r="AH12" s="80">
        <v>0</v>
      </c>
      <c r="AI12" s="27">
        <f t="shared" si="0"/>
        <v>0</v>
      </c>
      <c r="AJ12" s="27">
        <f t="shared" si="1"/>
        <v>0</v>
      </c>
      <c r="AK12" s="27">
        <v>29.818449810000001</v>
      </c>
      <c r="AL12" s="27">
        <v>0.51112903639999996</v>
      </c>
      <c r="AM12" s="80" t="s">
        <v>136</v>
      </c>
      <c r="AN12" s="80">
        <v>0</v>
      </c>
      <c r="AO12" s="80" t="s">
        <v>136</v>
      </c>
      <c r="AP12" s="80">
        <v>0</v>
      </c>
      <c r="AQ12" s="80" t="s">
        <v>136</v>
      </c>
      <c r="AR12" s="80">
        <v>0</v>
      </c>
      <c r="AS12" s="27">
        <v>12.978149783999999</v>
      </c>
      <c r="AT12" s="27">
        <v>0.60598247390000004</v>
      </c>
      <c r="AU12" s="27">
        <v>6.8151169292000002</v>
      </c>
      <c r="AV12" s="27">
        <v>9.3024283599999993E-2</v>
      </c>
      <c r="AW12" s="27">
        <v>3.2772566342</v>
      </c>
      <c r="AX12" s="27">
        <v>5.67270172E-2</v>
      </c>
      <c r="AY12" s="27">
        <v>1.3730612235999999</v>
      </c>
      <c r="AZ12" s="27">
        <v>1.7877985400000001E-2</v>
      </c>
      <c r="BA12" s="80">
        <f t="shared" si="2"/>
        <v>2.1647990714000001</v>
      </c>
      <c r="BB12" s="80">
        <f t="shared" si="3"/>
        <v>1.8419280999999996E-2</v>
      </c>
      <c r="BC12" s="27">
        <v>0</v>
      </c>
      <c r="BD12" s="80">
        <v>0</v>
      </c>
      <c r="BE12" s="27">
        <v>35.411024619000003</v>
      </c>
      <c r="BF12" s="27">
        <v>0.61416541349999998</v>
      </c>
      <c r="BG12" s="27">
        <v>3.0508400000000001E-5</v>
      </c>
      <c r="BH12" s="80">
        <v>0</v>
      </c>
      <c r="BI12" s="27">
        <v>27.913916887999999</v>
      </c>
      <c r="BJ12" s="27">
        <v>1.2579269016000001</v>
      </c>
      <c r="BK12" s="27">
        <v>11.476392282000001</v>
      </c>
      <c r="BL12" s="27">
        <v>9.2534799400000006E-2</v>
      </c>
      <c r="BM12" s="27">
        <v>2.2532847802</v>
      </c>
      <c r="BN12" s="27">
        <v>1.72164057E-2</v>
      </c>
      <c r="BO12" s="27">
        <v>1.2167662500000001E-2</v>
      </c>
      <c r="BP12" s="27">
        <v>1.4721170000000001E-4</v>
      </c>
      <c r="BQ12" s="27">
        <v>0</v>
      </c>
      <c r="BR12" s="92">
        <v>0</v>
      </c>
      <c r="BS12" s="80" t="s">
        <v>136</v>
      </c>
      <c r="BT12" s="80">
        <v>0</v>
      </c>
      <c r="BU12" s="27">
        <v>8.7402519299999995E-2</v>
      </c>
      <c r="BV12" s="27">
        <v>1.382297E-3</v>
      </c>
      <c r="BW12" s="27">
        <v>3.1542630700999998</v>
      </c>
      <c r="BX12" s="27">
        <v>2.6574521399999999E-2</v>
      </c>
      <c r="BY12" s="80" t="s">
        <v>136</v>
      </c>
      <c r="BZ12" s="80">
        <v>0</v>
      </c>
      <c r="CA12" s="80" t="s">
        <v>136</v>
      </c>
      <c r="CB12" s="80">
        <v>0</v>
      </c>
      <c r="CC12" s="27">
        <v>2.3708377400000001E-2</v>
      </c>
      <c r="CD12" s="27">
        <v>1.3034590000000001E-4</v>
      </c>
      <c r="CE12" s="27">
        <v>0.1759107281</v>
      </c>
      <c r="CF12" s="27">
        <v>1.0744827999999999E-3</v>
      </c>
      <c r="CG12" s="80" t="s">
        <v>136</v>
      </c>
      <c r="CH12" s="80">
        <v>0</v>
      </c>
      <c r="CI12" s="80" t="s">
        <v>136</v>
      </c>
      <c r="CJ12" s="80">
        <v>0</v>
      </c>
      <c r="CK12" s="80" t="s">
        <v>136</v>
      </c>
      <c r="CL12" s="80">
        <v>0</v>
      </c>
      <c r="CM12" s="80" t="s">
        <v>136</v>
      </c>
      <c r="CN12" s="80">
        <v>0</v>
      </c>
      <c r="CO12" s="27">
        <v>1.3580032000000001E-3</v>
      </c>
      <c r="CP12" s="27">
        <v>8.7464341999999994E-6</v>
      </c>
      <c r="CQ12" s="27">
        <v>3.2051741999999999E-3</v>
      </c>
      <c r="CR12" s="27">
        <v>2.78536E-5</v>
      </c>
      <c r="CS12" s="27">
        <v>9.6317474799999997E-2</v>
      </c>
      <c r="CT12" s="27">
        <v>1.6069265E-3</v>
      </c>
      <c r="CU12" s="27">
        <v>3.8068276964000001</v>
      </c>
      <c r="CV12" s="27">
        <v>9.6548961200000005E-2</v>
      </c>
      <c r="CW12" s="93" t="s">
        <v>136</v>
      </c>
      <c r="CX12" s="80">
        <v>0</v>
      </c>
      <c r="CY12" s="80" t="s">
        <v>136</v>
      </c>
      <c r="CZ12" s="94">
        <v>0</v>
      </c>
      <c r="DA12" s="27">
        <v>4.4245621794999996</v>
      </c>
      <c r="DB12" s="27">
        <v>0.14174769279999999</v>
      </c>
      <c r="DC12" s="27">
        <v>8.5535876041000005</v>
      </c>
      <c r="DD12" s="27">
        <v>0.46423478109999999</v>
      </c>
      <c r="DE12" s="27">
        <v>1.6274216761</v>
      </c>
      <c r="DF12" s="27">
        <v>0.1857094936</v>
      </c>
      <c r="DG12" s="27">
        <v>33.783602942999998</v>
      </c>
      <c r="DH12" s="27">
        <v>0.42845591989999998</v>
      </c>
      <c r="DI12" s="95">
        <v>1.7030699999999999E-5</v>
      </c>
      <c r="DJ12" s="96">
        <v>2.8630099999999999E-5</v>
      </c>
      <c r="DK12" s="96">
        <v>3.0508400000000001E-5</v>
      </c>
      <c r="DL12" s="96">
        <v>3.0508400000000001E-5</v>
      </c>
      <c r="DM12" s="96">
        <v>3.0508400000000001E-5</v>
      </c>
      <c r="DN12" s="96">
        <v>3.0508400000000001E-5</v>
      </c>
      <c r="DO12" s="96">
        <v>3.0508400000000001E-5</v>
      </c>
      <c r="DP12" s="96">
        <v>3.0508400000000001E-5</v>
      </c>
      <c r="DQ12" s="96">
        <v>3.0508400000000001E-5</v>
      </c>
      <c r="DR12" s="97">
        <v>3.0508400000000001E-5</v>
      </c>
      <c r="DS12" s="93">
        <v>16.315150761000002</v>
      </c>
      <c r="DT12" s="80">
        <v>0.1238063903</v>
      </c>
      <c r="DU12" s="80">
        <v>3.4070101739999998</v>
      </c>
      <c r="DV12" s="80">
        <v>2.8690822000000001E-2</v>
      </c>
      <c r="DW12" s="80">
        <v>0.56152257120000004</v>
      </c>
      <c r="DX12" s="80">
        <v>5.3500693000000004E-3</v>
      </c>
      <c r="DY12" s="80">
        <v>7.5370060599999997E-2</v>
      </c>
      <c r="DZ12" s="80">
        <v>8.9620620000000005E-4</v>
      </c>
      <c r="EA12" s="80">
        <v>1.23488E-2</v>
      </c>
      <c r="EB12" s="80">
        <v>2.243115E-4</v>
      </c>
      <c r="EC12" s="80">
        <v>3.6859363E-3</v>
      </c>
      <c r="ED12" s="80">
        <v>9.7568300000000006E-5</v>
      </c>
      <c r="EE12" s="80">
        <v>1.6307063999999999E-3</v>
      </c>
      <c r="EF12" s="80">
        <v>5.8956799999999998E-5</v>
      </c>
      <c r="EG12" s="80">
        <v>1.0810545000000001E-3</v>
      </c>
      <c r="EH12" s="80">
        <v>3.9746600000000003E-5</v>
      </c>
      <c r="EI12" s="80">
        <v>7.1758490000000004E-4</v>
      </c>
      <c r="EJ12" s="80">
        <v>2.6896100000000002E-5</v>
      </c>
      <c r="EK12" s="80">
        <v>4.0432940000000001E-4</v>
      </c>
      <c r="EL12" s="94">
        <v>1.6339799999999999E-5</v>
      </c>
    </row>
    <row r="13" spans="1:142" x14ac:dyDescent="0.2">
      <c r="A13" s="79">
        <v>800</v>
      </c>
      <c r="B13" s="27">
        <v>30549</v>
      </c>
      <c r="C13" s="79">
        <v>632.72469812999998</v>
      </c>
      <c r="D13" s="27">
        <v>749.69570052999995</v>
      </c>
      <c r="E13" s="27">
        <v>7.6129619610999999</v>
      </c>
      <c r="F13" s="27">
        <v>1.8446505200000001E-2</v>
      </c>
      <c r="G13" s="79">
        <v>1.1030347899999999E-2</v>
      </c>
      <c r="H13" s="27">
        <v>2.9502600000000001E-5</v>
      </c>
      <c r="I13" s="27">
        <v>71.922673590000002</v>
      </c>
      <c r="J13" s="27">
        <v>0.48000079699999998</v>
      </c>
      <c r="K13" s="27">
        <v>26.150531777000001</v>
      </c>
      <c r="L13" s="27">
        <v>0.1674840796</v>
      </c>
      <c r="M13" s="27">
        <v>3.8902928320000001</v>
      </c>
      <c r="N13" s="27">
        <v>3.3426480299999999E-2</v>
      </c>
      <c r="O13" s="80" t="s">
        <v>136</v>
      </c>
      <c r="P13" s="80">
        <v>0</v>
      </c>
      <c r="Q13" s="27">
        <v>0.30717185899999999</v>
      </c>
      <c r="R13" s="27">
        <v>1.5725115999999999E-3</v>
      </c>
      <c r="S13" s="80" t="s">
        <v>136</v>
      </c>
      <c r="T13" s="80">
        <v>0</v>
      </c>
      <c r="U13" s="80" t="s">
        <v>136</v>
      </c>
      <c r="V13" s="80">
        <v>0</v>
      </c>
      <c r="W13" s="27">
        <v>6.0364028999999996E-3</v>
      </c>
      <c r="X13" s="27">
        <v>5.2268100000000002E-5</v>
      </c>
      <c r="Y13" s="27">
        <v>4.8776031159000004</v>
      </c>
      <c r="Z13" s="27">
        <v>0.12165757000000001</v>
      </c>
      <c r="AA13" s="80" t="s">
        <v>136</v>
      </c>
      <c r="AB13" s="80">
        <v>0</v>
      </c>
      <c r="AC13" s="27">
        <v>0</v>
      </c>
      <c r="AD13" s="27">
        <v>0</v>
      </c>
      <c r="AE13" s="80" t="s">
        <v>136</v>
      </c>
      <c r="AF13" s="80">
        <v>0</v>
      </c>
      <c r="AG13" s="80" t="s">
        <v>136</v>
      </c>
      <c r="AH13" s="80">
        <v>0</v>
      </c>
      <c r="AI13" s="27">
        <f t="shared" si="0"/>
        <v>0</v>
      </c>
      <c r="AJ13" s="27">
        <f t="shared" si="1"/>
        <v>0</v>
      </c>
      <c r="AK13" s="27">
        <v>35.304449628</v>
      </c>
      <c r="AL13" s="27">
        <v>0.59487537629999998</v>
      </c>
      <c r="AM13" s="80" t="s">
        <v>136</v>
      </c>
      <c r="AN13" s="80">
        <v>0</v>
      </c>
      <c r="AO13" s="80" t="s">
        <v>136</v>
      </c>
      <c r="AP13" s="80">
        <v>0</v>
      </c>
      <c r="AQ13" s="80" t="s">
        <v>136</v>
      </c>
      <c r="AR13" s="80">
        <v>0</v>
      </c>
      <c r="AS13" s="27">
        <v>15.605585788000001</v>
      </c>
      <c r="AT13" s="27">
        <v>0.70520484729999999</v>
      </c>
      <c r="AU13" s="27">
        <v>8.4283582884000001</v>
      </c>
      <c r="AV13" s="27">
        <v>0.1106909294</v>
      </c>
      <c r="AW13" s="27">
        <v>3.9961828256</v>
      </c>
      <c r="AX13" s="27">
        <v>6.7308578399999999E-2</v>
      </c>
      <c r="AY13" s="27">
        <v>1.6524188844000001</v>
      </c>
      <c r="AZ13" s="27">
        <v>2.08051114E-2</v>
      </c>
      <c r="BA13" s="80">
        <f t="shared" si="2"/>
        <v>2.7797565783999998</v>
      </c>
      <c r="BB13" s="80">
        <f t="shared" si="3"/>
        <v>2.2577239599999993E-2</v>
      </c>
      <c r="BC13" s="27">
        <v>0</v>
      </c>
      <c r="BD13" s="80">
        <v>0</v>
      </c>
      <c r="BE13" s="27">
        <v>41.003821039000002</v>
      </c>
      <c r="BF13" s="27">
        <v>0.70552590230000001</v>
      </c>
      <c r="BG13" s="27">
        <v>4.40652E-5</v>
      </c>
      <c r="BH13" s="80">
        <v>0</v>
      </c>
      <c r="BI13" s="27">
        <v>32.539861913999999</v>
      </c>
      <c r="BJ13" s="27">
        <v>1.4181097317</v>
      </c>
      <c r="BK13" s="27">
        <v>14.543770929000001</v>
      </c>
      <c r="BL13" s="27">
        <v>0.11432360580000001</v>
      </c>
      <c r="BM13" s="27">
        <v>2.8164463838999998</v>
      </c>
      <c r="BN13" s="27">
        <v>2.0363741800000001E-2</v>
      </c>
      <c r="BO13" s="27">
        <v>1.4182449499999999E-2</v>
      </c>
      <c r="BP13" s="27">
        <v>1.872621E-4</v>
      </c>
      <c r="BQ13" s="27">
        <v>0</v>
      </c>
      <c r="BR13" s="92">
        <v>0</v>
      </c>
      <c r="BS13" s="80" t="s">
        <v>136</v>
      </c>
      <c r="BT13" s="80">
        <v>0</v>
      </c>
      <c r="BU13" s="27">
        <v>0.104614339</v>
      </c>
      <c r="BV13" s="27">
        <v>1.6400379000000001E-3</v>
      </c>
      <c r="BW13" s="27">
        <v>3.7856784929999998</v>
      </c>
      <c r="BX13" s="27">
        <v>3.1786442300000002E-2</v>
      </c>
      <c r="BY13" s="80" t="s">
        <v>136</v>
      </c>
      <c r="BZ13" s="80">
        <v>0</v>
      </c>
      <c r="CA13" s="80" t="s">
        <v>136</v>
      </c>
      <c r="CB13" s="80">
        <v>0</v>
      </c>
      <c r="CC13" s="27">
        <v>5.4624485700000003E-2</v>
      </c>
      <c r="CD13" s="27">
        <v>2.110921E-4</v>
      </c>
      <c r="CE13" s="27">
        <v>0.25254737329999999</v>
      </c>
      <c r="CF13" s="27">
        <v>1.3614196E-3</v>
      </c>
      <c r="CG13" s="80" t="s">
        <v>136</v>
      </c>
      <c r="CH13" s="80">
        <v>0</v>
      </c>
      <c r="CI13" s="80" t="s">
        <v>136</v>
      </c>
      <c r="CJ13" s="80">
        <v>0</v>
      </c>
      <c r="CK13" s="80" t="s">
        <v>136</v>
      </c>
      <c r="CL13" s="80">
        <v>0</v>
      </c>
      <c r="CM13" s="80" t="s">
        <v>136</v>
      </c>
      <c r="CN13" s="80">
        <v>0</v>
      </c>
      <c r="CO13" s="27">
        <v>1.4763736E-3</v>
      </c>
      <c r="CP13" s="27">
        <v>1.2068E-5</v>
      </c>
      <c r="CQ13" s="27">
        <v>4.5600292999999998E-3</v>
      </c>
      <c r="CR13" s="27">
        <v>4.0200100000000002E-5</v>
      </c>
      <c r="CS13" s="27">
        <v>0.14255421099999999</v>
      </c>
      <c r="CT13" s="27">
        <v>2.2094964000000002E-3</v>
      </c>
      <c r="CU13" s="27">
        <v>4.7350489049000002</v>
      </c>
      <c r="CV13" s="27">
        <v>0.1194480736</v>
      </c>
      <c r="CW13" s="93" t="s">
        <v>136</v>
      </c>
      <c r="CX13" s="80">
        <v>0</v>
      </c>
      <c r="CY13" s="80" t="s">
        <v>136</v>
      </c>
      <c r="CZ13" s="94">
        <v>0</v>
      </c>
      <c r="DA13" s="27">
        <v>5.5336146979</v>
      </c>
      <c r="DB13" s="27">
        <v>0.17006660600000001</v>
      </c>
      <c r="DC13" s="27">
        <v>10.07197109</v>
      </c>
      <c r="DD13" s="27">
        <v>0.53513824129999998</v>
      </c>
      <c r="DE13" s="27">
        <v>1.9829108182999999</v>
      </c>
      <c r="DF13" s="27">
        <v>0.21979791970000001</v>
      </c>
      <c r="DG13" s="27">
        <v>39.020910219999998</v>
      </c>
      <c r="DH13" s="27">
        <v>0.4857279826</v>
      </c>
      <c r="DI13" s="95">
        <v>2.9502600000000001E-5</v>
      </c>
      <c r="DJ13" s="96">
        <v>4.24243E-5</v>
      </c>
      <c r="DK13" s="96">
        <v>4.40652E-5</v>
      </c>
      <c r="DL13" s="96">
        <v>4.40652E-5</v>
      </c>
      <c r="DM13" s="96">
        <v>4.40652E-5</v>
      </c>
      <c r="DN13" s="96">
        <v>4.40652E-5</v>
      </c>
      <c r="DO13" s="96">
        <v>4.40652E-5</v>
      </c>
      <c r="DP13" s="96">
        <v>4.40652E-5</v>
      </c>
      <c r="DQ13" s="96">
        <v>4.40652E-5</v>
      </c>
      <c r="DR13" s="97">
        <v>4.40652E-5</v>
      </c>
      <c r="DS13" s="93">
        <v>20.335988548</v>
      </c>
      <c r="DT13" s="80">
        <v>0.15161761979999999</v>
      </c>
      <c r="DU13" s="80">
        <v>4.9237085342000002</v>
      </c>
      <c r="DV13" s="80">
        <v>4.02594592E-2</v>
      </c>
      <c r="DW13" s="80">
        <v>0.99997701110000003</v>
      </c>
      <c r="DX13" s="80">
        <v>9.0565248000000001E-3</v>
      </c>
      <c r="DY13" s="80">
        <v>0.16773755730000001</v>
      </c>
      <c r="DZ13" s="80">
        <v>1.8297209E-3</v>
      </c>
      <c r="EA13" s="80">
        <v>3.1631831200000002E-2</v>
      </c>
      <c r="EB13" s="80">
        <v>4.9634669999999996E-4</v>
      </c>
      <c r="EC13" s="80">
        <v>9.0784759000000007E-3</v>
      </c>
      <c r="ED13" s="80">
        <v>2.2041110000000001E-4</v>
      </c>
      <c r="EE13" s="80">
        <v>3.5948548E-3</v>
      </c>
      <c r="EF13" s="80">
        <v>1.351786E-4</v>
      </c>
      <c r="EG13" s="80">
        <v>2.3752707999999999E-3</v>
      </c>
      <c r="EH13" s="80">
        <v>9.9816100000000001E-5</v>
      </c>
      <c r="EI13" s="80">
        <v>1.8235867999999999E-3</v>
      </c>
      <c r="EJ13" s="80">
        <v>7.8409899999999996E-5</v>
      </c>
      <c r="EK13" s="80">
        <v>1.3176376E-3</v>
      </c>
      <c r="EL13" s="94">
        <v>5.9093199999999999E-5</v>
      </c>
    </row>
    <row r="14" spans="1:142" x14ac:dyDescent="0.2">
      <c r="A14" s="79">
        <v>900</v>
      </c>
      <c r="B14" s="27">
        <v>28701</v>
      </c>
      <c r="C14" s="79">
        <v>701.52624691999995</v>
      </c>
      <c r="D14" s="27">
        <v>849.81306943000004</v>
      </c>
      <c r="E14" s="27">
        <v>9.8692530380000001</v>
      </c>
      <c r="F14" s="27">
        <v>2.23463694E-2</v>
      </c>
      <c r="G14" s="79">
        <v>2.1021698299999999E-2</v>
      </c>
      <c r="H14" s="27">
        <v>4.8310999999999999E-5</v>
      </c>
      <c r="I14" s="27">
        <v>79.211301809999995</v>
      </c>
      <c r="J14" s="27">
        <v>0.52592683829999998</v>
      </c>
      <c r="K14" s="27">
        <v>29.430456621000001</v>
      </c>
      <c r="L14" s="27">
        <v>0.1866557304</v>
      </c>
      <c r="M14" s="27">
        <v>4.5742516939</v>
      </c>
      <c r="N14" s="27">
        <v>3.8918342199999997E-2</v>
      </c>
      <c r="O14" s="80" t="s">
        <v>136</v>
      </c>
      <c r="P14" s="80">
        <v>0</v>
      </c>
      <c r="Q14" s="27">
        <v>0.44873570800000001</v>
      </c>
      <c r="R14" s="27">
        <v>2.0338333999999998E-3</v>
      </c>
      <c r="S14" s="80" t="s">
        <v>136</v>
      </c>
      <c r="T14" s="80">
        <v>0</v>
      </c>
      <c r="U14" s="80" t="s">
        <v>136</v>
      </c>
      <c r="V14" s="80">
        <v>0</v>
      </c>
      <c r="W14" s="27">
        <v>7.9524474999999994E-3</v>
      </c>
      <c r="X14" s="27">
        <v>7.1812399999999997E-5</v>
      </c>
      <c r="Y14" s="27">
        <v>5.8832034394999999</v>
      </c>
      <c r="Z14" s="27">
        <v>0.1457755835</v>
      </c>
      <c r="AA14" s="80" t="s">
        <v>136</v>
      </c>
      <c r="AB14" s="80">
        <v>0</v>
      </c>
      <c r="AC14" s="27">
        <v>0</v>
      </c>
      <c r="AD14" s="27">
        <v>0</v>
      </c>
      <c r="AE14" s="80" t="s">
        <v>136</v>
      </c>
      <c r="AF14" s="80">
        <v>0</v>
      </c>
      <c r="AG14" s="80" t="s">
        <v>136</v>
      </c>
      <c r="AH14" s="80">
        <v>0</v>
      </c>
      <c r="AI14" s="27">
        <f t="shared" si="0"/>
        <v>0</v>
      </c>
      <c r="AJ14" s="27">
        <f t="shared" si="1"/>
        <v>0</v>
      </c>
      <c r="AK14" s="27">
        <v>40.359786698000001</v>
      </c>
      <c r="AL14" s="27">
        <v>0.67222755720000005</v>
      </c>
      <c r="AM14" s="80" t="s">
        <v>136</v>
      </c>
      <c r="AN14" s="80">
        <v>0</v>
      </c>
      <c r="AO14" s="80" t="s">
        <v>136</v>
      </c>
      <c r="AP14" s="80">
        <v>0</v>
      </c>
      <c r="AQ14" s="80" t="s">
        <v>136</v>
      </c>
      <c r="AR14" s="80">
        <v>0</v>
      </c>
      <c r="AS14" s="27">
        <v>18.244995566</v>
      </c>
      <c r="AT14" s="27">
        <v>0.79952899970000002</v>
      </c>
      <c r="AU14" s="27">
        <v>10.125201197000001</v>
      </c>
      <c r="AV14" s="27">
        <v>0.12781918649999999</v>
      </c>
      <c r="AW14" s="27">
        <v>4.7451107047000001</v>
      </c>
      <c r="AX14" s="27">
        <v>7.7568368999999998E-2</v>
      </c>
      <c r="AY14" s="27">
        <v>1.9208737687999999</v>
      </c>
      <c r="AZ14" s="27">
        <v>2.3473928200000001E-2</v>
      </c>
      <c r="BA14" s="80">
        <f t="shared" si="2"/>
        <v>3.4592167235000009</v>
      </c>
      <c r="BB14" s="80">
        <f t="shared" si="3"/>
        <v>2.6776889299999995E-2</v>
      </c>
      <c r="BC14" s="27">
        <v>0</v>
      </c>
      <c r="BD14" s="80">
        <v>0</v>
      </c>
      <c r="BE14" s="27">
        <v>46.416946537000001</v>
      </c>
      <c r="BF14" s="27">
        <v>0.79084434790000002</v>
      </c>
      <c r="BG14" s="27">
        <v>6.9966899999999996E-5</v>
      </c>
      <c r="BH14" s="80">
        <v>0</v>
      </c>
      <c r="BI14" s="27">
        <v>37.013685113000001</v>
      </c>
      <c r="BJ14" s="27">
        <v>1.5718167283</v>
      </c>
      <c r="BK14" s="27">
        <v>17.846967146000001</v>
      </c>
      <c r="BL14" s="27">
        <v>0.1380854671</v>
      </c>
      <c r="BM14" s="27">
        <v>3.4220012073000001</v>
      </c>
      <c r="BN14" s="27">
        <v>2.3662777900000001E-2</v>
      </c>
      <c r="BO14" s="27">
        <v>1.52780368E-2</v>
      </c>
      <c r="BP14" s="27">
        <v>2.0335110000000001E-4</v>
      </c>
      <c r="BQ14" s="27">
        <v>0</v>
      </c>
      <c r="BR14" s="92">
        <v>0</v>
      </c>
      <c r="BS14" s="80" t="s">
        <v>136</v>
      </c>
      <c r="BT14" s="80">
        <v>0</v>
      </c>
      <c r="BU14" s="27">
        <v>0.12598576349999999</v>
      </c>
      <c r="BV14" s="27">
        <v>1.9352306E-3</v>
      </c>
      <c r="BW14" s="27">
        <v>4.4482659303999998</v>
      </c>
      <c r="BX14" s="27">
        <v>3.69831116E-2</v>
      </c>
      <c r="BY14" s="80" t="s">
        <v>136</v>
      </c>
      <c r="BZ14" s="80">
        <v>0</v>
      </c>
      <c r="CA14" s="80" t="s">
        <v>136</v>
      </c>
      <c r="CB14" s="80">
        <v>0</v>
      </c>
      <c r="CC14" s="27">
        <v>9.5111592699999997E-2</v>
      </c>
      <c r="CD14" s="27">
        <v>3.1207089999999999E-4</v>
      </c>
      <c r="CE14" s="27">
        <v>0.35362411519999998</v>
      </c>
      <c r="CF14" s="27">
        <v>1.7217624000000001E-3</v>
      </c>
      <c r="CG14" s="80" t="s">
        <v>136</v>
      </c>
      <c r="CH14" s="80">
        <v>0</v>
      </c>
      <c r="CI14" s="80" t="s">
        <v>136</v>
      </c>
      <c r="CJ14" s="80">
        <v>0</v>
      </c>
      <c r="CK14" s="80" t="s">
        <v>136</v>
      </c>
      <c r="CL14" s="80">
        <v>0</v>
      </c>
      <c r="CM14" s="80" t="s">
        <v>136</v>
      </c>
      <c r="CN14" s="80">
        <v>0</v>
      </c>
      <c r="CO14" s="27">
        <v>1.6702943E-3</v>
      </c>
      <c r="CP14" s="27">
        <v>1.55061E-5</v>
      </c>
      <c r="CQ14" s="27">
        <v>6.2821531999999996E-3</v>
      </c>
      <c r="CR14" s="27">
        <v>5.63064E-5</v>
      </c>
      <c r="CS14" s="27">
        <v>0.1755595858</v>
      </c>
      <c r="CT14" s="27">
        <v>2.6561763000000002E-3</v>
      </c>
      <c r="CU14" s="27">
        <v>5.7076438536999996</v>
      </c>
      <c r="CV14" s="27">
        <v>0.1431194073</v>
      </c>
      <c r="CW14" s="93" t="s">
        <v>136</v>
      </c>
      <c r="CX14" s="80">
        <v>0</v>
      </c>
      <c r="CY14" s="80" t="s">
        <v>136</v>
      </c>
      <c r="CZ14" s="94">
        <v>0</v>
      </c>
      <c r="DA14" s="27">
        <v>6.6539253522999999</v>
      </c>
      <c r="DB14" s="27">
        <v>0.19764059419999999</v>
      </c>
      <c r="DC14" s="27">
        <v>11.591070213</v>
      </c>
      <c r="DD14" s="27">
        <v>0.60188840539999999</v>
      </c>
      <c r="DE14" s="27">
        <v>2.3068134519000001</v>
      </c>
      <c r="DF14" s="27">
        <v>0.2512739443</v>
      </c>
      <c r="DG14" s="27">
        <v>44.110133085000001</v>
      </c>
      <c r="DH14" s="27">
        <v>0.53957040359999997</v>
      </c>
      <c r="DI14" s="95">
        <v>4.8310999999999999E-5</v>
      </c>
      <c r="DJ14" s="96">
        <v>6.5576399999999998E-5</v>
      </c>
      <c r="DK14" s="96">
        <v>6.9966899999999996E-5</v>
      </c>
      <c r="DL14" s="96">
        <v>6.9966899999999996E-5</v>
      </c>
      <c r="DM14" s="96">
        <v>6.9966899999999996E-5</v>
      </c>
      <c r="DN14" s="96">
        <v>6.9966899999999996E-5</v>
      </c>
      <c r="DO14" s="96">
        <v>6.9966899999999996E-5</v>
      </c>
      <c r="DP14" s="96">
        <v>6.9966899999999996E-5</v>
      </c>
      <c r="DQ14" s="96">
        <v>6.9966899999999996E-5</v>
      </c>
      <c r="DR14" s="97">
        <v>6.9966899999999996E-5</v>
      </c>
      <c r="DS14" s="93">
        <v>24.219685749</v>
      </c>
      <c r="DT14" s="80">
        <v>0.17806439039999999</v>
      </c>
      <c r="DU14" s="80">
        <v>6.4917900968</v>
      </c>
      <c r="DV14" s="80">
        <v>5.1895031899999999E-2</v>
      </c>
      <c r="DW14" s="80">
        <v>1.5230815107</v>
      </c>
      <c r="DX14" s="80">
        <v>1.3317232599999999E-2</v>
      </c>
      <c r="DY14" s="80">
        <v>0.30315349899999999</v>
      </c>
      <c r="DZ14" s="80">
        <v>3.0733278000000001E-3</v>
      </c>
      <c r="EA14" s="80">
        <v>6.4436595099999994E-2</v>
      </c>
      <c r="EB14" s="80">
        <v>8.5156100000000003E-4</v>
      </c>
      <c r="EC14" s="80">
        <v>1.66706589E-2</v>
      </c>
      <c r="ED14" s="80">
        <v>3.289705E-4</v>
      </c>
      <c r="EE14" s="80">
        <v>5.8964637E-3</v>
      </c>
      <c r="EF14" s="80">
        <v>1.8092E-4</v>
      </c>
      <c r="EG14" s="80">
        <v>3.7441453E-3</v>
      </c>
      <c r="EH14" s="80">
        <v>1.2963199999999999E-4</v>
      </c>
      <c r="EI14" s="80">
        <v>2.4158002000000001E-3</v>
      </c>
      <c r="EJ14" s="80">
        <v>9.357E-5</v>
      </c>
      <c r="EK14" s="80">
        <v>1.617945E-3</v>
      </c>
      <c r="EL14" s="94">
        <v>6.4962799999999994E-5</v>
      </c>
    </row>
    <row r="15" spans="1:142" x14ac:dyDescent="0.2">
      <c r="A15" s="79">
        <v>1000</v>
      </c>
      <c r="B15" s="27">
        <v>26839</v>
      </c>
      <c r="C15" s="79">
        <v>768.34939515999997</v>
      </c>
      <c r="D15" s="27">
        <v>949.95641472</v>
      </c>
      <c r="E15" s="27">
        <v>12.150309633999999</v>
      </c>
      <c r="F15" s="27">
        <v>2.6068687699999999E-2</v>
      </c>
      <c r="G15" s="79">
        <v>2.14554803E-2</v>
      </c>
      <c r="H15" s="27">
        <v>4.7505E-5</v>
      </c>
      <c r="I15" s="27">
        <v>85.752330571000002</v>
      </c>
      <c r="J15" s="27">
        <v>0.56763348339999997</v>
      </c>
      <c r="K15" s="27">
        <v>32.650414396000002</v>
      </c>
      <c r="L15" s="27">
        <v>0.2052606833</v>
      </c>
      <c r="M15" s="27">
        <v>5.2608626549000004</v>
      </c>
      <c r="N15" s="27">
        <v>4.4483104900000001E-2</v>
      </c>
      <c r="O15" s="80" t="s">
        <v>136</v>
      </c>
      <c r="P15" s="80">
        <v>0</v>
      </c>
      <c r="Q15" s="27">
        <v>0.66356373270000002</v>
      </c>
      <c r="R15" s="27">
        <v>2.55376E-3</v>
      </c>
      <c r="S15" s="80" t="s">
        <v>136</v>
      </c>
      <c r="T15" s="80">
        <v>0</v>
      </c>
      <c r="U15" s="80" t="s">
        <v>136</v>
      </c>
      <c r="V15" s="80">
        <v>0</v>
      </c>
      <c r="W15" s="27">
        <v>1.1517167E-2</v>
      </c>
      <c r="X15" s="27">
        <v>1.132292E-4</v>
      </c>
      <c r="Y15" s="27">
        <v>7.0058056952000003</v>
      </c>
      <c r="Z15" s="27">
        <v>0.1731956956</v>
      </c>
      <c r="AA15" s="80" t="s">
        <v>136</v>
      </c>
      <c r="AB15" s="80">
        <v>0</v>
      </c>
      <c r="AC15" s="27">
        <v>0</v>
      </c>
      <c r="AD15" s="27">
        <v>0</v>
      </c>
      <c r="AE15" s="80" t="s">
        <v>136</v>
      </c>
      <c r="AF15" s="80">
        <v>0</v>
      </c>
      <c r="AG15" s="80" t="s">
        <v>136</v>
      </c>
      <c r="AH15" s="80">
        <v>0</v>
      </c>
      <c r="AI15" s="27">
        <f t="shared" si="0"/>
        <v>0</v>
      </c>
      <c r="AJ15" s="27">
        <f t="shared" si="1"/>
        <v>0</v>
      </c>
      <c r="AK15" s="27">
        <v>45.026346265999997</v>
      </c>
      <c r="AL15" s="27">
        <v>0.74317857669999998</v>
      </c>
      <c r="AM15" s="80" t="s">
        <v>136</v>
      </c>
      <c r="AN15" s="80">
        <v>0</v>
      </c>
      <c r="AO15" s="80" t="s">
        <v>136</v>
      </c>
      <c r="AP15" s="80">
        <v>0</v>
      </c>
      <c r="AQ15" s="80" t="s">
        <v>136</v>
      </c>
      <c r="AR15" s="80">
        <v>0</v>
      </c>
      <c r="AS15" s="27">
        <v>20.851520645000001</v>
      </c>
      <c r="AT15" s="27">
        <v>0.88803826929999996</v>
      </c>
      <c r="AU15" s="27">
        <v>12.052908684</v>
      </c>
      <c r="AV15" s="27">
        <v>0.14621003220000001</v>
      </c>
      <c r="AW15" s="27">
        <v>5.6415621314999997</v>
      </c>
      <c r="AX15" s="27">
        <v>8.8809210999999999E-2</v>
      </c>
      <c r="AY15" s="27">
        <v>2.2252607893</v>
      </c>
      <c r="AZ15" s="27">
        <v>2.6179684599999999E-2</v>
      </c>
      <c r="BA15" s="80">
        <f t="shared" si="2"/>
        <v>4.1860857632000004</v>
      </c>
      <c r="BB15" s="80">
        <f t="shared" si="3"/>
        <v>3.1221136600000005E-2</v>
      </c>
      <c r="BC15" s="27">
        <v>0</v>
      </c>
      <c r="BD15" s="80">
        <v>0</v>
      </c>
      <c r="BE15" s="27">
        <v>51.606260579999997</v>
      </c>
      <c r="BF15" s="27">
        <v>0.87280947509999995</v>
      </c>
      <c r="BG15" s="27">
        <v>7.0188800000000001E-5</v>
      </c>
      <c r="BH15" s="80">
        <v>0</v>
      </c>
      <c r="BI15" s="27">
        <v>41.269745258999997</v>
      </c>
      <c r="BJ15" s="27">
        <v>1.7131757211</v>
      </c>
      <c r="BK15" s="27">
        <v>21.432328333000001</v>
      </c>
      <c r="BL15" s="27">
        <v>0.16413672039999999</v>
      </c>
      <c r="BM15" s="27">
        <v>3.9991047364000001</v>
      </c>
      <c r="BN15" s="27">
        <v>2.6962173700000001E-2</v>
      </c>
      <c r="BO15" s="27">
        <v>1.8381924399999999E-2</v>
      </c>
      <c r="BP15" s="27">
        <v>2.0269959999999999E-4</v>
      </c>
      <c r="BQ15" s="27">
        <v>0</v>
      </c>
      <c r="BR15" s="92">
        <v>0</v>
      </c>
      <c r="BS15" s="80" t="s">
        <v>136</v>
      </c>
      <c r="BT15" s="80">
        <v>0</v>
      </c>
      <c r="BU15" s="27">
        <v>0.1417955705</v>
      </c>
      <c r="BV15" s="27">
        <v>2.1740678999999999E-3</v>
      </c>
      <c r="BW15" s="27">
        <v>5.1190670845000001</v>
      </c>
      <c r="BX15" s="27">
        <v>4.2309037000000001E-2</v>
      </c>
      <c r="BY15" s="80" t="s">
        <v>136</v>
      </c>
      <c r="BZ15" s="80">
        <v>0</v>
      </c>
      <c r="CA15" s="80" t="s">
        <v>136</v>
      </c>
      <c r="CB15" s="80">
        <v>0</v>
      </c>
      <c r="CC15" s="27">
        <v>0.15052320559999999</v>
      </c>
      <c r="CD15" s="27">
        <v>4.3092320000000001E-4</v>
      </c>
      <c r="CE15" s="27">
        <v>0.51304052710000003</v>
      </c>
      <c r="CF15" s="27">
        <v>2.1228367000000001E-3</v>
      </c>
      <c r="CG15" s="80" t="s">
        <v>136</v>
      </c>
      <c r="CH15" s="80">
        <v>0</v>
      </c>
      <c r="CI15" s="80" t="s">
        <v>136</v>
      </c>
      <c r="CJ15" s="80">
        <v>0</v>
      </c>
      <c r="CK15" s="80" t="s">
        <v>136</v>
      </c>
      <c r="CL15" s="80">
        <v>0</v>
      </c>
      <c r="CM15" s="80" t="s">
        <v>136</v>
      </c>
      <c r="CN15" s="80">
        <v>0</v>
      </c>
      <c r="CO15" s="27">
        <v>2.327375E-3</v>
      </c>
      <c r="CP15" s="27">
        <v>2.7868099999999998E-5</v>
      </c>
      <c r="CQ15" s="27">
        <v>9.1897920000000004E-3</v>
      </c>
      <c r="CR15" s="27">
        <v>8.5361100000000005E-5</v>
      </c>
      <c r="CS15" s="27">
        <v>0.21692493330000001</v>
      </c>
      <c r="CT15" s="27">
        <v>3.1465286999999998E-3</v>
      </c>
      <c r="CU15" s="27">
        <v>6.7888807617999998</v>
      </c>
      <c r="CV15" s="27">
        <v>0.17004916689999999</v>
      </c>
      <c r="CW15" s="93" t="s">
        <v>136</v>
      </c>
      <c r="CX15" s="80">
        <v>0</v>
      </c>
      <c r="CY15" s="80" t="s">
        <v>136</v>
      </c>
      <c r="CZ15" s="94">
        <v>0</v>
      </c>
      <c r="DA15" s="27">
        <v>7.8207381926000004</v>
      </c>
      <c r="DB15" s="27">
        <v>0.22482093310000001</v>
      </c>
      <c r="DC15" s="27">
        <v>13.030782453</v>
      </c>
      <c r="DD15" s="27">
        <v>0.66321733620000001</v>
      </c>
      <c r="DE15" s="27">
        <v>2.6479644012999999</v>
      </c>
      <c r="DF15" s="27">
        <v>0.28239535589999998</v>
      </c>
      <c r="DG15" s="27">
        <v>48.958296179000001</v>
      </c>
      <c r="DH15" s="27">
        <v>0.59041411919999998</v>
      </c>
      <c r="DI15" s="95">
        <v>4.7505E-5</v>
      </c>
      <c r="DJ15" s="96">
        <v>6.4750800000000004E-5</v>
      </c>
      <c r="DK15" s="96">
        <v>7.0188800000000001E-5</v>
      </c>
      <c r="DL15" s="96">
        <v>7.0188800000000001E-5</v>
      </c>
      <c r="DM15" s="96">
        <v>7.0188800000000001E-5</v>
      </c>
      <c r="DN15" s="96">
        <v>7.0188800000000001E-5</v>
      </c>
      <c r="DO15" s="96">
        <v>7.0188800000000001E-5</v>
      </c>
      <c r="DP15" s="96">
        <v>7.0188800000000001E-5</v>
      </c>
      <c r="DQ15" s="96">
        <v>7.0188800000000001E-5</v>
      </c>
      <c r="DR15" s="97">
        <v>7.0188800000000001E-5</v>
      </c>
      <c r="DS15" s="93">
        <v>27.915205878999998</v>
      </c>
      <c r="DT15" s="80">
        <v>0.20340992499999999</v>
      </c>
      <c r="DU15" s="80">
        <v>8.1605725921999994</v>
      </c>
      <c r="DV15" s="80">
        <v>6.41743704E-2</v>
      </c>
      <c r="DW15" s="80">
        <v>2.1523070267</v>
      </c>
      <c r="DX15" s="80">
        <v>1.8365735800000001E-2</v>
      </c>
      <c r="DY15" s="80">
        <v>0.50103383950000002</v>
      </c>
      <c r="DZ15" s="80">
        <v>4.8555726999999996E-3</v>
      </c>
      <c r="EA15" s="80">
        <v>0.1188134391</v>
      </c>
      <c r="EB15" s="80">
        <v>1.4630560999999999E-3</v>
      </c>
      <c r="EC15" s="80">
        <v>3.3748551600000003E-2</v>
      </c>
      <c r="ED15" s="80">
        <v>5.9211840000000001E-4</v>
      </c>
      <c r="EE15" s="80">
        <v>1.3383756599999999E-2</v>
      </c>
      <c r="EF15" s="80">
        <v>3.3457460000000001E-4</v>
      </c>
      <c r="EG15" s="80">
        <v>8.1591084000000001E-3</v>
      </c>
      <c r="EH15" s="80">
        <v>2.355677E-4</v>
      </c>
      <c r="EI15" s="80">
        <v>5.5843402000000002E-3</v>
      </c>
      <c r="EJ15" s="80">
        <v>1.708306E-4</v>
      </c>
      <c r="EK15" s="80">
        <v>3.7189852999999998E-3</v>
      </c>
      <c r="EL15" s="94">
        <v>1.163137E-4</v>
      </c>
    </row>
    <row r="16" spans="1:142" x14ac:dyDescent="0.2">
      <c r="A16" s="79">
        <v>1100</v>
      </c>
      <c r="B16" s="27">
        <v>25471</v>
      </c>
      <c r="C16" s="79">
        <v>833.36711754999999</v>
      </c>
      <c r="D16" s="27">
        <v>1049.7185950000001</v>
      </c>
      <c r="E16" s="27">
        <v>14.508704817</v>
      </c>
      <c r="F16" s="27">
        <v>2.9690279199999999E-2</v>
      </c>
      <c r="G16" s="79">
        <v>2.4478538899999999E-2</v>
      </c>
      <c r="H16" s="27">
        <v>5.011E-5</v>
      </c>
      <c r="I16" s="27">
        <v>91.829479086999996</v>
      </c>
      <c r="J16" s="27">
        <v>0.60648506099999999</v>
      </c>
      <c r="K16" s="27">
        <v>35.650880462000003</v>
      </c>
      <c r="L16" s="27">
        <v>0.2229382506</v>
      </c>
      <c r="M16" s="27">
        <v>6.0184717431000001</v>
      </c>
      <c r="N16" s="27">
        <v>5.0518005400000003E-2</v>
      </c>
      <c r="O16" s="80" t="s">
        <v>136</v>
      </c>
      <c r="P16" s="80">
        <v>0</v>
      </c>
      <c r="Q16" s="27">
        <v>0.96394996570000002</v>
      </c>
      <c r="R16" s="27">
        <v>3.2823905999999998E-3</v>
      </c>
      <c r="S16" s="80" t="s">
        <v>136</v>
      </c>
      <c r="T16" s="80">
        <v>0</v>
      </c>
      <c r="U16" s="80" t="s">
        <v>136</v>
      </c>
      <c r="V16" s="80">
        <v>0</v>
      </c>
      <c r="W16" s="27">
        <v>1.40590353E-2</v>
      </c>
      <c r="X16" s="27">
        <v>1.534327E-4</v>
      </c>
      <c r="Y16" s="27">
        <v>8.2288655648999995</v>
      </c>
      <c r="Z16" s="27">
        <v>0.20312785219999999</v>
      </c>
      <c r="AA16" s="80" t="s">
        <v>136</v>
      </c>
      <c r="AB16" s="80">
        <v>0</v>
      </c>
      <c r="AC16" s="27">
        <v>0</v>
      </c>
      <c r="AD16" s="27">
        <v>0</v>
      </c>
      <c r="AE16" s="80" t="s">
        <v>136</v>
      </c>
      <c r="AF16" s="80">
        <v>0</v>
      </c>
      <c r="AG16" s="80" t="s">
        <v>136</v>
      </c>
      <c r="AH16" s="80">
        <v>0</v>
      </c>
      <c r="AI16" s="27">
        <f t="shared" si="0"/>
        <v>0</v>
      </c>
      <c r="AJ16" s="27">
        <f t="shared" si="1"/>
        <v>0</v>
      </c>
      <c r="AK16" s="27">
        <v>49.370365995999997</v>
      </c>
      <c r="AL16" s="27">
        <v>0.80957762060000005</v>
      </c>
      <c r="AM16" s="80" t="s">
        <v>136</v>
      </c>
      <c r="AN16" s="80">
        <v>0</v>
      </c>
      <c r="AO16" s="80" t="s">
        <v>136</v>
      </c>
      <c r="AP16" s="80">
        <v>0</v>
      </c>
      <c r="AQ16" s="80" t="s">
        <v>136</v>
      </c>
      <c r="AR16" s="80">
        <v>0</v>
      </c>
      <c r="AS16" s="27">
        <v>23.469287232999999</v>
      </c>
      <c r="AT16" s="27">
        <v>0.97435243199999999</v>
      </c>
      <c r="AU16" s="27">
        <v>14.000791562</v>
      </c>
      <c r="AV16" s="27">
        <v>0.164717742</v>
      </c>
      <c r="AW16" s="27">
        <v>6.4839646652000003</v>
      </c>
      <c r="AX16" s="27">
        <v>9.9918839100000004E-2</v>
      </c>
      <c r="AY16" s="27">
        <v>2.5247271489999998</v>
      </c>
      <c r="AZ16" s="27">
        <v>2.8803013400000001E-2</v>
      </c>
      <c r="BA16" s="80">
        <f t="shared" si="2"/>
        <v>4.9920997477999993</v>
      </c>
      <c r="BB16" s="80">
        <f t="shared" si="3"/>
        <v>3.5995889499999989E-2</v>
      </c>
      <c r="BC16" s="27">
        <v>0</v>
      </c>
      <c r="BD16" s="80">
        <v>0</v>
      </c>
      <c r="BE16" s="27">
        <v>56.653880999000002</v>
      </c>
      <c r="BF16" s="27">
        <v>0.95025047340000002</v>
      </c>
      <c r="BG16" s="27">
        <v>7.8859700000000007E-5</v>
      </c>
      <c r="BH16" s="80">
        <v>0</v>
      </c>
      <c r="BI16" s="27">
        <v>45.621482890000003</v>
      </c>
      <c r="BJ16" s="27">
        <v>1.8537450225000001</v>
      </c>
      <c r="BK16" s="27">
        <v>25.251537897999999</v>
      </c>
      <c r="BL16" s="27">
        <v>0.19123495639999999</v>
      </c>
      <c r="BM16" s="27">
        <v>4.6433850564999997</v>
      </c>
      <c r="BN16" s="27">
        <v>3.0388328700000002E-2</v>
      </c>
      <c r="BO16" s="27">
        <v>2.2330056000000001E-2</v>
      </c>
      <c r="BP16" s="27">
        <v>2.4611879999999998E-4</v>
      </c>
      <c r="BQ16" s="27">
        <v>0</v>
      </c>
      <c r="BR16" s="92">
        <v>0</v>
      </c>
      <c r="BS16" s="80" t="s">
        <v>136</v>
      </c>
      <c r="BT16" s="80">
        <v>0</v>
      </c>
      <c r="BU16" s="27">
        <v>0.1612397787</v>
      </c>
      <c r="BV16" s="27">
        <v>2.4829708E-3</v>
      </c>
      <c r="BW16" s="27">
        <v>5.8572319644000004</v>
      </c>
      <c r="BX16" s="27">
        <v>4.8035034599999998E-2</v>
      </c>
      <c r="BY16" s="80" t="s">
        <v>136</v>
      </c>
      <c r="BZ16" s="80">
        <v>0</v>
      </c>
      <c r="CA16" s="80" t="s">
        <v>136</v>
      </c>
      <c r="CB16" s="80">
        <v>0</v>
      </c>
      <c r="CC16" s="27">
        <v>0.22958480049999999</v>
      </c>
      <c r="CD16" s="27">
        <v>5.8006919999999997E-4</v>
      </c>
      <c r="CE16" s="27">
        <v>0.73436516519999995</v>
      </c>
      <c r="CF16" s="27">
        <v>2.7023213999999999E-3</v>
      </c>
      <c r="CG16" s="80" t="s">
        <v>136</v>
      </c>
      <c r="CH16" s="80">
        <v>0</v>
      </c>
      <c r="CI16" s="80" t="s">
        <v>136</v>
      </c>
      <c r="CJ16" s="80">
        <v>0</v>
      </c>
      <c r="CK16" s="80" t="s">
        <v>136</v>
      </c>
      <c r="CL16" s="80">
        <v>0</v>
      </c>
      <c r="CM16" s="80" t="s">
        <v>136</v>
      </c>
      <c r="CN16" s="80">
        <v>0</v>
      </c>
      <c r="CO16" s="27">
        <v>4.7985770999999997E-3</v>
      </c>
      <c r="CP16" s="27">
        <v>6.7480799999999999E-5</v>
      </c>
      <c r="CQ16" s="27">
        <v>9.2604582000000001E-3</v>
      </c>
      <c r="CR16" s="27">
        <v>8.5951899999999999E-5</v>
      </c>
      <c r="CS16" s="27">
        <v>0.26842393050000002</v>
      </c>
      <c r="CT16" s="27">
        <v>3.7016528E-3</v>
      </c>
      <c r="CU16" s="27">
        <v>7.9604416344000004</v>
      </c>
      <c r="CV16" s="27">
        <v>0.1994261993</v>
      </c>
      <c r="CW16" s="93" t="s">
        <v>136</v>
      </c>
      <c r="CX16" s="80">
        <v>0</v>
      </c>
      <c r="CY16" s="80" t="s">
        <v>136</v>
      </c>
      <c r="CZ16" s="94">
        <v>0</v>
      </c>
      <c r="DA16" s="27">
        <v>9.0216575405999997</v>
      </c>
      <c r="DB16" s="27">
        <v>0.25218775119999998</v>
      </c>
      <c r="DC16" s="27">
        <v>14.447629693</v>
      </c>
      <c r="DD16" s="27">
        <v>0.72216468069999995</v>
      </c>
      <c r="DE16" s="27">
        <v>2.9584451487000001</v>
      </c>
      <c r="DF16" s="27">
        <v>0.31189672480000002</v>
      </c>
      <c r="DG16" s="27">
        <v>53.695435850999999</v>
      </c>
      <c r="DH16" s="27">
        <v>0.63835374860000005</v>
      </c>
      <c r="DI16" s="95">
        <v>5.011E-5</v>
      </c>
      <c r="DJ16" s="96">
        <v>7.1647899999999995E-5</v>
      </c>
      <c r="DK16" s="96">
        <v>7.8859700000000007E-5</v>
      </c>
      <c r="DL16" s="96">
        <v>7.8859700000000007E-5</v>
      </c>
      <c r="DM16" s="96">
        <v>7.8859700000000007E-5</v>
      </c>
      <c r="DN16" s="96">
        <v>7.8859700000000007E-5</v>
      </c>
      <c r="DO16" s="96">
        <v>7.8859700000000007E-5</v>
      </c>
      <c r="DP16" s="96">
        <v>7.8859700000000007E-5</v>
      </c>
      <c r="DQ16" s="96">
        <v>7.8859700000000007E-5</v>
      </c>
      <c r="DR16" s="97">
        <v>7.8859700000000007E-5</v>
      </c>
      <c r="DS16" s="93">
        <v>31.464537166</v>
      </c>
      <c r="DT16" s="80">
        <v>0.22757349160000001</v>
      </c>
      <c r="DU16" s="80">
        <v>9.8051594111</v>
      </c>
      <c r="DV16" s="80">
        <v>7.6135840299999993E-2</v>
      </c>
      <c r="DW16" s="80">
        <v>2.7917042097000002</v>
      </c>
      <c r="DX16" s="80">
        <v>2.3396585500000001E-2</v>
      </c>
      <c r="DY16" s="80">
        <v>0.73250541020000004</v>
      </c>
      <c r="DZ16" s="80">
        <v>6.8749142000000003E-3</v>
      </c>
      <c r="EA16" s="80">
        <v>0.19862189960000001</v>
      </c>
      <c r="EB16" s="80">
        <v>2.2585496000000001E-3</v>
      </c>
      <c r="EC16" s="80">
        <v>5.96506308E-2</v>
      </c>
      <c r="ED16" s="80">
        <v>9.1473940000000005E-4</v>
      </c>
      <c r="EE16" s="80">
        <v>2.3332257799999999E-2</v>
      </c>
      <c r="EF16" s="80">
        <v>5.0328109999999999E-4</v>
      </c>
      <c r="EG16" s="80">
        <v>1.3837349800000001E-2</v>
      </c>
      <c r="EH16" s="80">
        <v>3.5259689999999998E-4</v>
      </c>
      <c r="EI16" s="80">
        <v>9.2806772999999999E-3</v>
      </c>
      <c r="EJ16" s="80">
        <v>2.5699510000000002E-4</v>
      </c>
      <c r="EK16" s="80">
        <v>6.1352658000000003E-3</v>
      </c>
      <c r="EL16" s="94">
        <v>1.8067659999999999E-4</v>
      </c>
    </row>
    <row r="17" spans="1:142" x14ac:dyDescent="0.2">
      <c r="A17" s="79">
        <v>1200</v>
      </c>
      <c r="B17" s="27">
        <v>24142</v>
      </c>
      <c r="C17" s="79">
        <v>896.76283839999996</v>
      </c>
      <c r="D17" s="27">
        <v>1149.6736409</v>
      </c>
      <c r="E17" s="27">
        <v>17.015154340999999</v>
      </c>
      <c r="F17" s="27">
        <v>3.32992519E-2</v>
      </c>
      <c r="G17" s="79">
        <v>3.3666930400000003E-2</v>
      </c>
      <c r="H17" s="27">
        <v>6.5769299999999994E-5</v>
      </c>
      <c r="I17" s="27">
        <v>97.374794515999994</v>
      </c>
      <c r="J17" s="27">
        <v>0.64217740459999995</v>
      </c>
      <c r="K17" s="27">
        <v>38.526794045000003</v>
      </c>
      <c r="L17" s="27">
        <v>0.23982341930000001</v>
      </c>
      <c r="M17" s="27">
        <v>6.8147345670000004</v>
      </c>
      <c r="N17" s="27">
        <v>5.6938427700000002E-2</v>
      </c>
      <c r="O17" s="80" t="s">
        <v>136</v>
      </c>
      <c r="P17" s="80">
        <v>0</v>
      </c>
      <c r="Q17" s="27">
        <v>1.3402719928</v>
      </c>
      <c r="R17" s="27">
        <v>4.0542401000000002E-3</v>
      </c>
      <c r="S17" s="80" t="s">
        <v>136</v>
      </c>
      <c r="T17" s="80">
        <v>0</v>
      </c>
      <c r="U17" s="80" t="s">
        <v>136</v>
      </c>
      <c r="V17" s="80">
        <v>0</v>
      </c>
      <c r="W17" s="27">
        <v>1.5732490200000001E-2</v>
      </c>
      <c r="X17" s="27">
        <v>1.6486880000000001E-4</v>
      </c>
      <c r="Y17" s="27">
        <v>9.4232814803</v>
      </c>
      <c r="Z17" s="27">
        <v>0.23213329199999999</v>
      </c>
      <c r="AA17" s="80" t="s">
        <v>136</v>
      </c>
      <c r="AB17" s="80">
        <v>0</v>
      </c>
      <c r="AC17" s="27">
        <v>0</v>
      </c>
      <c r="AD17" s="27">
        <v>0</v>
      </c>
      <c r="AE17" s="80" t="s">
        <v>136</v>
      </c>
      <c r="AF17" s="80">
        <v>0</v>
      </c>
      <c r="AG17" s="80" t="s">
        <v>136</v>
      </c>
      <c r="AH17" s="80">
        <v>0</v>
      </c>
      <c r="AI17" s="27">
        <f t="shared" si="0"/>
        <v>0</v>
      </c>
      <c r="AJ17" s="27">
        <f t="shared" si="1"/>
        <v>0</v>
      </c>
      <c r="AK17" s="27">
        <v>53.397332487</v>
      </c>
      <c r="AL17" s="27">
        <v>0.87115209999999998</v>
      </c>
      <c r="AM17" s="80" t="s">
        <v>136</v>
      </c>
      <c r="AN17" s="80">
        <v>0</v>
      </c>
      <c r="AO17" s="80" t="s">
        <v>136</v>
      </c>
      <c r="AP17" s="80">
        <v>0</v>
      </c>
      <c r="AQ17" s="80" t="s">
        <v>136</v>
      </c>
      <c r="AR17" s="80">
        <v>0</v>
      </c>
      <c r="AS17" s="27">
        <v>25.880694611999999</v>
      </c>
      <c r="AT17" s="27">
        <v>1.0538951288</v>
      </c>
      <c r="AU17" s="27">
        <v>15.989139062</v>
      </c>
      <c r="AV17" s="27">
        <v>0.18278774480000001</v>
      </c>
      <c r="AW17" s="27">
        <v>7.3675694257000002</v>
      </c>
      <c r="AX17" s="27">
        <v>0.1108299547</v>
      </c>
      <c r="AY17" s="27">
        <v>2.8112526383000001</v>
      </c>
      <c r="AZ17" s="27">
        <v>3.1266169500000003E-2</v>
      </c>
      <c r="BA17" s="80">
        <f t="shared" si="2"/>
        <v>5.8103169979999993</v>
      </c>
      <c r="BB17" s="80">
        <f t="shared" si="3"/>
        <v>4.0691620600000006E-2</v>
      </c>
      <c r="BC17" s="27">
        <v>0</v>
      </c>
      <c r="BD17" s="80">
        <v>0</v>
      </c>
      <c r="BE17" s="27">
        <v>61.610078645999998</v>
      </c>
      <c r="BF17" s="27">
        <v>1.0243851636000001</v>
      </c>
      <c r="BG17" s="27">
        <v>1.187511E-4</v>
      </c>
      <c r="BH17" s="80">
        <v>0</v>
      </c>
      <c r="BI17" s="27">
        <v>49.721554728999998</v>
      </c>
      <c r="BJ17" s="27">
        <v>1.9847555831000001</v>
      </c>
      <c r="BK17" s="27">
        <v>29.440863455999999</v>
      </c>
      <c r="BL17" s="27">
        <v>0.22129741829999999</v>
      </c>
      <c r="BM17" s="27">
        <v>5.2982373780999996</v>
      </c>
      <c r="BN17" s="27">
        <v>3.3669466199999998E-2</v>
      </c>
      <c r="BO17" s="27">
        <v>2.8213489599999999E-2</v>
      </c>
      <c r="BP17" s="27">
        <v>3.2891369999999998E-4</v>
      </c>
      <c r="BQ17" s="27">
        <v>0</v>
      </c>
      <c r="BR17" s="92">
        <v>0</v>
      </c>
      <c r="BS17" s="80" t="s">
        <v>136</v>
      </c>
      <c r="BT17" s="80">
        <v>0</v>
      </c>
      <c r="BU17" s="27">
        <v>0.18235847569999999</v>
      </c>
      <c r="BV17" s="27">
        <v>2.7976858000000001E-3</v>
      </c>
      <c r="BW17" s="27">
        <v>6.6323760914000003</v>
      </c>
      <c r="BX17" s="27">
        <v>5.4140741999999999E-2</v>
      </c>
      <c r="BY17" s="80" t="s">
        <v>136</v>
      </c>
      <c r="BZ17" s="80">
        <v>0</v>
      </c>
      <c r="CA17" s="80" t="s">
        <v>136</v>
      </c>
      <c r="CB17" s="80">
        <v>0</v>
      </c>
      <c r="CC17" s="27">
        <v>0.31868130500000003</v>
      </c>
      <c r="CD17" s="27">
        <v>7.3160130000000001E-4</v>
      </c>
      <c r="CE17" s="27">
        <v>1.0215906878000001</v>
      </c>
      <c r="CF17" s="27">
        <v>3.3226388E-3</v>
      </c>
      <c r="CG17" s="80" t="s">
        <v>136</v>
      </c>
      <c r="CH17" s="80">
        <v>0</v>
      </c>
      <c r="CI17" s="80" t="s">
        <v>136</v>
      </c>
      <c r="CJ17" s="80">
        <v>0</v>
      </c>
      <c r="CK17" s="80" t="s">
        <v>136</v>
      </c>
      <c r="CL17" s="80">
        <v>0</v>
      </c>
      <c r="CM17" s="80" t="s">
        <v>136</v>
      </c>
      <c r="CN17" s="80">
        <v>0</v>
      </c>
      <c r="CO17" s="27">
        <v>4.5413963000000002E-3</v>
      </c>
      <c r="CP17" s="27">
        <v>6.3906100000000001E-5</v>
      </c>
      <c r="CQ17" s="27">
        <v>1.1191094E-2</v>
      </c>
      <c r="CR17" s="27">
        <v>1.0096269999999999E-4</v>
      </c>
      <c r="CS17" s="27">
        <v>0.32373989949999998</v>
      </c>
      <c r="CT17" s="27">
        <v>4.2631528000000004E-3</v>
      </c>
      <c r="CU17" s="27">
        <v>9.0995415808000004</v>
      </c>
      <c r="CV17" s="27">
        <v>0.22787013919999999</v>
      </c>
      <c r="CW17" s="93" t="s">
        <v>136</v>
      </c>
      <c r="CX17" s="80">
        <v>0</v>
      </c>
      <c r="CY17" s="80" t="s">
        <v>136</v>
      </c>
      <c r="CZ17" s="94">
        <v>0</v>
      </c>
      <c r="DA17" s="27">
        <v>10.153736359</v>
      </c>
      <c r="DB17" s="27">
        <v>0.27858702029999999</v>
      </c>
      <c r="DC17" s="27">
        <v>15.726958252999999</v>
      </c>
      <c r="DD17" s="27">
        <v>0.77530810849999998</v>
      </c>
      <c r="DE17" s="27">
        <v>3.3279047785000002</v>
      </c>
      <c r="DF17" s="27">
        <v>0.3411203941</v>
      </c>
      <c r="DG17" s="27">
        <v>58.282173866999997</v>
      </c>
      <c r="DH17" s="27">
        <v>0.68326476960000004</v>
      </c>
      <c r="DI17" s="95">
        <v>6.1693799999999995E-5</v>
      </c>
      <c r="DJ17" s="96">
        <v>9.42219E-5</v>
      </c>
      <c r="DK17" s="96">
        <v>1.070485E-4</v>
      </c>
      <c r="DL17" s="96">
        <v>1.0938900000000001E-4</v>
      </c>
      <c r="DM17" s="96">
        <v>1.1172949999999999E-4</v>
      </c>
      <c r="DN17" s="96">
        <v>1.1407E-4</v>
      </c>
      <c r="DO17" s="96">
        <v>1.1641060000000001E-4</v>
      </c>
      <c r="DP17" s="96">
        <v>1.187511E-4</v>
      </c>
      <c r="DQ17" s="96">
        <v>1.187511E-4</v>
      </c>
      <c r="DR17" s="97">
        <v>1.187511E-4</v>
      </c>
      <c r="DS17" s="93">
        <v>34.852810161000001</v>
      </c>
      <c r="DT17" s="80">
        <v>0.25066803459999998</v>
      </c>
      <c r="DU17" s="80">
        <v>11.503124355000001</v>
      </c>
      <c r="DV17" s="80">
        <v>8.8385443699999997E-2</v>
      </c>
      <c r="DW17" s="80">
        <v>3.5227217300999998</v>
      </c>
      <c r="DX17" s="80">
        <v>2.8997288E-2</v>
      </c>
      <c r="DY17" s="80">
        <v>1.0094395654999999</v>
      </c>
      <c r="DZ17" s="80">
        <v>9.1791322000000005E-3</v>
      </c>
      <c r="EA17" s="80">
        <v>0.29411800970000002</v>
      </c>
      <c r="EB17" s="80">
        <v>3.1598493999999999E-3</v>
      </c>
      <c r="EC17" s="80">
        <v>8.7708837100000006E-2</v>
      </c>
      <c r="ED17" s="80">
        <v>1.2443719000000001E-3</v>
      </c>
      <c r="EE17" s="80">
        <v>3.2606013199999999E-2</v>
      </c>
      <c r="EF17" s="80">
        <v>6.5703569999999995E-4</v>
      </c>
      <c r="EG17" s="80">
        <v>1.8278260399999999E-2</v>
      </c>
      <c r="EH17" s="80">
        <v>4.5379140000000002E-4</v>
      </c>
      <c r="EI17" s="80">
        <v>1.17626229E-2</v>
      </c>
      <c r="EJ17" s="80">
        <v>3.3155659999999998E-4</v>
      </c>
      <c r="EK17" s="80">
        <v>7.6542390000000002E-3</v>
      </c>
      <c r="EL17" s="94">
        <v>2.392595E-4</v>
      </c>
    </row>
    <row r="18" spans="1:142" x14ac:dyDescent="0.2">
      <c r="A18" s="79">
        <v>1300</v>
      </c>
      <c r="B18" s="27">
        <v>22814</v>
      </c>
      <c r="C18" s="79">
        <v>958.41725111000005</v>
      </c>
      <c r="D18" s="27">
        <v>1249.6256057999999</v>
      </c>
      <c r="E18" s="27">
        <v>19.407159429</v>
      </c>
      <c r="F18" s="27">
        <v>3.6623368000000003E-2</v>
      </c>
      <c r="G18" s="79">
        <v>4.27364218E-2</v>
      </c>
      <c r="H18" s="27">
        <v>7.5229799999999996E-5</v>
      </c>
      <c r="I18" s="27">
        <v>102.42244771</v>
      </c>
      <c r="J18" s="27">
        <v>0.67481976249999998</v>
      </c>
      <c r="K18" s="27">
        <v>41.350312836000001</v>
      </c>
      <c r="L18" s="27">
        <v>0.25661702040000001</v>
      </c>
      <c r="M18" s="27">
        <v>7.5685375070000003</v>
      </c>
      <c r="N18" s="27">
        <v>6.3007639000000004E-2</v>
      </c>
      <c r="O18" s="80" t="s">
        <v>136</v>
      </c>
      <c r="P18" s="80">
        <v>0</v>
      </c>
      <c r="Q18" s="27">
        <v>1.7546411324</v>
      </c>
      <c r="R18" s="27">
        <v>4.9243228999999999E-3</v>
      </c>
      <c r="S18" s="80" t="s">
        <v>136</v>
      </c>
      <c r="T18" s="80">
        <v>0</v>
      </c>
      <c r="U18" s="80" t="s">
        <v>136</v>
      </c>
      <c r="V18" s="80">
        <v>0</v>
      </c>
      <c r="W18" s="27">
        <v>1.6718425200000001E-2</v>
      </c>
      <c r="X18" s="27">
        <v>1.7478130000000001E-4</v>
      </c>
      <c r="Y18" s="27">
        <v>10.586600882999999</v>
      </c>
      <c r="Z18" s="27">
        <v>0.26032467529999997</v>
      </c>
      <c r="AA18" s="80" t="s">
        <v>136</v>
      </c>
      <c r="AB18" s="80">
        <v>0</v>
      </c>
      <c r="AC18" s="27">
        <v>0</v>
      </c>
      <c r="AD18" s="27">
        <v>0</v>
      </c>
      <c r="AE18" s="80" t="s">
        <v>136</v>
      </c>
      <c r="AF18" s="80">
        <v>0</v>
      </c>
      <c r="AG18" s="80" t="s">
        <v>136</v>
      </c>
      <c r="AH18" s="80">
        <v>0</v>
      </c>
      <c r="AI18" s="27">
        <f t="shared" si="0"/>
        <v>0</v>
      </c>
      <c r="AJ18" s="27">
        <f t="shared" si="1"/>
        <v>0</v>
      </c>
      <c r="AK18" s="27">
        <v>57.270985027000002</v>
      </c>
      <c r="AL18" s="27">
        <v>0.92822256579999995</v>
      </c>
      <c r="AM18" s="80" t="s">
        <v>136</v>
      </c>
      <c r="AN18" s="80">
        <v>0</v>
      </c>
      <c r="AO18" s="80" t="s">
        <v>136</v>
      </c>
      <c r="AP18" s="80">
        <v>0</v>
      </c>
      <c r="AQ18" s="80" t="s">
        <v>136</v>
      </c>
      <c r="AR18" s="80">
        <v>0</v>
      </c>
      <c r="AS18" s="27">
        <v>28.303128832999999</v>
      </c>
      <c r="AT18" s="27">
        <v>1.1296220960000001</v>
      </c>
      <c r="AU18" s="27">
        <v>17.943963549999999</v>
      </c>
      <c r="AV18" s="27">
        <v>0.19987274050000001</v>
      </c>
      <c r="AW18" s="27">
        <v>8.2443023907999997</v>
      </c>
      <c r="AX18" s="27">
        <v>0.12130792830000001</v>
      </c>
      <c r="AY18" s="27">
        <v>3.0842599473000001</v>
      </c>
      <c r="AZ18" s="27">
        <v>3.3473726299999999E-2</v>
      </c>
      <c r="BA18" s="80">
        <f t="shared" si="2"/>
        <v>6.6154012119000001</v>
      </c>
      <c r="BB18" s="80">
        <f t="shared" si="3"/>
        <v>4.5091085899999994E-2</v>
      </c>
      <c r="BC18" s="27">
        <v>0</v>
      </c>
      <c r="BD18" s="80">
        <v>0</v>
      </c>
      <c r="BE18" s="27">
        <v>66.454450531000006</v>
      </c>
      <c r="BF18" s="27">
        <v>1.0955606903999999</v>
      </c>
      <c r="BG18" s="27">
        <v>1.3761019999999999E-4</v>
      </c>
      <c r="BH18" s="80">
        <v>0</v>
      </c>
      <c r="BI18" s="27">
        <v>53.637296606</v>
      </c>
      <c r="BJ18" s="27">
        <v>2.1056867028999999</v>
      </c>
      <c r="BK18" s="27">
        <v>34.227884555999999</v>
      </c>
      <c r="BL18" s="27">
        <v>0.2557720503</v>
      </c>
      <c r="BM18" s="27">
        <v>6.0521784097999998</v>
      </c>
      <c r="BN18" s="27">
        <v>3.7248913799999998E-2</v>
      </c>
      <c r="BO18" s="27">
        <v>3.2942269900000001E-2</v>
      </c>
      <c r="BP18" s="27">
        <v>3.7914079999999998E-4</v>
      </c>
      <c r="BQ18" s="27">
        <v>0</v>
      </c>
      <c r="BR18" s="92">
        <v>0</v>
      </c>
      <c r="BS18" s="80" t="s">
        <v>136</v>
      </c>
      <c r="BT18" s="80">
        <v>0</v>
      </c>
      <c r="BU18" s="27">
        <v>0.21142446740000001</v>
      </c>
      <c r="BV18" s="27">
        <v>3.2392249000000001E-3</v>
      </c>
      <c r="BW18" s="27">
        <v>7.3571130395999997</v>
      </c>
      <c r="BX18" s="27">
        <v>5.97684141E-2</v>
      </c>
      <c r="BY18" s="80" t="s">
        <v>136</v>
      </c>
      <c r="BZ18" s="80">
        <v>0</v>
      </c>
      <c r="CA18" s="80" t="s">
        <v>136</v>
      </c>
      <c r="CB18" s="80">
        <v>0</v>
      </c>
      <c r="CC18" s="27">
        <v>0.4649828063</v>
      </c>
      <c r="CD18" s="27">
        <v>9.6976509999999996E-4</v>
      </c>
      <c r="CE18" s="27">
        <v>1.2896583261000001</v>
      </c>
      <c r="CF18" s="27">
        <v>3.9545578000000003E-3</v>
      </c>
      <c r="CG18" s="80" t="s">
        <v>136</v>
      </c>
      <c r="CH18" s="80">
        <v>0</v>
      </c>
      <c r="CI18" s="80" t="s">
        <v>136</v>
      </c>
      <c r="CJ18" s="80">
        <v>0</v>
      </c>
      <c r="CK18" s="80" t="s">
        <v>136</v>
      </c>
      <c r="CL18" s="80">
        <v>0</v>
      </c>
      <c r="CM18" s="80" t="s">
        <v>136</v>
      </c>
      <c r="CN18" s="80">
        <v>0</v>
      </c>
      <c r="CO18" s="27">
        <v>5.0953936000000003E-3</v>
      </c>
      <c r="CP18" s="27">
        <v>6.98823E-5</v>
      </c>
      <c r="CQ18" s="27">
        <v>1.16230316E-2</v>
      </c>
      <c r="CR18" s="27">
        <v>1.04899E-4</v>
      </c>
      <c r="CS18" s="27">
        <v>0.38752309039999999</v>
      </c>
      <c r="CT18" s="27">
        <v>4.9603924000000002E-3</v>
      </c>
      <c r="CU18" s="27">
        <v>10.199077793000001</v>
      </c>
      <c r="CV18" s="27">
        <v>0.25536428290000002</v>
      </c>
      <c r="CW18" s="93" t="s">
        <v>136</v>
      </c>
      <c r="CX18" s="80">
        <v>0</v>
      </c>
      <c r="CY18" s="80" t="s">
        <v>136</v>
      </c>
      <c r="CZ18" s="94">
        <v>0</v>
      </c>
      <c r="DA18" s="27">
        <v>11.285331027</v>
      </c>
      <c r="DB18" s="27">
        <v>0.30268011960000002</v>
      </c>
      <c r="DC18" s="27">
        <v>17.017797806000001</v>
      </c>
      <c r="DD18" s="27">
        <v>0.82694197629999999</v>
      </c>
      <c r="DE18" s="27">
        <v>3.7188861076999999</v>
      </c>
      <c r="DF18" s="27">
        <v>0.36889296199999999</v>
      </c>
      <c r="DG18" s="27">
        <v>62.735564424000003</v>
      </c>
      <c r="DH18" s="27">
        <v>0.72666772840000005</v>
      </c>
      <c r="DI18" s="95">
        <v>7.1320699999999996E-5</v>
      </c>
      <c r="DJ18" s="96">
        <v>1.117615E-4</v>
      </c>
      <c r="DK18" s="96">
        <v>1.2624779999999999E-4</v>
      </c>
      <c r="DL18" s="96">
        <v>1.2852029999999999E-4</v>
      </c>
      <c r="DM18" s="96">
        <v>1.3079270000000001E-4</v>
      </c>
      <c r="DN18" s="96">
        <v>1.3306519999999999E-4</v>
      </c>
      <c r="DO18" s="96">
        <v>1.3533769999999999E-4</v>
      </c>
      <c r="DP18" s="96">
        <v>1.3761019999999999E-4</v>
      </c>
      <c r="DQ18" s="96">
        <v>1.3761019999999999E-4</v>
      </c>
      <c r="DR18" s="97">
        <v>1.3761019999999999E-4</v>
      </c>
      <c r="DS18" s="93">
        <v>38.007297616000002</v>
      </c>
      <c r="DT18" s="80">
        <v>0.27220892540000002</v>
      </c>
      <c r="DU18" s="80">
        <v>13.117988137999999</v>
      </c>
      <c r="DV18" s="80">
        <v>0.1001032271</v>
      </c>
      <c r="DW18" s="80">
        <v>4.2668760971999999</v>
      </c>
      <c r="DX18" s="80">
        <v>3.4747649499999998E-2</v>
      </c>
      <c r="DY18" s="80">
        <v>1.3132038035</v>
      </c>
      <c r="DZ18" s="80">
        <v>1.17376544E-2</v>
      </c>
      <c r="EA18" s="80">
        <v>0.40644826579999999</v>
      </c>
      <c r="EB18" s="80">
        <v>4.2393999000000003E-3</v>
      </c>
      <c r="EC18" s="80">
        <v>0.1249910166</v>
      </c>
      <c r="ED18" s="80">
        <v>1.6999694000000001E-3</v>
      </c>
      <c r="EE18" s="80">
        <v>4.7038478299999999E-2</v>
      </c>
      <c r="EF18" s="80">
        <v>8.9980409999999996E-4</v>
      </c>
      <c r="EG18" s="80">
        <v>2.5693885900000001E-2</v>
      </c>
      <c r="EH18" s="80">
        <v>6.129369E-4</v>
      </c>
      <c r="EI18" s="80">
        <v>1.6601533700000001E-2</v>
      </c>
      <c r="EJ18" s="80">
        <v>4.4931449999999998E-4</v>
      </c>
      <c r="EK18" s="80">
        <v>1.1045580399999999E-2</v>
      </c>
      <c r="EL18" s="94">
        <v>3.2559389999999998E-4</v>
      </c>
    </row>
    <row r="19" spans="1:142" x14ac:dyDescent="0.2">
      <c r="A19" s="79">
        <v>1400</v>
      </c>
      <c r="B19" s="27">
        <v>21826</v>
      </c>
      <c r="C19" s="79">
        <v>1018.53029</v>
      </c>
      <c r="D19" s="27">
        <v>1349.9348284</v>
      </c>
      <c r="E19" s="27">
        <v>21.813202215</v>
      </c>
      <c r="F19" s="27">
        <v>3.97398396E-2</v>
      </c>
      <c r="G19" s="79">
        <v>6.11762748E-2</v>
      </c>
      <c r="H19" s="27">
        <v>9.3228799999999998E-5</v>
      </c>
      <c r="I19" s="27">
        <v>107.20596561000001</v>
      </c>
      <c r="J19" s="27">
        <v>0.70577366109999995</v>
      </c>
      <c r="K19" s="27">
        <v>44.048085843999999</v>
      </c>
      <c r="L19" s="27">
        <v>0.27290681280000001</v>
      </c>
      <c r="M19" s="27">
        <v>8.3812556549000004</v>
      </c>
      <c r="N19" s="27">
        <v>6.9363949499999994E-2</v>
      </c>
      <c r="O19" s="80" t="s">
        <v>136</v>
      </c>
      <c r="P19" s="80">
        <v>0</v>
      </c>
      <c r="Q19" s="27">
        <v>2.2573511348999999</v>
      </c>
      <c r="R19" s="27">
        <v>5.9228665999999999E-3</v>
      </c>
      <c r="S19" s="80" t="s">
        <v>136</v>
      </c>
      <c r="T19" s="80">
        <v>0</v>
      </c>
      <c r="U19" s="80" t="s">
        <v>136</v>
      </c>
      <c r="V19" s="80">
        <v>0</v>
      </c>
      <c r="W19" s="27">
        <v>2.7508360999999999E-2</v>
      </c>
      <c r="X19" s="27">
        <v>3.2874059999999999E-4</v>
      </c>
      <c r="Y19" s="27">
        <v>11.705704633</v>
      </c>
      <c r="Z19" s="27">
        <v>0.28661755420000001</v>
      </c>
      <c r="AA19" s="80" t="s">
        <v>136</v>
      </c>
      <c r="AB19" s="80">
        <v>0</v>
      </c>
      <c r="AC19" s="27">
        <v>0</v>
      </c>
      <c r="AD19" s="27">
        <v>0</v>
      </c>
      <c r="AE19" s="80" t="s">
        <v>136</v>
      </c>
      <c r="AF19" s="80">
        <v>0</v>
      </c>
      <c r="AG19" s="80" t="s">
        <v>136</v>
      </c>
      <c r="AH19" s="80">
        <v>0</v>
      </c>
      <c r="AI19" s="27">
        <f t="shared" si="0"/>
        <v>0</v>
      </c>
      <c r="AJ19" s="27">
        <f t="shared" si="1"/>
        <v>0</v>
      </c>
      <c r="AK19" s="27">
        <v>60.927428175999999</v>
      </c>
      <c r="AL19" s="27">
        <v>0.98079493279999996</v>
      </c>
      <c r="AM19" s="80" t="s">
        <v>136</v>
      </c>
      <c r="AN19" s="80">
        <v>0</v>
      </c>
      <c r="AO19" s="80" t="s">
        <v>136</v>
      </c>
      <c r="AP19" s="80">
        <v>0</v>
      </c>
      <c r="AQ19" s="80" t="s">
        <v>136</v>
      </c>
      <c r="AR19" s="80">
        <v>0</v>
      </c>
      <c r="AS19" s="27">
        <v>30.632263196</v>
      </c>
      <c r="AT19" s="27">
        <v>1.2015028129000001</v>
      </c>
      <c r="AU19" s="27">
        <v>19.809306151000001</v>
      </c>
      <c r="AV19" s="27">
        <v>0.21591314950000001</v>
      </c>
      <c r="AW19" s="27">
        <v>9.0672253986999998</v>
      </c>
      <c r="AX19" s="27">
        <v>0.13100564519999999</v>
      </c>
      <c r="AY19" s="27">
        <v>3.3390334835000002</v>
      </c>
      <c r="AZ19" s="27">
        <v>3.5656811199999999E-2</v>
      </c>
      <c r="BA19" s="80">
        <f t="shared" si="2"/>
        <v>7.4030472688000017</v>
      </c>
      <c r="BB19" s="80">
        <f t="shared" si="3"/>
        <v>4.925069310000002E-2</v>
      </c>
      <c r="BC19" s="27">
        <v>0</v>
      </c>
      <c r="BD19" s="80">
        <v>0</v>
      </c>
      <c r="BE19" s="27">
        <v>71.332186484000005</v>
      </c>
      <c r="BF19" s="27">
        <v>1.1642969469</v>
      </c>
      <c r="BG19" s="27">
        <v>1.7409890000000001E-4</v>
      </c>
      <c r="BH19" s="80">
        <v>0</v>
      </c>
      <c r="BI19" s="27">
        <v>57.496916564999999</v>
      </c>
      <c r="BJ19" s="27">
        <v>2.2216085901999998</v>
      </c>
      <c r="BK19" s="27">
        <v>39.326114173999997</v>
      </c>
      <c r="BL19" s="27">
        <v>0.2926085611</v>
      </c>
      <c r="BM19" s="27">
        <v>6.8353117940999999</v>
      </c>
      <c r="BN19" s="27">
        <v>4.1133713600000003E-2</v>
      </c>
      <c r="BO19" s="27">
        <v>3.8183179999999997E-2</v>
      </c>
      <c r="BP19" s="27">
        <v>4.2967800000000002E-4</v>
      </c>
      <c r="BQ19" s="27">
        <v>0</v>
      </c>
      <c r="BR19" s="92">
        <v>0</v>
      </c>
      <c r="BS19" s="80" t="s">
        <v>136</v>
      </c>
      <c r="BT19" s="80">
        <v>0</v>
      </c>
      <c r="BU19" s="27">
        <v>0.2356792285</v>
      </c>
      <c r="BV19" s="27">
        <v>3.5757152999999998E-3</v>
      </c>
      <c r="BW19" s="27">
        <v>8.1455764263999999</v>
      </c>
      <c r="BX19" s="27">
        <v>6.5788234200000004E-2</v>
      </c>
      <c r="BY19" s="80" t="s">
        <v>136</v>
      </c>
      <c r="BZ19" s="80">
        <v>0</v>
      </c>
      <c r="CA19" s="80" t="s">
        <v>136</v>
      </c>
      <c r="CB19" s="80">
        <v>0</v>
      </c>
      <c r="CC19" s="27">
        <v>0.6422270081</v>
      </c>
      <c r="CD19" s="27">
        <v>1.2220085000000001E-3</v>
      </c>
      <c r="CE19" s="27">
        <v>1.6151241268000001</v>
      </c>
      <c r="CF19" s="27">
        <v>4.7008581999999997E-3</v>
      </c>
      <c r="CG19" s="80" t="s">
        <v>136</v>
      </c>
      <c r="CH19" s="80">
        <v>0</v>
      </c>
      <c r="CI19" s="80" t="s">
        <v>136</v>
      </c>
      <c r="CJ19" s="80">
        <v>0</v>
      </c>
      <c r="CK19" s="80" t="s">
        <v>136</v>
      </c>
      <c r="CL19" s="80">
        <v>0</v>
      </c>
      <c r="CM19" s="80" t="s">
        <v>136</v>
      </c>
      <c r="CN19" s="80">
        <v>0</v>
      </c>
      <c r="CO19" s="27">
        <v>9.2660904999999991E-3</v>
      </c>
      <c r="CP19" s="27">
        <v>1.6312569999999999E-4</v>
      </c>
      <c r="CQ19" s="27">
        <v>1.82422704E-2</v>
      </c>
      <c r="CR19" s="27">
        <v>1.656149E-4</v>
      </c>
      <c r="CS19" s="27">
        <v>0.43849780040000003</v>
      </c>
      <c r="CT19" s="27">
        <v>5.6202418999999997E-3</v>
      </c>
      <c r="CU19" s="27">
        <v>11.267206831999999</v>
      </c>
      <c r="CV19" s="27">
        <v>0.28099731230000002</v>
      </c>
      <c r="CW19" s="93" t="s">
        <v>136</v>
      </c>
      <c r="CX19" s="80">
        <v>0</v>
      </c>
      <c r="CY19" s="80" t="s">
        <v>136</v>
      </c>
      <c r="CZ19" s="94">
        <v>0</v>
      </c>
      <c r="DA19" s="27">
        <v>12.383295088000001</v>
      </c>
      <c r="DB19" s="27">
        <v>0.32631930380000002</v>
      </c>
      <c r="DC19" s="27">
        <v>18.248968108</v>
      </c>
      <c r="DD19" s="27">
        <v>0.87518350909999998</v>
      </c>
      <c r="DE19" s="27">
        <v>4.0714998308999997</v>
      </c>
      <c r="DF19" s="27">
        <v>0.39436539250000002</v>
      </c>
      <c r="DG19" s="27">
        <v>67.260686652999993</v>
      </c>
      <c r="DH19" s="27">
        <v>0.76993155449999995</v>
      </c>
      <c r="DI19" s="95">
        <v>8.9465300000000006E-5</v>
      </c>
      <c r="DJ19" s="96">
        <v>1.423788E-4</v>
      </c>
      <c r="DK19" s="96">
        <v>1.6213990000000001E-4</v>
      </c>
      <c r="DL19" s="96">
        <v>1.6525289999999999E-4</v>
      </c>
      <c r="DM19" s="96">
        <v>1.6746440000000001E-4</v>
      </c>
      <c r="DN19" s="96">
        <v>1.696759E-4</v>
      </c>
      <c r="DO19" s="96">
        <v>1.7188739999999999E-4</v>
      </c>
      <c r="DP19" s="96">
        <v>1.7409890000000001E-4</v>
      </c>
      <c r="DQ19" s="96">
        <v>1.7409890000000001E-4</v>
      </c>
      <c r="DR19" s="97">
        <v>1.7409890000000001E-4</v>
      </c>
      <c r="DS19" s="93">
        <v>41.053137141999997</v>
      </c>
      <c r="DT19" s="80">
        <v>0.29295714010000001</v>
      </c>
      <c r="DU19" s="80">
        <v>14.748375487000001</v>
      </c>
      <c r="DV19" s="80">
        <v>0.1119239538</v>
      </c>
      <c r="DW19" s="80">
        <v>5.0455524257000004</v>
      </c>
      <c r="DX19" s="80">
        <v>4.07969673E-2</v>
      </c>
      <c r="DY19" s="80">
        <v>1.6544516331000001</v>
      </c>
      <c r="DZ19" s="80">
        <v>1.4616333E-2</v>
      </c>
      <c r="EA19" s="80">
        <v>0.54674551540000005</v>
      </c>
      <c r="EB19" s="80">
        <v>5.5709380999999997E-3</v>
      </c>
      <c r="EC19" s="80">
        <v>0.18348587199999999</v>
      </c>
      <c r="ED19" s="80">
        <v>2.3661614E-3</v>
      </c>
      <c r="EE19" s="80">
        <v>7.2912711899999996E-2</v>
      </c>
      <c r="EF19" s="80">
        <v>1.2755257E-3</v>
      </c>
      <c r="EG19" s="80">
        <v>3.9848520599999999E-2</v>
      </c>
      <c r="EH19" s="80">
        <v>8.6756490000000001E-4</v>
      </c>
      <c r="EI19" s="80">
        <v>2.64059102E-2</v>
      </c>
      <c r="EJ19" s="80">
        <v>6.4554049999999996E-4</v>
      </c>
      <c r="EK19" s="80">
        <v>1.7381526299999998E-2</v>
      </c>
      <c r="EL19" s="94">
        <v>4.7147489999999997E-4</v>
      </c>
    </row>
    <row r="20" spans="1:142" x14ac:dyDescent="0.2">
      <c r="A20" s="79">
        <v>1500</v>
      </c>
      <c r="B20" s="27">
        <v>21167</v>
      </c>
      <c r="C20" s="79">
        <v>1077.2434983999999</v>
      </c>
      <c r="D20" s="27">
        <v>1449.7961092999999</v>
      </c>
      <c r="E20" s="27">
        <v>24.331407170999999</v>
      </c>
      <c r="F20" s="27">
        <v>4.2971615999999997E-2</v>
      </c>
      <c r="G20" s="79">
        <v>8.0047515E-2</v>
      </c>
      <c r="H20" s="27">
        <v>1.0901239999999999E-4</v>
      </c>
      <c r="I20" s="27">
        <v>111.69927629</v>
      </c>
      <c r="J20" s="27">
        <v>0.73499804420000003</v>
      </c>
      <c r="K20" s="27">
        <v>46.668032988</v>
      </c>
      <c r="L20" s="27">
        <v>0.28835374159999999</v>
      </c>
      <c r="M20" s="27">
        <v>9.1129065016999995</v>
      </c>
      <c r="N20" s="27">
        <v>7.5090697299999995E-2</v>
      </c>
      <c r="O20" s="80" t="s">
        <v>136</v>
      </c>
      <c r="P20" s="80">
        <v>0</v>
      </c>
      <c r="Q20" s="27">
        <v>2.8362725287999999</v>
      </c>
      <c r="R20" s="27">
        <v>7.051458E-3</v>
      </c>
      <c r="S20" s="80" t="s">
        <v>136</v>
      </c>
      <c r="T20" s="80">
        <v>0</v>
      </c>
      <c r="U20" s="80" t="s">
        <v>136</v>
      </c>
      <c r="V20" s="80">
        <v>0</v>
      </c>
      <c r="W20" s="27">
        <v>3.5826816999999997E-2</v>
      </c>
      <c r="X20" s="27">
        <v>3.899582E-4</v>
      </c>
      <c r="Y20" s="27">
        <v>12.917165793000001</v>
      </c>
      <c r="Z20" s="27">
        <v>0.31532241979999998</v>
      </c>
      <c r="AA20" s="80" t="s">
        <v>136</v>
      </c>
      <c r="AB20" s="80">
        <v>0</v>
      </c>
      <c r="AC20" s="27">
        <v>0</v>
      </c>
      <c r="AD20" s="27">
        <v>0</v>
      </c>
      <c r="AE20" s="80" t="s">
        <v>136</v>
      </c>
      <c r="AF20" s="80">
        <v>0</v>
      </c>
      <c r="AG20" s="80" t="s">
        <v>136</v>
      </c>
      <c r="AH20" s="80">
        <v>0</v>
      </c>
      <c r="AI20" s="27">
        <f t="shared" si="0"/>
        <v>0</v>
      </c>
      <c r="AJ20" s="27">
        <f t="shared" si="1"/>
        <v>0</v>
      </c>
      <c r="AK20" s="27">
        <v>64.501257897000002</v>
      </c>
      <c r="AL20" s="27">
        <v>1.0307179955000001</v>
      </c>
      <c r="AM20" s="80" t="s">
        <v>136</v>
      </c>
      <c r="AN20" s="80">
        <v>0</v>
      </c>
      <c r="AO20" s="80" t="s">
        <v>136</v>
      </c>
      <c r="AP20" s="80">
        <v>0</v>
      </c>
      <c r="AQ20" s="80" t="s">
        <v>136</v>
      </c>
      <c r="AR20" s="80">
        <v>0</v>
      </c>
      <c r="AS20" s="27">
        <v>32.800385810000002</v>
      </c>
      <c r="AT20" s="27">
        <v>1.2673349569000001</v>
      </c>
      <c r="AU20" s="27">
        <v>21.781613440000001</v>
      </c>
      <c r="AV20" s="27">
        <v>0.23251855199999999</v>
      </c>
      <c r="AW20" s="27">
        <v>9.9557481140000004</v>
      </c>
      <c r="AX20" s="27">
        <v>0.1412648561</v>
      </c>
      <c r="AY20" s="27">
        <v>3.5933291423</v>
      </c>
      <c r="AZ20" s="27">
        <v>3.7710595399999998E-2</v>
      </c>
      <c r="BA20" s="80">
        <f t="shared" si="2"/>
        <v>8.2325361837000006</v>
      </c>
      <c r="BB20" s="80">
        <f t="shared" si="3"/>
        <v>5.3543100499999996E-2</v>
      </c>
      <c r="BC20" s="27">
        <v>0</v>
      </c>
      <c r="BD20" s="80">
        <v>0</v>
      </c>
      <c r="BE20" s="27">
        <v>76.320368959000007</v>
      </c>
      <c r="BF20" s="27">
        <v>1.2338805968</v>
      </c>
      <c r="BG20" s="27">
        <v>2.00955E-4</v>
      </c>
      <c r="BH20" s="80">
        <v>0</v>
      </c>
      <c r="BI20" s="27">
        <v>61.278292540999999</v>
      </c>
      <c r="BJ20" s="27">
        <v>2.3339163652999999</v>
      </c>
      <c r="BK20" s="27">
        <v>44.837079760999998</v>
      </c>
      <c r="BL20" s="27">
        <v>0.33167686610000002</v>
      </c>
      <c r="BM20" s="27">
        <v>7.5612228149999998</v>
      </c>
      <c r="BN20" s="27">
        <v>4.4648814199999998E-2</v>
      </c>
      <c r="BO20" s="27">
        <v>4.3657057700000002E-2</v>
      </c>
      <c r="BP20" s="27">
        <v>4.9823149999999997E-4</v>
      </c>
      <c r="BQ20" s="27">
        <v>0</v>
      </c>
      <c r="BR20" s="92">
        <v>0</v>
      </c>
      <c r="BS20" s="80" t="s">
        <v>136</v>
      </c>
      <c r="BT20" s="80">
        <v>0</v>
      </c>
      <c r="BU20" s="27">
        <v>0.2520842761</v>
      </c>
      <c r="BV20" s="27">
        <v>3.8093481000000002E-3</v>
      </c>
      <c r="BW20" s="27">
        <v>8.8608222255999998</v>
      </c>
      <c r="BX20" s="27">
        <v>7.1281349199999997E-2</v>
      </c>
      <c r="BY20" s="80" t="s">
        <v>136</v>
      </c>
      <c r="BZ20" s="80">
        <v>0</v>
      </c>
      <c r="CA20" s="80" t="s">
        <v>136</v>
      </c>
      <c r="CB20" s="80">
        <v>0</v>
      </c>
      <c r="CC20" s="27">
        <v>0.8611849452</v>
      </c>
      <c r="CD20" s="27">
        <v>1.5179261E-3</v>
      </c>
      <c r="CE20" s="27">
        <v>1.9750875835999999</v>
      </c>
      <c r="CF20" s="27">
        <v>5.5335317999999998E-3</v>
      </c>
      <c r="CG20" s="80" t="s">
        <v>136</v>
      </c>
      <c r="CH20" s="80">
        <v>0</v>
      </c>
      <c r="CI20" s="80" t="s">
        <v>136</v>
      </c>
      <c r="CJ20" s="80">
        <v>0</v>
      </c>
      <c r="CK20" s="80" t="s">
        <v>136</v>
      </c>
      <c r="CL20" s="80">
        <v>0</v>
      </c>
      <c r="CM20" s="80" t="s">
        <v>136</v>
      </c>
      <c r="CN20" s="80">
        <v>0</v>
      </c>
      <c r="CO20" s="27">
        <v>1.06800153E-2</v>
      </c>
      <c r="CP20" s="27">
        <v>1.633099E-4</v>
      </c>
      <c r="CQ20" s="27">
        <v>2.5146801699999999E-2</v>
      </c>
      <c r="CR20" s="27">
        <v>2.266484E-4</v>
      </c>
      <c r="CS20" s="27">
        <v>0.51861693639999995</v>
      </c>
      <c r="CT20" s="27">
        <v>6.7211770000000001E-3</v>
      </c>
      <c r="CU20" s="27">
        <v>12.398548857</v>
      </c>
      <c r="CV20" s="27">
        <v>0.30860124280000001</v>
      </c>
      <c r="CW20" s="93" t="s">
        <v>136</v>
      </c>
      <c r="CX20" s="80">
        <v>0</v>
      </c>
      <c r="CY20" s="80" t="s">
        <v>136</v>
      </c>
      <c r="CZ20" s="94">
        <v>0</v>
      </c>
      <c r="DA20" s="27">
        <v>13.482534932</v>
      </c>
      <c r="DB20" s="27">
        <v>0.35032462959999999</v>
      </c>
      <c r="DC20" s="27">
        <v>19.317850878000002</v>
      </c>
      <c r="DD20" s="27">
        <v>0.91701032729999998</v>
      </c>
      <c r="DE20" s="27">
        <v>4.5156476331000004</v>
      </c>
      <c r="DF20" s="27">
        <v>0.42058698169999997</v>
      </c>
      <c r="DG20" s="27">
        <v>71.804721325000003</v>
      </c>
      <c r="DH20" s="27">
        <v>0.81329361499999997</v>
      </c>
      <c r="DI20" s="95">
        <v>1.053742E-4</v>
      </c>
      <c r="DJ20" s="96">
        <v>1.6945360000000001E-4</v>
      </c>
      <c r="DK20" s="96">
        <v>1.8929330000000001E-4</v>
      </c>
      <c r="DL20" s="96">
        <v>1.9231639999999999E-4</v>
      </c>
      <c r="DM20" s="96">
        <v>1.9447600000000001E-4</v>
      </c>
      <c r="DN20" s="96">
        <v>1.9663570000000001E-4</v>
      </c>
      <c r="DO20" s="96">
        <v>1.987953E-4</v>
      </c>
      <c r="DP20" s="96">
        <v>2.00955E-4</v>
      </c>
      <c r="DQ20" s="96">
        <v>2.00955E-4</v>
      </c>
      <c r="DR20" s="97">
        <v>2.00955E-4</v>
      </c>
      <c r="DS20" s="93">
        <v>43.973417666000003</v>
      </c>
      <c r="DT20" s="80">
        <v>0.31282841300000003</v>
      </c>
      <c r="DU20" s="80">
        <v>16.359811467</v>
      </c>
      <c r="DV20" s="80">
        <v>0.1233971767</v>
      </c>
      <c r="DW20" s="80">
        <v>5.8354343523000001</v>
      </c>
      <c r="DX20" s="80">
        <v>4.6712619599999998E-2</v>
      </c>
      <c r="DY20" s="80">
        <v>2.0097351463000002</v>
      </c>
      <c r="DZ20" s="80">
        <v>1.7446510200000001E-2</v>
      </c>
      <c r="EA20" s="80">
        <v>0.69356846920000004</v>
      </c>
      <c r="EB20" s="80">
        <v>6.8515675999999996E-3</v>
      </c>
      <c r="EC20" s="80">
        <v>0.2456630215</v>
      </c>
      <c r="ED20" s="80">
        <v>2.9811020999999998E-3</v>
      </c>
      <c r="EE20" s="80">
        <v>9.7565005299999993E-2</v>
      </c>
      <c r="EF20" s="80">
        <v>1.5738976999999999E-3</v>
      </c>
      <c r="EG20" s="80">
        <v>5.0215665200000002E-2</v>
      </c>
      <c r="EH20" s="80">
        <v>1.033225E-3</v>
      </c>
      <c r="EI20" s="80">
        <v>3.1616680500000001E-2</v>
      </c>
      <c r="EJ20" s="80">
        <v>7.5470520000000001E-4</v>
      </c>
      <c r="EK20" s="80">
        <v>2.0475862399999999E-2</v>
      </c>
      <c r="EL20" s="94">
        <v>5.5464610000000004E-4</v>
      </c>
    </row>
    <row r="21" spans="1:142" x14ac:dyDescent="0.2">
      <c r="A21" s="79">
        <v>1600</v>
      </c>
      <c r="B21" s="27">
        <v>20093</v>
      </c>
      <c r="C21" s="79">
        <v>1134.3901358999999</v>
      </c>
      <c r="D21" s="27">
        <v>1549.5649264000001</v>
      </c>
      <c r="E21" s="27">
        <v>26.689026621</v>
      </c>
      <c r="F21" s="27">
        <v>4.5854353700000003E-2</v>
      </c>
      <c r="G21" s="79">
        <v>0.11417454370000001</v>
      </c>
      <c r="H21" s="27">
        <v>1.3920640000000001E-4</v>
      </c>
      <c r="I21" s="27">
        <v>115.87055684000001</v>
      </c>
      <c r="J21" s="27">
        <v>0.76190647789999999</v>
      </c>
      <c r="K21" s="27">
        <v>49.254671838999997</v>
      </c>
      <c r="L21" s="27">
        <v>0.3039064165</v>
      </c>
      <c r="M21" s="27">
        <v>9.9145902109000001</v>
      </c>
      <c r="N21" s="27">
        <v>8.13318928E-2</v>
      </c>
      <c r="O21" s="80" t="s">
        <v>136</v>
      </c>
      <c r="P21" s="80">
        <v>0</v>
      </c>
      <c r="Q21" s="27">
        <v>3.3985305431000001</v>
      </c>
      <c r="R21" s="27">
        <v>8.1737109000000006E-3</v>
      </c>
      <c r="S21" s="80" t="s">
        <v>136</v>
      </c>
      <c r="T21" s="80">
        <v>0</v>
      </c>
      <c r="U21" s="80" t="s">
        <v>136</v>
      </c>
      <c r="V21" s="80">
        <v>0</v>
      </c>
      <c r="W21" s="27">
        <v>4.4565372700000001E-2</v>
      </c>
      <c r="X21" s="27">
        <v>4.623971E-4</v>
      </c>
      <c r="Y21" s="27">
        <v>14.206268569000001</v>
      </c>
      <c r="Z21" s="27">
        <v>0.3446312191</v>
      </c>
      <c r="AA21" s="80" t="s">
        <v>136</v>
      </c>
      <c r="AB21" s="80">
        <v>0</v>
      </c>
      <c r="AC21" s="27">
        <v>0</v>
      </c>
      <c r="AD21" s="27">
        <v>0</v>
      </c>
      <c r="AE21" s="80" t="s">
        <v>136</v>
      </c>
      <c r="AF21" s="80">
        <v>0</v>
      </c>
      <c r="AG21" s="80" t="s">
        <v>136</v>
      </c>
      <c r="AH21" s="80">
        <v>0</v>
      </c>
      <c r="AI21" s="27">
        <f t="shared" si="0"/>
        <v>0</v>
      </c>
      <c r="AJ21" s="27">
        <f t="shared" si="1"/>
        <v>0</v>
      </c>
      <c r="AK21" s="27">
        <v>67.883521733999999</v>
      </c>
      <c r="AL21" s="27">
        <v>1.0778254932</v>
      </c>
      <c r="AM21" s="80" t="s">
        <v>136</v>
      </c>
      <c r="AN21" s="80">
        <v>0</v>
      </c>
      <c r="AO21" s="80" t="s">
        <v>136</v>
      </c>
      <c r="AP21" s="80">
        <v>0</v>
      </c>
      <c r="AQ21" s="80" t="s">
        <v>136</v>
      </c>
      <c r="AR21" s="80">
        <v>0</v>
      </c>
      <c r="AS21" s="27">
        <v>34.978725718</v>
      </c>
      <c r="AT21" s="27">
        <v>1.3313389739999999</v>
      </c>
      <c r="AU21" s="27">
        <v>23.829761356999999</v>
      </c>
      <c r="AV21" s="27">
        <v>0.24926225790000001</v>
      </c>
      <c r="AW21" s="27">
        <v>10.849272357</v>
      </c>
      <c r="AX21" s="27">
        <v>0.15129445929999999</v>
      </c>
      <c r="AY21" s="27">
        <v>3.9001663342000001</v>
      </c>
      <c r="AZ21" s="27">
        <v>4.0018010999999999E-2</v>
      </c>
      <c r="BA21" s="80">
        <f t="shared" si="2"/>
        <v>9.0803226657999989</v>
      </c>
      <c r="BB21" s="80">
        <f t="shared" si="3"/>
        <v>5.7949787600000024E-2</v>
      </c>
      <c r="BC21" s="27">
        <v>0</v>
      </c>
      <c r="BD21" s="80">
        <v>0</v>
      </c>
      <c r="BE21" s="27">
        <v>80.995647367999993</v>
      </c>
      <c r="BF21" s="27">
        <v>1.3012474224999999</v>
      </c>
      <c r="BG21" s="27">
        <v>2.5762620000000002E-4</v>
      </c>
      <c r="BH21" s="80">
        <v>0</v>
      </c>
      <c r="BI21" s="27">
        <v>64.712614708999993</v>
      </c>
      <c r="BJ21" s="27">
        <v>2.4340422195999998</v>
      </c>
      <c r="BK21" s="27">
        <v>50.433661579999999</v>
      </c>
      <c r="BL21" s="27">
        <v>0.37140470799999997</v>
      </c>
      <c r="BM21" s="27">
        <v>8.3747003748999997</v>
      </c>
      <c r="BN21" s="27">
        <v>4.85389263E-2</v>
      </c>
      <c r="BO21" s="27">
        <v>4.8529168800000001E-2</v>
      </c>
      <c r="BP21" s="27">
        <v>5.0661849999999997E-4</v>
      </c>
      <c r="BQ21" s="27">
        <v>0</v>
      </c>
      <c r="BR21" s="92">
        <v>0</v>
      </c>
      <c r="BS21" s="80" t="s">
        <v>136</v>
      </c>
      <c r="BT21" s="80">
        <v>0</v>
      </c>
      <c r="BU21" s="27">
        <v>0.26709853410000001</v>
      </c>
      <c r="BV21" s="27">
        <v>4.0287697000000004E-3</v>
      </c>
      <c r="BW21" s="27">
        <v>9.6474916767999996</v>
      </c>
      <c r="BX21" s="27">
        <v>7.7303123099999996E-2</v>
      </c>
      <c r="BY21" s="80" t="s">
        <v>136</v>
      </c>
      <c r="BZ21" s="80">
        <v>0</v>
      </c>
      <c r="CA21" s="80" t="s">
        <v>136</v>
      </c>
      <c r="CB21" s="80">
        <v>0</v>
      </c>
      <c r="CC21" s="27">
        <v>1.0640778372999999</v>
      </c>
      <c r="CD21" s="27">
        <v>1.8125028E-3</v>
      </c>
      <c r="CE21" s="27">
        <v>2.3344527058</v>
      </c>
      <c r="CF21" s="27">
        <v>6.3612080000000001E-3</v>
      </c>
      <c r="CG21" s="80" t="s">
        <v>136</v>
      </c>
      <c r="CH21" s="80">
        <v>0</v>
      </c>
      <c r="CI21" s="80" t="s">
        <v>136</v>
      </c>
      <c r="CJ21" s="80">
        <v>0</v>
      </c>
      <c r="CK21" s="80" t="s">
        <v>136</v>
      </c>
      <c r="CL21" s="80">
        <v>0</v>
      </c>
      <c r="CM21" s="80" t="s">
        <v>136</v>
      </c>
      <c r="CN21" s="80">
        <v>0</v>
      </c>
      <c r="CO21" s="27">
        <v>1.26128148E-2</v>
      </c>
      <c r="CP21" s="27">
        <v>1.741763E-4</v>
      </c>
      <c r="CQ21" s="27">
        <v>3.1952557899999998E-2</v>
      </c>
      <c r="CR21" s="27">
        <v>2.882208E-4</v>
      </c>
      <c r="CS21" s="27">
        <v>0.61285957449999995</v>
      </c>
      <c r="CT21" s="27">
        <v>7.6053270000000003E-3</v>
      </c>
      <c r="CU21" s="27">
        <v>13.593408994000001</v>
      </c>
      <c r="CV21" s="27">
        <v>0.33702589199999999</v>
      </c>
      <c r="CW21" s="93" t="s">
        <v>136</v>
      </c>
      <c r="CX21" s="80">
        <v>0</v>
      </c>
      <c r="CY21" s="80" t="s">
        <v>136</v>
      </c>
      <c r="CZ21" s="94">
        <v>0</v>
      </c>
      <c r="DA21" s="27">
        <v>14.575600413</v>
      </c>
      <c r="DB21" s="27">
        <v>0.37402268840000003</v>
      </c>
      <c r="DC21" s="27">
        <v>20.403125306</v>
      </c>
      <c r="DD21" s="27">
        <v>0.95731628550000003</v>
      </c>
      <c r="DE21" s="27">
        <v>4.9173491264000004</v>
      </c>
      <c r="DF21" s="27">
        <v>0.4466377339</v>
      </c>
      <c r="DG21" s="27">
        <v>76.078298242000002</v>
      </c>
      <c r="DH21" s="27">
        <v>0.85460968859999997</v>
      </c>
      <c r="DI21" s="95">
        <v>1.3567909999999999E-4</v>
      </c>
      <c r="DJ21" s="96">
        <v>2.178878E-4</v>
      </c>
      <c r="DK21" s="96">
        <v>2.4328229999999999E-4</v>
      </c>
      <c r="DL21" s="96">
        <v>2.4917199999999998E-4</v>
      </c>
      <c r="DM21" s="96">
        <v>2.5128560000000001E-4</v>
      </c>
      <c r="DN21" s="96">
        <v>2.533991E-4</v>
      </c>
      <c r="DO21" s="96">
        <v>2.5551259999999999E-4</v>
      </c>
      <c r="DP21" s="96">
        <v>2.5762620000000002E-4</v>
      </c>
      <c r="DQ21" s="96">
        <v>2.5762620000000002E-4</v>
      </c>
      <c r="DR21" s="97">
        <v>2.5762620000000002E-4</v>
      </c>
      <c r="DS21" s="93">
        <v>46.713372227000001</v>
      </c>
      <c r="DT21" s="80">
        <v>0.33134503920000002</v>
      </c>
      <c r="DU21" s="80">
        <v>17.869241174999999</v>
      </c>
      <c r="DV21" s="80">
        <v>0.13416336249999999</v>
      </c>
      <c r="DW21" s="80">
        <v>6.5837344130000002</v>
      </c>
      <c r="DX21" s="80">
        <v>5.2373413399999999E-2</v>
      </c>
      <c r="DY21" s="80">
        <v>2.3531586363999999</v>
      </c>
      <c r="DZ21" s="80">
        <v>2.0265470800000001E-2</v>
      </c>
      <c r="EA21" s="80">
        <v>0.8476744356</v>
      </c>
      <c r="EB21" s="80">
        <v>8.2784016000000005E-3</v>
      </c>
      <c r="EC21" s="80">
        <v>0.31833130539999999</v>
      </c>
      <c r="ED21" s="80">
        <v>3.7722921E-3</v>
      </c>
      <c r="EE21" s="80">
        <v>0.132209769</v>
      </c>
      <c r="EF21" s="80">
        <v>2.0447001E-3</v>
      </c>
      <c r="EG21" s="80">
        <v>6.7756430800000003E-2</v>
      </c>
      <c r="EH21" s="80">
        <v>1.3409025000000001E-3</v>
      </c>
      <c r="EI21" s="80">
        <v>4.2192881100000003E-2</v>
      </c>
      <c r="EJ21" s="80">
        <v>9.8629680000000006E-4</v>
      </c>
      <c r="EK21" s="80">
        <v>2.8367112900000001E-2</v>
      </c>
      <c r="EL21" s="94">
        <v>7.4814179999999997E-4</v>
      </c>
    </row>
    <row r="22" spans="1:142" x14ac:dyDescent="0.2">
      <c r="A22" s="79">
        <v>1700</v>
      </c>
      <c r="B22" s="27">
        <v>19212</v>
      </c>
      <c r="C22" s="79">
        <v>1190.2467569</v>
      </c>
      <c r="D22" s="27">
        <v>1649.5070595</v>
      </c>
      <c r="E22" s="27">
        <v>29.121298075999999</v>
      </c>
      <c r="F22" s="27">
        <v>4.8727006699999999E-2</v>
      </c>
      <c r="G22" s="79">
        <v>0.1533251155</v>
      </c>
      <c r="H22" s="27">
        <v>1.6839249999999999E-4</v>
      </c>
      <c r="I22" s="27">
        <v>119.82038403</v>
      </c>
      <c r="J22" s="27">
        <v>0.78737310299999996</v>
      </c>
      <c r="K22" s="27">
        <v>51.759802501000003</v>
      </c>
      <c r="L22" s="27">
        <v>0.31893829229999998</v>
      </c>
      <c r="M22" s="27">
        <v>10.644054260000001</v>
      </c>
      <c r="N22" s="27">
        <v>8.6951842400000007E-2</v>
      </c>
      <c r="O22" s="80" t="s">
        <v>136</v>
      </c>
      <c r="P22" s="80">
        <v>0</v>
      </c>
      <c r="Q22" s="27">
        <v>4.0758883433999999</v>
      </c>
      <c r="R22" s="27">
        <v>9.5092041999999995E-3</v>
      </c>
      <c r="S22" s="80" t="s">
        <v>136</v>
      </c>
      <c r="T22" s="80">
        <v>0</v>
      </c>
      <c r="U22" s="80" t="s">
        <v>136</v>
      </c>
      <c r="V22" s="80">
        <v>0</v>
      </c>
      <c r="W22" s="27">
        <v>6.2111581800000003E-2</v>
      </c>
      <c r="X22" s="27">
        <v>6.5273529999999998E-4</v>
      </c>
      <c r="Y22" s="27">
        <v>15.551381044999999</v>
      </c>
      <c r="Z22" s="27">
        <v>0.37554419150000001</v>
      </c>
      <c r="AA22" s="80" t="s">
        <v>136</v>
      </c>
      <c r="AB22" s="80">
        <v>0</v>
      </c>
      <c r="AC22" s="27">
        <v>0</v>
      </c>
      <c r="AD22" s="27">
        <v>0</v>
      </c>
      <c r="AE22" s="80" t="s">
        <v>136</v>
      </c>
      <c r="AF22" s="80">
        <v>0</v>
      </c>
      <c r="AG22" s="80" t="s">
        <v>136</v>
      </c>
      <c r="AH22" s="80">
        <v>0</v>
      </c>
      <c r="AI22" s="27">
        <f t="shared" si="0"/>
        <v>0</v>
      </c>
      <c r="AJ22" s="27">
        <f t="shared" si="1"/>
        <v>0</v>
      </c>
      <c r="AK22" s="27">
        <v>71.137487840999995</v>
      </c>
      <c r="AL22" s="27">
        <v>1.1229522918999999</v>
      </c>
      <c r="AM22" s="80" t="s">
        <v>136</v>
      </c>
      <c r="AN22" s="80">
        <v>0</v>
      </c>
      <c r="AO22" s="80" t="s">
        <v>136</v>
      </c>
      <c r="AP22" s="80">
        <v>0</v>
      </c>
      <c r="AQ22" s="80" t="s">
        <v>136</v>
      </c>
      <c r="AR22" s="80">
        <v>0</v>
      </c>
      <c r="AS22" s="27">
        <v>37.049783785999999</v>
      </c>
      <c r="AT22" s="27">
        <v>1.3926118557</v>
      </c>
      <c r="AU22" s="27">
        <v>25.715054420000001</v>
      </c>
      <c r="AV22" s="27">
        <v>0.26453238559999998</v>
      </c>
      <c r="AW22" s="27">
        <v>11.712966127</v>
      </c>
      <c r="AX22" s="27">
        <v>0.16084526709999999</v>
      </c>
      <c r="AY22" s="27">
        <v>4.1423509291</v>
      </c>
      <c r="AZ22" s="27">
        <v>4.1891773299999997E-2</v>
      </c>
      <c r="BA22" s="80">
        <f t="shared" si="2"/>
        <v>9.8597373639000025</v>
      </c>
      <c r="BB22" s="80">
        <f t="shared" si="3"/>
        <v>6.179534519999999E-2</v>
      </c>
      <c r="BC22" s="27">
        <v>0</v>
      </c>
      <c r="BD22" s="80">
        <v>0</v>
      </c>
      <c r="BE22" s="27">
        <v>85.552730890000007</v>
      </c>
      <c r="BF22" s="27">
        <v>1.3631293595</v>
      </c>
      <c r="BG22" s="27">
        <v>3.1306759999999998E-4</v>
      </c>
      <c r="BH22" s="80">
        <v>0</v>
      </c>
      <c r="BI22" s="27">
        <v>68.143759626000005</v>
      </c>
      <c r="BJ22" s="27">
        <v>2.5291490485999999</v>
      </c>
      <c r="BK22" s="27">
        <v>56.182566592000001</v>
      </c>
      <c r="BL22" s="27">
        <v>0.41168353730000001</v>
      </c>
      <c r="BM22" s="27">
        <v>9.2310661710000002</v>
      </c>
      <c r="BN22" s="27">
        <v>5.2335561799999999E-2</v>
      </c>
      <c r="BO22" s="27">
        <v>5.2003811300000001E-2</v>
      </c>
      <c r="BP22" s="27">
        <v>5.4755240000000001E-4</v>
      </c>
      <c r="BQ22" s="27">
        <v>0</v>
      </c>
      <c r="BR22" s="92">
        <v>0</v>
      </c>
      <c r="BS22" s="80" t="s">
        <v>136</v>
      </c>
      <c r="BT22" s="80">
        <v>0</v>
      </c>
      <c r="BU22" s="27">
        <v>0.28708262200000001</v>
      </c>
      <c r="BV22" s="27">
        <v>4.3158874000000002E-3</v>
      </c>
      <c r="BW22" s="27">
        <v>10.356971637999999</v>
      </c>
      <c r="BX22" s="27">
        <v>8.2635954999999997E-2</v>
      </c>
      <c r="BY22" s="80" t="s">
        <v>136</v>
      </c>
      <c r="BZ22" s="80">
        <v>0</v>
      </c>
      <c r="CA22" s="80" t="s">
        <v>136</v>
      </c>
      <c r="CB22" s="80">
        <v>0</v>
      </c>
      <c r="CC22" s="27">
        <v>1.3504833554</v>
      </c>
      <c r="CD22" s="27">
        <v>2.2075046000000001E-3</v>
      </c>
      <c r="CE22" s="27">
        <v>2.7254049881000002</v>
      </c>
      <c r="CF22" s="27">
        <v>7.3016996999999998E-3</v>
      </c>
      <c r="CG22" s="80" t="s">
        <v>136</v>
      </c>
      <c r="CH22" s="80">
        <v>0</v>
      </c>
      <c r="CI22" s="80" t="s">
        <v>136</v>
      </c>
      <c r="CJ22" s="80">
        <v>0</v>
      </c>
      <c r="CK22" s="80" t="s">
        <v>136</v>
      </c>
      <c r="CL22" s="80">
        <v>0</v>
      </c>
      <c r="CM22" s="80" t="s">
        <v>136</v>
      </c>
      <c r="CN22" s="80">
        <v>0</v>
      </c>
      <c r="CO22" s="27">
        <v>2.5432826400000001E-2</v>
      </c>
      <c r="CP22" s="27">
        <v>3.1581399999999998E-4</v>
      </c>
      <c r="CQ22" s="27">
        <v>3.6678755299999997E-2</v>
      </c>
      <c r="CR22" s="27">
        <v>3.369213E-4</v>
      </c>
      <c r="CS22" s="27">
        <v>0.71249707780000004</v>
      </c>
      <c r="CT22" s="27">
        <v>8.6485074999999995E-3</v>
      </c>
      <c r="CU22" s="27">
        <v>14.838883966999999</v>
      </c>
      <c r="CV22" s="27">
        <v>0.366895684</v>
      </c>
      <c r="CW22" s="93" t="s">
        <v>136</v>
      </c>
      <c r="CX22" s="80">
        <v>0</v>
      </c>
      <c r="CY22" s="80" t="s">
        <v>136</v>
      </c>
      <c r="CZ22" s="94">
        <v>0</v>
      </c>
      <c r="DA22" s="27">
        <v>15.546046456999999</v>
      </c>
      <c r="DB22" s="27">
        <v>0.3948971375</v>
      </c>
      <c r="DC22" s="27">
        <v>21.503737329</v>
      </c>
      <c r="DD22" s="27">
        <v>0.99771471820000002</v>
      </c>
      <c r="DE22" s="27">
        <v>5.3025774064000002</v>
      </c>
      <c r="DF22" s="27">
        <v>0.46925912660000002</v>
      </c>
      <c r="DG22" s="27">
        <v>80.250153483000005</v>
      </c>
      <c r="DH22" s="27">
        <v>0.89387023290000001</v>
      </c>
      <c r="DI22" s="95">
        <v>1.649648E-4</v>
      </c>
      <c r="DJ22" s="96">
        <v>2.6438980000000002E-4</v>
      </c>
      <c r="DK22" s="96">
        <v>2.9822879999999999E-4</v>
      </c>
      <c r="DL22" s="96">
        <v>3.0478409999999998E-4</v>
      </c>
      <c r="DM22" s="96">
        <v>3.0685499999999998E-4</v>
      </c>
      <c r="DN22" s="96">
        <v>3.0892590000000002E-4</v>
      </c>
      <c r="DO22" s="96">
        <v>3.1099669999999998E-4</v>
      </c>
      <c r="DP22" s="96">
        <v>3.1306759999999998E-4</v>
      </c>
      <c r="DQ22" s="96">
        <v>3.1306759999999998E-4</v>
      </c>
      <c r="DR22" s="97">
        <v>3.1306759999999998E-4</v>
      </c>
      <c r="DS22" s="93">
        <v>49.338834718000001</v>
      </c>
      <c r="DT22" s="80">
        <v>0.34903347579999999</v>
      </c>
      <c r="DU22" s="80">
        <v>19.350736377</v>
      </c>
      <c r="DV22" s="80">
        <v>0.14460124150000001</v>
      </c>
      <c r="DW22" s="80">
        <v>7.3390007129999999</v>
      </c>
      <c r="DX22" s="80">
        <v>5.8004660100000001E-2</v>
      </c>
      <c r="DY22" s="80">
        <v>2.7045531796</v>
      </c>
      <c r="DZ22" s="80">
        <v>2.3065187500000001E-2</v>
      </c>
      <c r="EA22" s="80">
        <v>1.0069851358999999</v>
      </c>
      <c r="EB22" s="80">
        <v>9.6714208000000003E-3</v>
      </c>
      <c r="EC22" s="80">
        <v>0.38864763409999997</v>
      </c>
      <c r="ED22" s="80">
        <v>4.4791709999999997E-3</v>
      </c>
      <c r="EE22" s="80">
        <v>0.16492105339999999</v>
      </c>
      <c r="EF22" s="80">
        <v>2.4398089000000002E-3</v>
      </c>
      <c r="EG22" s="80">
        <v>8.4467612600000005E-2</v>
      </c>
      <c r="EH22" s="80">
        <v>1.5942379E-3</v>
      </c>
      <c r="EI22" s="80">
        <v>5.2408339599999999E-2</v>
      </c>
      <c r="EJ22" s="80">
        <v>1.1721417E-3</v>
      </c>
      <c r="EK22" s="80">
        <v>3.5136659700000003E-2</v>
      </c>
      <c r="EL22" s="94">
        <v>8.9170670000000005E-4</v>
      </c>
    </row>
    <row r="23" spans="1:142" x14ac:dyDescent="0.2">
      <c r="A23" s="79">
        <v>1800</v>
      </c>
      <c r="B23" s="27">
        <v>18323</v>
      </c>
      <c r="C23" s="79">
        <v>1244.7872626000001</v>
      </c>
      <c r="D23" s="27">
        <v>1749.4850610000001</v>
      </c>
      <c r="E23" s="27">
        <v>31.514607249000001</v>
      </c>
      <c r="F23" s="27">
        <v>5.1459866200000003E-2</v>
      </c>
      <c r="G23" s="79">
        <v>0.2046221973</v>
      </c>
      <c r="H23" s="27">
        <v>2.038493E-4</v>
      </c>
      <c r="I23" s="27">
        <v>123.41272241999999</v>
      </c>
      <c r="J23" s="27">
        <v>0.81057921389999998</v>
      </c>
      <c r="K23" s="27">
        <v>54.139364149999999</v>
      </c>
      <c r="L23" s="27">
        <v>0.33325792729999998</v>
      </c>
      <c r="M23" s="27">
        <v>11.398334738000001</v>
      </c>
      <c r="N23" s="27">
        <v>9.2771590200000004E-2</v>
      </c>
      <c r="O23" s="80" t="s">
        <v>136</v>
      </c>
      <c r="P23" s="80">
        <v>0</v>
      </c>
      <c r="Q23" s="27">
        <v>4.8163999074000001</v>
      </c>
      <c r="R23" s="27">
        <v>1.1002548399999999E-2</v>
      </c>
      <c r="S23" s="80" t="s">
        <v>136</v>
      </c>
      <c r="T23" s="80">
        <v>0</v>
      </c>
      <c r="U23" s="80" t="s">
        <v>136</v>
      </c>
      <c r="V23" s="80">
        <v>0</v>
      </c>
      <c r="W23" s="27">
        <v>6.9772574099999998E-2</v>
      </c>
      <c r="X23" s="27">
        <v>7.2743299999999999E-4</v>
      </c>
      <c r="Y23" s="27">
        <v>16.845140927999999</v>
      </c>
      <c r="Z23" s="27">
        <v>0.40583912550000001</v>
      </c>
      <c r="AA23" s="80" t="s">
        <v>136</v>
      </c>
      <c r="AB23" s="80">
        <v>0</v>
      </c>
      <c r="AC23" s="27">
        <v>0</v>
      </c>
      <c r="AD23" s="27">
        <v>0</v>
      </c>
      <c r="AE23" s="80" t="s">
        <v>136</v>
      </c>
      <c r="AF23" s="80">
        <v>0</v>
      </c>
      <c r="AG23" s="80" t="s">
        <v>136</v>
      </c>
      <c r="AH23" s="80">
        <v>0</v>
      </c>
      <c r="AI23" s="27">
        <f t="shared" si="0"/>
        <v>0</v>
      </c>
      <c r="AJ23" s="27">
        <f t="shared" si="1"/>
        <v>0</v>
      </c>
      <c r="AK23" s="27">
        <v>74.293740726999999</v>
      </c>
      <c r="AL23" s="27">
        <v>1.1650821730000001</v>
      </c>
      <c r="AM23" s="80" t="s">
        <v>136</v>
      </c>
      <c r="AN23" s="80">
        <v>0</v>
      </c>
      <c r="AO23" s="80" t="s">
        <v>136</v>
      </c>
      <c r="AP23" s="80">
        <v>0</v>
      </c>
      <c r="AQ23" s="80" t="s">
        <v>136</v>
      </c>
      <c r="AR23" s="80">
        <v>0</v>
      </c>
      <c r="AS23" s="27">
        <v>39.163789825999999</v>
      </c>
      <c r="AT23" s="27">
        <v>1.4540250425000001</v>
      </c>
      <c r="AU23" s="27">
        <v>27.654921313999999</v>
      </c>
      <c r="AV23" s="27">
        <v>0.2794839341</v>
      </c>
      <c r="AW23" s="27">
        <v>12.570536362</v>
      </c>
      <c r="AX23" s="27">
        <v>0.17003115090000001</v>
      </c>
      <c r="AY23" s="27">
        <v>4.3982692199000004</v>
      </c>
      <c r="AZ23" s="27">
        <v>4.3750141499999999E-2</v>
      </c>
      <c r="BA23" s="80">
        <f t="shared" si="2"/>
        <v>10.686115732099999</v>
      </c>
      <c r="BB23" s="80">
        <f t="shared" si="3"/>
        <v>6.5702641699999981E-2</v>
      </c>
      <c r="BC23" s="27">
        <v>0</v>
      </c>
      <c r="BD23" s="80">
        <v>0</v>
      </c>
      <c r="BE23" s="27">
        <v>90.061311219999993</v>
      </c>
      <c r="BF23" s="27">
        <v>1.4239600529000001</v>
      </c>
      <c r="BG23" s="27">
        <v>3.7558980000000001E-4</v>
      </c>
      <c r="BH23" s="80">
        <v>0</v>
      </c>
      <c r="BI23" s="27">
        <v>71.392991402000007</v>
      </c>
      <c r="BJ23" s="27">
        <v>2.6195039268000002</v>
      </c>
      <c r="BK23" s="27">
        <v>62.112480177999998</v>
      </c>
      <c r="BL23" s="27">
        <v>0.45349253789999999</v>
      </c>
      <c r="BM23" s="27">
        <v>10.038502475</v>
      </c>
      <c r="BN23" s="27">
        <v>5.5981229399999999E-2</v>
      </c>
      <c r="BO23" s="27">
        <v>5.8998994499999999E-2</v>
      </c>
      <c r="BP23" s="27">
        <v>5.9784390000000001E-4</v>
      </c>
      <c r="BQ23" s="27">
        <v>0</v>
      </c>
      <c r="BR23" s="92">
        <v>0</v>
      </c>
      <c r="BS23" s="80" t="s">
        <v>136</v>
      </c>
      <c r="BT23" s="80">
        <v>0</v>
      </c>
      <c r="BU23" s="27">
        <v>0.30069569270000002</v>
      </c>
      <c r="BV23" s="27">
        <v>4.4411855E-3</v>
      </c>
      <c r="BW23" s="27">
        <v>11.097639044999999</v>
      </c>
      <c r="BX23" s="27">
        <v>8.8330404700000004E-2</v>
      </c>
      <c r="BY23" s="80" t="s">
        <v>136</v>
      </c>
      <c r="BZ23" s="80">
        <v>0</v>
      </c>
      <c r="CA23" s="80" t="s">
        <v>136</v>
      </c>
      <c r="CB23" s="80">
        <v>0</v>
      </c>
      <c r="CC23" s="27">
        <v>1.7102657118</v>
      </c>
      <c r="CD23" s="27">
        <v>2.6771427999999998E-3</v>
      </c>
      <c r="CE23" s="27">
        <v>3.1061341957000002</v>
      </c>
      <c r="CF23" s="27">
        <v>8.3254055000000007E-3</v>
      </c>
      <c r="CG23" s="80" t="s">
        <v>136</v>
      </c>
      <c r="CH23" s="80">
        <v>0</v>
      </c>
      <c r="CI23" s="80" t="s">
        <v>136</v>
      </c>
      <c r="CJ23" s="80">
        <v>0</v>
      </c>
      <c r="CK23" s="80" t="s">
        <v>136</v>
      </c>
      <c r="CL23" s="80">
        <v>0</v>
      </c>
      <c r="CM23" s="80" t="s">
        <v>136</v>
      </c>
      <c r="CN23" s="80">
        <v>0</v>
      </c>
      <c r="CO23" s="27">
        <v>2.5938126700000001E-2</v>
      </c>
      <c r="CP23" s="27">
        <v>3.2773729999999998E-4</v>
      </c>
      <c r="CQ23" s="27">
        <v>4.3834447399999997E-2</v>
      </c>
      <c r="CR23" s="27">
        <v>3.9969570000000001E-4</v>
      </c>
      <c r="CS23" s="27">
        <v>0.79987672509999996</v>
      </c>
      <c r="CT23" s="27">
        <v>9.6648021999999993E-3</v>
      </c>
      <c r="CU23" s="27">
        <v>16.045264202999999</v>
      </c>
      <c r="CV23" s="27">
        <v>0.39617432330000002</v>
      </c>
      <c r="CW23" s="93" t="s">
        <v>136</v>
      </c>
      <c r="CX23" s="80">
        <v>0</v>
      </c>
      <c r="CY23" s="80" t="s">
        <v>136</v>
      </c>
      <c r="CZ23" s="94">
        <v>0</v>
      </c>
      <c r="DA23" s="27">
        <v>16.611322332</v>
      </c>
      <c r="DB23" s="27">
        <v>0.41707276809999999</v>
      </c>
      <c r="DC23" s="27">
        <v>22.552467493999998</v>
      </c>
      <c r="DD23" s="27">
        <v>1.0369522743999999</v>
      </c>
      <c r="DE23" s="27">
        <v>5.7696837733999997</v>
      </c>
      <c r="DF23" s="27">
        <v>0.49273213659999998</v>
      </c>
      <c r="DG23" s="27">
        <v>84.291627446999996</v>
      </c>
      <c r="DH23" s="27">
        <v>0.93122791630000001</v>
      </c>
      <c r="DI23" s="95">
        <v>2.0051070000000001E-4</v>
      </c>
      <c r="DJ23" s="96">
        <v>3.2274739999999999E-4</v>
      </c>
      <c r="DK23" s="96">
        <v>3.5948609999999999E-4</v>
      </c>
      <c r="DL23" s="96">
        <v>3.6667999999999998E-4</v>
      </c>
      <c r="DM23" s="96">
        <v>3.6949440000000002E-4</v>
      </c>
      <c r="DN23" s="96">
        <v>3.7152620000000002E-4</v>
      </c>
      <c r="DO23" s="96">
        <v>3.7355800000000002E-4</v>
      </c>
      <c r="DP23" s="96">
        <v>3.7558980000000001E-4</v>
      </c>
      <c r="DQ23" s="96">
        <v>3.7558980000000001E-4</v>
      </c>
      <c r="DR23" s="97">
        <v>3.7558980000000001E-4</v>
      </c>
      <c r="DS23" s="93">
        <v>51.778565512</v>
      </c>
      <c r="DT23" s="80">
        <v>0.36541210359999998</v>
      </c>
      <c r="DU23" s="80">
        <v>20.750976103999999</v>
      </c>
      <c r="DV23" s="80">
        <v>0.1544791861</v>
      </c>
      <c r="DW23" s="80">
        <v>8.0669216127999999</v>
      </c>
      <c r="DX23" s="80">
        <v>6.3450172400000004E-2</v>
      </c>
      <c r="DY23" s="80">
        <v>3.0647813595</v>
      </c>
      <c r="DZ23" s="80">
        <v>2.5951104499999999E-2</v>
      </c>
      <c r="EA23" s="80">
        <v>1.1834666549999999</v>
      </c>
      <c r="EB23" s="80">
        <v>1.12118818E-2</v>
      </c>
      <c r="EC23" s="80">
        <v>0.47284119130000002</v>
      </c>
      <c r="ED23" s="80">
        <v>5.3200302E-3</v>
      </c>
      <c r="EE23" s="80">
        <v>0.2050855942</v>
      </c>
      <c r="EF23" s="80">
        <v>2.9283972000000002E-3</v>
      </c>
      <c r="EG23" s="80">
        <v>0.1060964012</v>
      </c>
      <c r="EH23" s="80">
        <v>1.9225422E-3</v>
      </c>
      <c r="EI23" s="80">
        <v>6.4968261200000002E-2</v>
      </c>
      <c r="EJ23" s="80">
        <v>1.4090712999999999E-3</v>
      </c>
      <c r="EK23" s="80">
        <v>4.35066349E-2</v>
      </c>
      <c r="EL23" s="94">
        <v>1.0776977000000001E-3</v>
      </c>
    </row>
    <row r="24" spans="1:142" x14ac:dyDescent="0.2">
      <c r="A24" s="79">
        <v>1900</v>
      </c>
      <c r="B24" s="27">
        <v>17564</v>
      </c>
      <c r="C24" s="79">
        <v>1298.0016144000001</v>
      </c>
      <c r="D24" s="27">
        <v>1850.0144057</v>
      </c>
      <c r="E24" s="27">
        <v>33.781559692000002</v>
      </c>
      <c r="F24" s="27">
        <v>5.3952838400000001E-2</v>
      </c>
      <c r="G24" s="79">
        <v>0.26021356680000002</v>
      </c>
      <c r="H24" s="27">
        <v>2.435092E-4</v>
      </c>
      <c r="I24" s="27">
        <v>127.01629933</v>
      </c>
      <c r="J24" s="27">
        <v>0.83408883869999995</v>
      </c>
      <c r="K24" s="27">
        <v>56.382056744000003</v>
      </c>
      <c r="L24" s="27">
        <v>0.34665743659999998</v>
      </c>
      <c r="M24" s="27">
        <v>12.202350513000001</v>
      </c>
      <c r="N24" s="27">
        <v>9.9104042599999997E-2</v>
      </c>
      <c r="O24" s="80" t="s">
        <v>136</v>
      </c>
      <c r="P24" s="80">
        <v>0</v>
      </c>
      <c r="Q24" s="27">
        <v>5.6067169400000001</v>
      </c>
      <c r="R24" s="27">
        <v>1.25169077E-2</v>
      </c>
      <c r="S24" s="80" t="s">
        <v>136</v>
      </c>
      <c r="T24" s="80">
        <v>0</v>
      </c>
      <c r="U24" s="80" t="s">
        <v>136</v>
      </c>
      <c r="V24" s="80">
        <v>0</v>
      </c>
      <c r="W24" s="27">
        <v>7.7944123399999996E-2</v>
      </c>
      <c r="X24" s="27">
        <v>8.2204330000000005E-4</v>
      </c>
      <c r="Y24" s="27">
        <v>18.226305216</v>
      </c>
      <c r="Z24" s="27">
        <v>0.43805669530000002</v>
      </c>
      <c r="AA24" s="80" t="s">
        <v>136</v>
      </c>
      <c r="AB24" s="80">
        <v>0</v>
      </c>
      <c r="AC24" s="27">
        <v>0</v>
      </c>
      <c r="AD24" s="27">
        <v>0</v>
      </c>
      <c r="AE24" s="80" t="s">
        <v>136</v>
      </c>
      <c r="AF24" s="80">
        <v>0</v>
      </c>
      <c r="AG24" s="80" t="s">
        <v>136</v>
      </c>
      <c r="AH24" s="80">
        <v>0</v>
      </c>
      <c r="AI24" s="27">
        <f t="shared" si="0"/>
        <v>0</v>
      </c>
      <c r="AJ24" s="27">
        <f t="shared" si="1"/>
        <v>0</v>
      </c>
      <c r="AK24" s="27">
        <v>77.216517541000002</v>
      </c>
      <c r="AL24" s="27">
        <v>1.2043963132</v>
      </c>
      <c r="AM24" s="80" t="s">
        <v>136</v>
      </c>
      <c r="AN24" s="80">
        <v>0</v>
      </c>
      <c r="AO24" s="80" t="s">
        <v>136</v>
      </c>
      <c r="AP24" s="80">
        <v>0</v>
      </c>
      <c r="AQ24" s="80" t="s">
        <v>136</v>
      </c>
      <c r="AR24" s="80">
        <v>0</v>
      </c>
      <c r="AS24" s="27">
        <v>41.082957792999999</v>
      </c>
      <c r="AT24" s="27">
        <v>1.5098988770999999</v>
      </c>
      <c r="AU24" s="27">
        <v>29.548554566</v>
      </c>
      <c r="AV24" s="27">
        <v>0.29429114410000001</v>
      </c>
      <c r="AW24" s="27">
        <v>13.387801158</v>
      </c>
      <c r="AX24" s="27">
        <v>0.17897011730000001</v>
      </c>
      <c r="AY24" s="27">
        <v>4.648186055</v>
      </c>
      <c r="AZ24" s="27">
        <v>4.5707985299999997E-2</v>
      </c>
      <c r="BA24" s="80">
        <f t="shared" si="2"/>
        <v>11.512567353000001</v>
      </c>
      <c r="BB24" s="80">
        <f t="shared" si="3"/>
        <v>6.96130415E-2</v>
      </c>
      <c r="BC24" s="27">
        <v>0</v>
      </c>
      <c r="BD24" s="80">
        <v>0</v>
      </c>
      <c r="BE24" s="27">
        <v>94.529270869000001</v>
      </c>
      <c r="BF24" s="27">
        <v>1.4819101012</v>
      </c>
      <c r="BG24" s="27">
        <v>4.4177849999999999E-4</v>
      </c>
      <c r="BH24" s="80">
        <v>0</v>
      </c>
      <c r="BI24" s="27">
        <v>74.564195045999995</v>
      </c>
      <c r="BJ24" s="27">
        <v>2.7042442220999998</v>
      </c>
      <c r="BK24" s="27">
        <v>68.114017705999998</v>
      </c>
      <c r="BL24" s="27">
        <v>0.4951676217</v>
      </c>
      <c r="BM24" s="27">
        <v>10.856260311</v>
      </c>
      <c r="BN24" s="27">
        <v>5.9667887400000001E-2</v>
      </c>
      <c r="BO24" s="27">
        <v>6.2622914799999999E-2</v>
      </c>
      <c r="BP24" s="27">
        <v>6.3269430000000005E-4</v>
      </c>
      <c r="BQ24" s="27">
        <v>0</v>
      </c>
      <c r="BR24" s="92">
        <v>0</v>
      </c>
      <c r="BS24" s="80" t="s">
        <v>136</v>
      </c>
      <c r="BT24" s="80">
        <v>0</v>
      </c>
      <c r="BU24" s="27">
        <v>0.33566628300000001</v>
      </c>
      <c r="BV24" s="27">
        <v>4.8794203999999999E-3</v>
      </c>
      <c r="BW24" s="27">
        <v>11.866684230000001</v>
      </c>
      <c r="BX24" s="27">
        <v>9.4224622300000005E-2</v>
      </c>
      <c r="BY24" s="80" t="s">
        <v>136</v>
      </c>
      <c r="BZ24" s="80">
        <v>0</v>
      </c>
      <c r="CA24" s="80" t="s">
        <v>136</v>
      </c>
      <c r="CB24" s="80">
        <v>0</v>
      </c>
      <c r="CC24" s="27">
        <v>2.0575908219999999</v>
      </c>
      <c r="CD24" s="27">
        <v>3.1546639000000001E-3</v>
      </c>
      <c r="CE24" s="27">
        <v>3.5491261180999998</v>
      </c>
      <c r="CF24" s="27">
        <v>9.3622437999999995E-3</v>
      </c>
      <c r="CG24" s="80" t="s">
        <v>136</v>
      </c>
      <c r="CH24" s="80">
        <v>0</v>
      </c>
      <c r="CI24" s="80" t="s">
        <v>136</v>
      </c>
      <c r="CJ24" s="80">
        <v>0</v>
      </c>
      <c r="CK24" s="80" t="s">
        <v>136</v>
      </c>
      <c r="CL24" s="80">
        <v>0</v>
      </c>
      <c r="CM24" s="80" t="s">
        <v>136</v>
      </c>
      <c r="CN24" s="80">
        <v>0</v>
      </c>
      <c r="CO24" s="27">
        <v>3.0368264400000001E-2</v>
      </c>
      <c r="CP24" s="27">
        <v>3.8434809999999999E-4</v>
      </c>
      <c r="CQ24" s="27">
        <v>4.7575858999999998E-2</v>
      </c>
      <c r="CR24" s="27">
        <v>4.3769510000000002E-4</v>
      </c>
      <c r="CS24" s="27">
        <v>0.89080938549999999</v>
      </c>
      <c r="CT24" s="27">
        <v>1.06623949E-2</v>
      </c>
      <c r="CU24" s="27">
        <v>17.335495829999999</v>
      </c>
      <c r="CV24" s="27">
        <v>0.42739430029999997</v>
      </c>
      <c r="CW24" s="93" t="s">
        <v>136</v>
      </c>
      <c r="CX24" s="80">
        <v>0</v>
      </c>
      <c r="CY24" s="80" t="s">
        <v>136</v>
      </c>
      <c r="CZ24" s="94">
        <v>0</v>
      </c>
      <c r="DA24" s="27">
        <v>17.528451172</v>
      </c>
      <c r="DB24" s="27">
        <v>0.43628863480000002</v>
      </c>
      <c r="DC24" s="27">
        <v>23.554506622000002</v>
      </c>
      <c r="DD24" s="27">
        <v>1.0736102423</v>
      </c>
      <c r="DE24" s="27">
        <v>6.1897672712</v>
      </c>
      <c r="DF24" s="27">
        <v>0.51392818470000001</v>
      </c>
      <c r="DG24" s="27">
        <v>88.339503597999993</v>
      </c>
      <c r="DH24" s="27">
        <v>0.96798191649999998</v>
      </c>
      <c r="DI24" s="95">
        <v>2.3937470000000001E-4</v>
      </c>
      <c r="DJ24" s="96">
        <v>3.839243E-4</v>
      </c>
      <c r="DK24" s="96">
        <v>4.2447470000000001E-4</v>
      </c>
      <c r="DL24" s="96">
        <v>4.330332E-4</v>
      </c>
      <c r="DM24" s="96">
        <v>4.357904E-4</v>
      </c>
      <c r="DN24" s="96">
        <v>4.3778639999999999E-4</v>
      </c>
      <c r="DO24" s="96">
        <v>4.3978240000000003E-4</v>
      </c>
      <c r="DP24" s="96">
        <v>4.4177849999999999E-4</v>
      </c>
      <c r="DQ24" s="96">
        <v>4.4177849999999999E-4</v>
      </c>
      <c r="DR24" s="97">
        <v>4.4177849999999999E-4</v>
      </c>
      <c r="DS24" s="93">
        <v>54.265610533</v>
      </c>
      <c r="DT24" s="80">
        <v>0.3822567019</v>
      </c>
      <c r="DU24" s="80">
        <v>22.189657048000001</v>
      </c>
      <c r="DV24" s="80">
        <v>0.16473891930000001</v>
      </c>
      <c r="DW24" s="80">
        <v>8.8356046381999995</v>
      </c>
      <c r="DX24" s="80">
        <v>6.9240502499999995E-2</v>
      </c>
      <c r="DY24" s="80">
        <v>3.4595300125000001</v>
      </c>
      <c r="DZ24" s="80">
        <v>2.9164959300000001E-2</v>
      </c>
      <c r="EA24" s="80">
        <v>1.3809172289</v>
      </c>
      <c r="EB24" s="80">
        <v>1.30012007E-2</v>
      </c>
      <c r="EC24" s="80">
        <v>0.57462756319999997</v>
      </c>
      <c r="ED24" s="80">
        <v>6.3789637000000003E-3</v>
      </c>
      <c r="EE24" s="80">
        <v>0.25849845380000003</v>
      </c>
      <c r="EF24" s="80">
        <v>3.6001678999999999E-3</v>
      </c>
      <c r="EG24" s="80">
        <v>0.13755009939999999</v>
      </c>
      <c r="EH24" s="80">
        <v>2.4011182999999999E-3</v>
      </c>
      <c r="EI24" s="80">
        <v>8.5794398300000005E-2</v>
      </c>
      <c r="EJ24" s="80">
        <v>1.7776249999999999E-3</v>
      </c>
      <c r="EK24" s="80">
        <v>5.8946250300000003E-2</v>
      </c>
      <c r="EL24" s="94">
        <v>1.3815447E-3</v>
      </c>
    </row>
    <row r="25" spans="1:142" x14ac:dyDescent="0.2">
      <c r="A25" s="79">
        <v>2000</v>
      </c>
      <c r="B25" s="27">
        <v>17095</v>
      </c>
      <c r="C25" s="79">
        <v>1350.0938000000001</v>
      </c>
      <c r="D25" s="27">
        <v>1949.5198978999999</v>
      </c>
      <c r="E25" s="27">
        <v>36.116698931999998</v>
      </c>
      <c r="F25" s="27">
        <v>5.6450200800000003E-2</v>
      </c>
      <c r="G25" s="79">
        <v>0.33460815529999999</v>
      </c>
      <c r="H25" s="27">
        <v>2.9572080000000002E-4</v>
      </c>
      <c r="I25" s="27">
        <v>130.32520134999999</v>
      </c>
      <c r="J25" s="27">
        <v>0.85577044719999995</v>
      </c>
      <c r="K25" s="27">
        <v>58.598742022000003</v>
      </c>
      <c r="L25" s="27">
        <v>0.36035969330000001</v>
      </c>
      <c r="M25" s="27">
        <v>13.015254942</v>
      </c>
      <c r="N25" s="27">
        <v>0.10521855820000001</v>
      </c>
      <c r="O25" s="80" t="s">
        <v>136</v>
      </c>
      <c r="P25" s="80">
        <v>0</v>
      </c>
      <c r="Q25" s="27">
        <v>6.4763625772999998</v>
      </c>
      <c r="R25" s="27">
        <v>1.4161218E-2</v>
      </c>
      <c r="S25" s="80" t="s">
        <v>136</v>
      </c>
      <c r="T25" s="80">
        <v>0</v>
      </c>
      <c r="U25" s="80" t="s">
        <v>136</v>
      </c>
      <c r="V25" s="80">
        <v>0</v>
      </c>
      <c r="W25" s="27">
        <v>9.0779308599999997E-2</v>
      </c>
      <c r="X25" s="27">
        <v>9.5600969999999998E-4</v>
      </c>
      <c r="Y25" s="27">
        <v>19.568161448000001</v>
      </c>
      <c r="Z25" s="27">
        <v>0.46876565539999998</v>
      </c>
      <c r="AA25" s="80" t="s">
        <v>136</v>
      </c>
      <c r="AB25" s="80">
        <v>0</v>
      </c>
      <c r="AC25" s="27">
        <v>0</v>
      </c>
      <c r="AD25" s="27">
        <v>0</v>
      </c>
      <c r="AE25" s="80" t="s">
        <v>136</v>
      </c>
      <c r="AF25" s="80">
        <v>0</v>
      </c>
      <c r="AG25" s="80" t="s">
        <v>136</v>
      </c>
      <c r="AH25" s="80">
        <v>0</v>
      </c>
      <c r="AI25" s="27">
        <f t="shared" si="0"/>
        <v>0</v>
      </c>
      <c r="AJ25" s="27">
        <f t="shared" si="1"/>
        <v>0</v>
      </c>
      <c r="AK25" s="27">
        <v>80.119418292000006</v>
      </c>
      <c r="AL25" s="27">
        <v>1.2420077067999999</v>
      </c>
      <c r="AM25" s="80" t="s">
        <v>136</v>
      </c>
      <c r="AN25" s="80">
        <v>0</v>
      </c>
      <c r="AO25" s="80" t="s">
        <v>136</v>
      </c>
      <c r="AP25" s="80">
        <v>0</v>
      </c>
      <c r="AQ25" s="80" t="s">
        <v>136</v>
      </c>
      <c r="AR25" s="80">
        <v>0</v>
      </c>
      <c r="AS25" s="27">
        <v>43.056883468999999</v>
      </c>
      <c r="AT25" s="27">
        <v>1.5656073604</v>
      </c>
      <c r="AU25" s="27">
        <v>31.378908987999999</v>
      </c>
      <c r="AV25" s="27">
        <v>0.3079779654</v>
      </c>
      <c r="AW25" s="27">
        <v>14.162226193</v>
      </c>
      <c r="AX25" s="27">
        <v>0.18736967239999999</v>
      </c>
      <c r="AY25" s="27">
        <v>4.9092613882</v>
      </c>
      <c r="AZ25" s="27">
        <v>4.7505719100000003E-2</v>
      </c>
      <c r="BA25" s="80">
        <f t="shared" si="2"/>
        <v>12.3074214068</v>
      </c>
      <c r="BB25" s="80">
        <f t="shared" si="3"/>
        <v>7.3102573899999995E-2</v>
      </c>
      <c r="BC25" s="27">
        <v>0</v>
      </c>
      <c r="BD25" s="80">
        <v>0</v>
      </c>
      <c r="BE25" s="27">
        <v>98.876864658000002</v>
      </c>
      <c r="BF25" s="27">
        <v>1.5381026174000001</v>
      </c>
      <c r="BG25" s="27">
        <v>5.3291869999999998E-4</v>
      </c>
      <c r="BH25" s="80">
        <v>0</v>
      </c>
      <c r="BI25" s="27">
        <v>77.694698083000006</v>
      </c>
      <c r="BJ25" s="27">
        <v>2.7865564126</v>
      </c>
      <c r="BK25" s="27">
        <v>74.303688278999999</v>
      </c>
      <c r="BL25" s="27">
        <v>0.53769256980000002</v>
      </c>
      <c r="BM25" s="27">
        <v>11.641296901</v>
      </c>
      <c r="BN25" s="27">
        <v>6.3228280900000003E-2</v>
      </c>
      <c r="BO25" s="27">
        <v>6.9123931E-2</v>
      </c>
      <c r="BP25" s="27">
        <v>6.6042620000000005E-4</v>
      </c>
      <c r="BQ25" s="27">
        <v>0</v>
      </c>
      <c r="BR25" s="92">
        <v>0</v>
      </c>
      <c r="BS25" s="80" t="s">
        <v>136</v>
      </c>
      <c r="BT25" s="80">
        <v>0</v>
      </c>
      <c r="BU25" s="27">
        <v>0.35448350989999999</v>
      </c>
      <c r="BV25" s="27">
        <v>5.0931246000000003E-3</v>
      </c>
      <c r="BW25" s="27">
        <v>12.660771432000001</v>
      </c>
      <c r="BX25" s="27">
        <v>0.10012543359999999</v>
      </c>
      <c r="BY25" s="80" t="s">
        <v>136</v>
      </c>
      <c r="BZ25" s="80">
        <v>0</v>
      </c>
      <c r="CA25" s="80" t="s">
        <v>136</v>
      </c>
      <c r="CB25" s="80">
        <v>0</v>
      </c>
      <c r="CC25" s="27">
        <v>2.4787413596999999</v>
      </c>
      <c r="CD25" s="27">
        <v>3.6894185E-3</v>
      </c>
      <c r="CE25" s="27">
        <v>3.9976212175999999</v>
      </c>
      <c r="CF25" s="27">
        <v>1.04717995E-2</v>
      </c>
      <c r="CG25" s="80" t="s">
        <v>136</v>
      </c>
      <c r="CH25" s="80">
        <v>0</v>
      </c>
      <c r="CI25" s="80" t="s">
        <v>136</v>
      </c>
      <c r="CJ25" s="80">
        <v>0</v>
      </c>
      <c r="CK25" s="80" t="s">
        <v>136</v>
      </c>
      <c r="CL25" s="80">
        <v>0</v>
      </c>
      <c r="CM25" s="80" t="s">
        <v>136</v>
      </c>
      <c r="CN25" s="80">
        <v>0</v>
      </c>
      <c r="CO25" s="27">
        <v>4.06139732E-2</v>
      </c>
      <c r="CP25" s="27">
        <v>4.9231640000000005E-4</v>
      </c>
      <c r="CQ25" s="27">
        <v>5.0165335399999997E-2</v>
      </c>
      <c r="CR25" s="27">
        <v>4.6369329999999999E-4</v>
      </c>
      <c r="CS25" s="27">
        <v>0.97963728729999999</v>
      </c>
      <c r="CT25" s="27">
        <v>1.1661878299999999E-2</v>
      </c>
      <c r="CU25" s="27">
        <v>18.588524159999999</v>
      </c>
      <c r="CV25" s="27">
        <v>0.4571037771</v>
      </c>
      <c r="CW25" s="93" t="s">
        <v>136</v>
      </c>
      <c r="CX25" s="80">
        <v>0</v>
      </c>
      <c r="CY25" s="80" t="s">
        <v>136</v>
      </c>
      <c r="CZ25" s="94">
        <v>0</v>
      </c>
      <c r="DA25" s="27">
        <v>18.492096962000002</v>
      </c>
      <c r="DB25" s="27">
        <v>0.4555740949</v>
      </c>
      <c r="DC25" s="27">
        <v>24.564786507000001</v>
      </c>
      <c r="DD25" s="27">
        <v>1.1100332654</v>
      </c>
      <c r="DE25" s="27">
        <v>6.6644350331000002</v>
      </c>
      <c r="DF25" s="27">
        <v>0.5347973493</v>
      </c>
      <c r="DG25" s="27">
        <v>92.212429624999999</v>
      </c>
      <c r="DH25" s="27">
        <v>1.0033052681000001</v>
      </c>
      <c r="DI25" s="95">
        <v>2.916816E-4</v>
      </c>
      <c r="DJ25" s="96">
        <v>4.6998130000000001E-4</v>
      </c>
      <c r="DK25" s="96">
        <v>5.1594520000000004E-4</v>
      </c>
      <c r="DL25" s="96">
        <v>5.2432230000000002E-4</v>
      </c>
      <c r="DM25" s="96">
        <v>5.270276E-4</v>
      </c>
      <c r="DN25" s="96">
        <v>5.2899130000000003E-4</v>
      </c>
      <c r="DO25" s="96">
        <v>5.3095499999999995E-4</v>
      </c>
      <c r="DP25" s="96">
        <v>5.3291869999999998E-4</v>
      </c>
      <c r="DQ25" s="96">
        <v>5.3291869999999998E-4</v>
      </c>
      <c r="DR25" s="97">
        <v>5.3291869999999998E-4</v>
      </c>
      <c r="DS25" s="93">
        <v>56.557193245999997</v>
      </c>
      <c r="DT25" s="80">
        <v>0.39791130190000001</v>
      </c>
      <c r="DU25" s="80">
        <v>23.558030418000001</v>
      </c>
      <c r="DV25" s="80">
        <v>0.1745821672</v>
      </c>
      <c r="DW25" s="80">
        <v>9.5808861702999994</v>
      </c>
      <c r="DX25" s="80">
        <v>7.4954044400000003E-2</v>
      </c>
      <c r="DY25" s="80">
        <v>3.8482611523000001</v>
      </c>
      <c r="DZ25" s="80">
        <v>3.2414206100000002E-2</v>
      </c>
      <c r="EA25" s="80">
        <v>1.5892196375000001</v>
      </c>
      <c r="EB25" s="80">
        <v>1.49422115E-2</v>
      </c>
      <c r="EC25" s="80">
        <v>0.68664519020000003</v>
      </c>
      <c r="ED25" s="80">
        <v>7.5781208000000001E-3</v>
      </c>
      <c r="EE25" s="80">
        <v>0.31911712669999998</v>
      </c>
      <c r="EF25" s="80">
        <v>4.3820956000000001E-3</v>
      </c>
      <c r="EG25" s="80">
        <v>0.17347074879999999</v>
      </c>
      <c r="EH25" s="80">
        <v>2.9624978E-3</v>
      </c>
      <c r="EI25" s="80">
        <v>0.1094645112</v>
      </c>
      <c r="EJ25" s="80">
        <v>2.2113724000000002E-3</v>
      </c>
      <c r="EK25" s="80">
        <v>7.5297320000000001E-2</v>
      </c>
      <c r="EL25" s="94">
        <v>1.7317401999999999E-3</v>
      </c>
    </row>
    <row r="26" spans="1:142" x14ac:dyDescent="0.2">
      <c r="A26" s="79">
        <v>2100</v>
      </c>
      <c r="B26" s="27">
        <v>16343</v>
      </c>
      <c r="C26" s="79">
        <v>1401.1302185</v>
      </c>
      <c r="D26" s="27">
        <v>2049.5413963000001</v>
      </c>
      <c r="E26" s="27">
        <v>38.536440530999997</v>
      </c>
      <c r="F26" s="27">
        <v>5.8951288499999997E-2</v>
      </c>
      <c r="G26" s="79">
        <v>0.42401874049999999</v>
      </c>
      <c r="H26" s="27">
        <v>3.542916E-4</v>
      </c>
      <c r="I26" s="27">
        <v>133.48759215999999</v>
      </c>
      <c r="J26" s="27">
        <v>0.87652107940000001</v>
      </c>
      <c r="K26" s="27">
        <v>60.684398942999998</v>
      </c>
      <c r="L26" s="27">
        <v>0.37309873970000001</v>
      </c>
      <c r="M26" s="27">
        <v>13.836915993</v>
      </c>
      <c r="N26" s="27">
        <v>0.11151968199999999</v>
      </c>
      <c r="O26" s="80" t="s">
        <v>136</v>
      </c>
      <c r="P26" s="80">
        <v>0</v>
      </c>
      <c r="Q26" s="27">
        <v>7.3653100870000001</v>
      </c>
      <c r="R26" s="27">
        <v>1.5796729799999999E-2</v>
      </c>
      <c r="S26" s="80" t="s">
        <v>136</v>
      </c>
      <c r="T26" s="80">
        <v>0</v>
      </c>
      <c r="U26" s="80" t="s">
        <v>136</v>
      </c>
      <c r="V26" s="80">
        <v>0</v>
      </c>
      <c r="W26" s="27">
        <v>0.103943886</v>
      </c>
      <c r="X26" s="27">
        <v>1.0826166E-3</v>
      </c>
      <c r="Y26" s="27">
        <v>20.837013126999999</v>
      </c>
      <c r="Z26" s="27">
        <v>0.49751836630000001</v>
      </c>
      <c r="AA26" s="80" t="s">
        <v>136</v>
      </c>
      <c r="AB26" s="80">
        <v>0</v>
      </c>
      <c r="AC26" s="27">
        <v>0</v>
      </c>
      <c r="AD26" s="27">
        <v>0</v>
      </c>
      <c r="AE26" s="80" t="s">
        <v>136</v>
      </c>
      <c r="AF26" s="80">
        <v>0</v>
      </c>
      <c r="AG26" s="80" t="s">
        <v>136</v>
      </c>
      <c r="AH26" s="80">
        <v>0</v>
      </c>
      <c r="AI26" s="27">
        <f t="shared" si="0"/>
        <v>0</v>
      </c>
      <c r="AJ26" s="27">
        <f t="shared" si="1"/>
        <v>0</v>
      </c>
      <c r="AK26" s="27">
        <v>82.995396741999997</v>
      </c>
      <c r="AL26" s="27">
        <v>1.2774571246999999</v>
      </c>
      <c r="AM26" s="80" t="s">
        <v>136</v>
      </c>
      <c r="AN26" s="80">
        <v>0</v>
      </c>
      <c r="AO26" s="80" t="s">
        <v>136</v>
      </c>
      <c r="AP26" s="80">
        <v>0</v>
      </c>
      <c r="AQ26" s="80" t="s">
        <v>136</v>
      </c>
      <c r="AR26" s="80">
        <v>0</v>
      </c>
      <c r="AS26" s="27">
        <v>44.949073712000001</v>
      </c>
      <c r="AT26" s="27">
        <v>1.6204484535999999</v>
      </c>
      <c r="AU26" s="27">
        <v>33.31412898</v>
      </c>
      <c r="AV26" s="27">
        <v>0.32232888389999997</v>
      </c>
      <c r="AW26" s="27">
        <v>15.009201821</v>
      </c>
      <c r="AX26" s="27">
        <v>0.19619038229999999</v>
      </c>
      <c r="AY26" s="27">
        <v>5.1388167157</v>
      </c>
      <c r="AZ26" s="27">
        <v>4.9121259399999999E-2</v>
      </c>
      <c r="BA26" s="80">
        <f t="shared" si="2"/>
        <v>13.166110443299999</v>
      </c>
      <c r="BB26" s="80">
        <f t="shared" si="3"/>
        <v>7.7017242199999975E-2</v>
      </c>
      <c r="BC26" s="27">
        <v>0</v>
      </c>
      <c r="BD26" s="80">
        <v>0</v>
      </c>
      <c r="BE26" s="27">
        <v>103.22154269000001</v>
      </c>
      <c r="BF26" s="27">
        <v>1.5942664043999999</v>
      </c>
      <c r="BG26" s="27">
        <v>6.5124319999999999E-4</v>
      </c>
      <c r="BH26" s="80">
        <v>0</v>
      </c>
      <c r="BI26" s="27">
        <v>80.601712880999997</v>
      </c>
      <c r="BJ26" s="27">
        <v>2.8616800600999999</v>
      </c>
      <c r="BK26" s="27">
        <v>80.533019593000006</v>
      </c>
      <c r="BL26" s="27">
        <v>0.57968653940000003</v>
      </c>
      <c r="BM26" s="27">
        <v>12.387335145</v>
      </c>
      <c r="BN26" s="27">
        <v>6.6372087900000001E-2</v>
      </c>
      <c r="BO26" s="27">
        <v>7.2326468699999993E-2</v>
      </c>
      <c r="BP26" s="27">
        <v>6.9810789999999998E-4</v>
      </c>
      <c r="BQ26" s="27">
        <v>0</v>
      </c>
      <c r="BR26" s="92">
        <v>0</v>
      </c>
      <c r="BS26" s="80" t="s">
        <v>136</v>
      </c>
      <c r="BT26" s="80">
        <v>0</v>
      </c>
      <c r="BU26" s="27">
        <v>0.37712847700000002</v>
      </c>
      <c r="BV26" s="27">
        <v>5.4409150999999998E-3</v>
      </c>
      <c r="BW26" s="27">
        <v>13.459787516</v>
      </c>
      <c r="BX26" s="27">
        <v>0.1060787669</v>
      </c>
      <c r="BY26" s="80" t="s">
        <v>136</v>
      </c>
      <c r="BZ26" s="80">
        <v>0</v>
      </c>
      <c r="CA26" s="80" t="s">
        <v>136</v>
      </c>
      <c r="CB26" s="80">
        <v>0</v>
      </c>
      <c r="CC26" s="27">
        <v>2.9168076897000002</v>
      </c>
      <c r="CD26" s="27">
        <v>4.2286299000000001E-3</v>
      </c>
      <c r="CE26" s="27">
        <v>4.4485023974000004</v>
      </c>
      <c r="CF26" s="27">
        <v>1.15680998E-2</v>
      </c>
      <c r="CG26" s="80" t="s">
        <v>136</v>
      </c>
      <c r="CH26" s="80">
        <v>0</v>
      </c>
      <c r="CI26" s="80" t="s">
        <v>136</v>
      </c>
      <c r="CJ26" s="80">
        <v>0</v>
      </c>
      <c r="CK26" s="80" t="s">
        <v>136</v>
      </c>
      <c r="CL26" s="80">
        <v>0</v>
      </c>
      <c r="CM26" s="80" t="s">
        <v>136</v>
      </c>
      <c r="CN26" s="80">
        <v>0</v>
      </c>
      <c r="CO26" s="27">
        <v>4.4150466999999999E-2</v>
      </c>
      <c r="CP26" s="27">
        <v>5.3126810000000003E-4</v>
      </c>
      <c r="CQ26" s="27">
        <v>5.9793418899999999E-2</v>
      </c>
      <c r="CR26" s="27">
        <v>5.5134849999999996E-4</v>
      </c>
      <c r="CS26" s="27">
        <v>1.0796722473</v>
      </c>
      <c r="CT26" s="27">
        <v>1.2641420299999999E-2</v>
      </c>
      <c r="CU26" s="27">
        <v>19.757340880000001</v>
      </c>
      <c r="CV26" s="27">
        <v>0.48487694599999998</v>
      </c>
      <c r="CW26" s="93" t="s">
        <v>136</v>
      </c>
      <c r="CX26" s="80">
        <v>0</v>
      </c>
      <c r="CY26" s="80" t="s">
        <v>136</v>
      </c>
      <c r="CZ26" s="94">
        <v>0</v>
      </c>
      <c r="DA26" s="27">
        <v>19.452168191999998</v>
      </c>
      <c r="DB26" s="27">
        <v>0.4758136684</v>
      </c>
      <c r="DC26" s="27">
        <v>25.496905518999998</v>
      </c>
      <c r="DD26" s="27">
        <v>1.1446347852000001</v>
      </c>
      <c r="DE26" s="27">
        <v>7.1710754147999998</v>
      </c>
      <c r="DF26" s="27">
        <v>0.55714982840000005</v>
      </c>
      <c r="DG26" s="27">
        <v>96.050467272000006</v>
      </c>
      <c r="DH26" s="27">
        <v>1.0371165760000001</v>
      </c>
      <c r="DI26" s="95">
        <v>3.5033889999999999E-4</v>
      </c>
      <c r="DJ26" s="96">
        <v>5.7142130000000001E-4</v>
      </c>
      <c r="DK26" s="96">
        <v>6.3143900000000002E-4</v>
      </c>
      <c r="DL26" s="96">
        <v>6.4194480000000003E-4</v>
      </c>
      <c r="DM26" s="96">
        <v>6.4543930000000003E-4</v>
      </c>
      <c r="DN26" s="96">
        <v>6.4737390000000001E-4</v>
      </c>
      <c r="DO26" s="96">
        <v>6.4930860000000001E-4</v>
      </c>
      <c r="DP26" s="96">
        <v>6.5124319999999999E-4</v>
      </c>
      <c r="DQ26" s="96">
        <v>6.5124319999999999E-4</v>
      </c>
      <c r="DR26" s="97">
        <v>6.5124319999999999E-4</v>
      </c>
      <c r="DS26" s="93">
        <v>58.801617378000003</v>
      </c>
      <c r="DT26" s="80">
        <v>0.41306525640000002</v>
      </c>
      <c r="DU26" s="80">
        <v>24.890683871</v>
      </c>
      <c r="DV26" s="80">
        <v>0.1840016636</v>
      </c>
      <c r="DW26" s="80">
        <v>10.298084406999999</v>
      </c>
      <c r="DX26" s="80">
        <v>8.0314156100000006E-2</v>
      </c>
      <c r="DY26" s="80">
        <v>4.2191835457</v>
      </c>
      <c r="DZ26" s="80">
        <v>3.53800482E-2</v>
      </c>
      <c r="EA26" s="80">
        <v>1.7784645506000001</v>
      </c>
      <c r="EB26" s="80">
        <v>1.6612791599999999E-2</v>
      </c>
      <c r="EC26" s="80">
        <v>0.78097427720000001</v>
      </c>
      <c r="ED26" s="80">
        <v>8.5371771999999992E-3</v>
      </c>
      <c r="EE26" s="80">
        <v>0.3693005191</v>
      </c>
      <c r="EF26" s="80">
        <v>4.9940373999999999E-3</v>
      </c>
      <c r="EG26" s="80">
        <v>0.20019820839999999</v>
      </c>
      <c r="EH26" s="80">
        <v>3.3788743000000001E-3</v>
      </c>
      <c r="EI26" s="80">
        <v>0.1279138766</v>
      </c>
      <c r="EJ26" s="80">
        <v>2.5454956999999999E-3</v>
      </c>
      <c r="EK26" s="80">
        <v>8.8273682800000003E-2</v>
      </c>
      <c r="EL26" s="94">
        <v>2.0036131E-3</v>
      </c>
    </row>
    <row r="27" spans="1:142" x14ac:dyDescent="0.2">
      <c r="A27" s="79">
        <v>2200</v>
      </c>
      <c r="B27" s="27">
        <v>15558</v>
      </c>
      <c r="C27" s="79">
        <v>1450.8822461</v>
      </c>
      <c r="D27" s="27">
        <v>2149.3183153999998</v>
      </c>
      <c r="E27" s="27">
        <v>40.717415463999998</v>
      </c>
      <c r="F27" s="27">
        <v>6.1128888700000002E-2</v>
      </c>
      <c r="G27" s="79">
        <v>0.53882386309999997</v>
      </c>
      <c r="H27" s="27">
        <v>4.2644930000000002E-4</v>
      </c>
      <c r="I27" s="27">
        <v>136.33503386000001</v>
      </c>
      <c r="J27" s="27">
        <v>0.89525505869999999</v>
      </c>
      <c r="K27" s="27">
        <v>62.721259977000003</v>
      </c>
      <c r="L27" s="27">
        <v>0.38568123139999999</v>
      </c>
      <c r="M27" s="27">
        <v>14.658042858</v>
      </c>
      <c r="N27" s="27">
        <v>0.1176782693</v>
      </c>
      <c r="O27" s="80" t="s">
        <v>136</v>
      </c>
      <c r="P27" s="80">
        <v>0</v>
      </c>
      <c r="Q27" s="27">
        <v>8.2718484544000006</v>
      </c>
      <c r="R27" s="27">
        <v>1.7447648499999999E-2</v>
      </c>
      <c r="S27" s="80" t="s">
        <v>136</v>
      </c>
      <c r="T27" s="80">
        <v>0</v>
      </c>
      <c r="U27" s="80" t="s">
        <v>136</v>
      </c>
      <c r="V27" s="80">
        <v>0</v>
      </c>
      <c r="W27" s="27">
        <v>0.11706005830000001</v>
      </c>
      <c r="X27" s="27">
        <v>1.1946596E-3</v>
      </c>
      <c r="Y27" s="27">
        <v>22.16595856</v>
      </c>
      <c r="Z27" s="27">
        <v>0.52729675659999997</v>
      </c>
      <c r="AA27" s="80" t="s">
        <v>136</v>
      </c>
      <c r="AB27" s="80">
        <v>0</v>
      </c>
      <c r="AC27" s="27">
        <v>0</v>
      </c>
      <c r="AD27" s="27">
        <v>0</v>
      </c>
      <c r="AE27" s="80" t="s">
        <v>136</v>
      </c>
      <c r="AF27" s="80">
        <v>0</v>
      </c>
      <c r="AG27" s="80" t="s">
        <v>136</v>
      </c>
      <c r="AH27" s="80">
        <v>0</v>
      </c>
      <c r="AI27" s="27">
        <f t="shared" si="0"/>
        <v>0</v>
      </c>
      <c r="AJ27" s="27">
        <f t="shared" si="1"/>
        <v>0</v>
      </c>
      <c r="AK27" s="27">
        <v>85.809970832000005</v>
      </c>
      <c r="AL27" s="27">
        <v>1.3104618925</v>
      </c>
      <c r="AM27" s="80" t="s">
        <v>136</v>
      </c>
      <c r="AN27" s="80">
        <v>0</v>
      </c>
      <c r="AO27" s="80" t="s">
        <v>136</v>
      </c>
      <c r="AP27" s="80">
        <v>0</v>
      </c>
      <c r="AQ27" s="80" t="s">
        <v>136</v>
      </c>
      <c r="AR27" s="80">
        <v>0</v>
      </c>
      <c r="AS27" s="27">
        <v>46.760495055</v>
      </c>
      <c r="AT27" s="27">
        <v>1.6710229601</v>
      </c>
      <c r="AU27" s="27">
        <v>35.079155911999997</v>
      </c>
      <c r="AV27" s="27">
        <v>0.3354709374</v>
      </c>
      <c r="AW27" s="27">
        <v>15.758915452</v>
      </c>
      <c r="AX27" s="27">
        <v>0.20414636950000001</v>
      </c>
      <c r="AY27" s="27">
        <v>5.3685286840000002</v>
      </c>
      <c r="AZ27" s="27">
        <v>5.0749321899999998E-2</v>
      </c>
      <c r="BA27" s="80">
        <f t="shared" si="2"/>
        <v>13.951711775999996</v>
      </c>
      <c r="BB27" s="80">
        <f t="shared" si="3"/>
        <v>8.0575245999999989E-2</v>
      </c>
      <c r="BC27" s="27">
        <v>0</v>
      </c>
      <c r="BD27" s="80">
        <v>0</v>
      </c>
      <c r="BE27" s="27">
        <v>107.43432005</v>
      </c>
      <c r="BF27" s="27">
        <v>1.6461020917</v>
      </c>
      <c r="BG27" s="27">
        <v>7.8075449999999999E-4</v>
      </c>
      <c r="BH27" s="80">
        <v>0</v>
      </c>
      <c r="BI27" s="27">
        <v>83.455872608000007</v>
      </c>
      <c r="BJ27" s="27">
        <v>2.9355689432999998</v>
      </c>
      <c r="BK27" s="27">
        <v>86.710087814999994</v>
      </c>
      <c r="BL27" s="27">
        <v>0.62086671559999995</v>
      </c>
      <c r="BM27" s="27">
        <v>13.225149439000001</v>
      </c>
      <c r="BN27" s="27">
        <v>7.0071174900000005E-2</v>
      </c>
      <c r="BO27" s="27">
        <v>7.6333953800000007E-2</v>
      </c>
      <c r="BP27" s="27">
        <v>7.6309589999999997E-4</v>
      </c>
      <c r="BQ27" s="27">
        <v>0</v>
      </c>
      <c r="BR27" s="92">
        <v>0</v>
      </c>
      <c r="BS27" s="80" t="s">
        <v>136</v>
      </c>
      <c r="BT27" s="80">
        <v>0</v>
      </c>
      <c r="BU27" s="27">
        <v>0.39689689890000002</v>
      </c>
      <c r="BV27" s="27">
        <v>5.6387095999999998E-3</v>
      </c>
      <c r="BW27" s="27">
        <v>14.261145959</v>
      </c>
      <c r="BX27" s="27">
        <v>0.1120395596</v>
      </c>
      <c r="BY27" s="80" t="s">
        <v>136</v>
      </c>
      <c r="BZ27" s="80">
        <v>0</v>
      </c>
      <c r="CA27" s="80" t="s">
        <v>136</v>
      </c>
      <c r="CB27" s="80">
        <v>0</v>
      </c>
      <c r="CC27" s="27">
        <v>3.3588548605000002</v>
      </c>
      <c r="CD27" s="27">
        <v>4.7621701000000001E-3</v>
      </c>
      <c r="CE27" s="27">
        <v>4.9129935939999996</v>
      </c>
      <c r="CF27" s="27">
        <v>1.26854784E-2</v>
      </c>
      <c r="CG27" s="80" t="s">
        <v>136</v>
      </c>
      <c r="CH27" s="80">
        <v>0</v>
      </c>
      <c r="CI27" s="80" t="s">
        <v>136</v>
      </c>
      <c r="CJ27" s="80">
        <v>0</v>
      </c>
      <c r="CK27" s="80" t="s">
        <v>136</v>
      </c>
      <c r="CL27" s="80">
        <v>0</v>
      </c>
      <c r="CM27" s="80" t="s">
        <v>136</v>
      </c>
      <c r="CN27" s="80">
        <v>0</v>
      </c>
      <c r="CO27" s="27">
        <v>4.4154431600000002E-2</v>
      </c>
      <c r="CP27" s="27">
        <v>5.2789060000000003E-4</v>
      </c>
      <c r="CQ27" s="27">
        <v>7.2905626700000004E-2</v>
      </c>
      <c r="CR27" s="27">
        <v>6.66769E-4</v>
      </c>
      <c r="CS27" s="27">
        <v>1.1859028575999999</v>
      </c>
      <c r="CT27" s="27">
        <v>1.3764623700000001E-2</v>
      </c>
      <c r="CU27" s="27">
        <v>20.980055702000001</v>
      </c>
      <c r="CV27" s="27">
        <v>0.51353213289999999</v>
      </c>
      <c r="CW27" s="93" t="s">
        <v>136</v>
      </c>
      <c r="CX27" s="80">
        <v>0</v>
      </c>
      <c r="CY27" s="80" t="s">
        <v>136</v>
      </c>
      <c r="CZ27" s="94">
        <v>0</v>
      </c>
      <c r="DA27" s="27">
        <v>20.345093472999999</v>
      </c>
      <c r="DB27" s="27">
        <v>0.49344151180000001</v>
      </c>
      <c r="DC27" s="27">
        <v>26.415401582000001</v>
      </c>
      <c r="DD27" s="27">
        <v>1.1775814483</v>
      </c>
      <c r="DE27" s="27">
        <v>7.6778323935000001</v>
      </c>
      <c r="DF27" s="27">
        <v>0.576675469</v>
      </c>
      <c r="DG27" s="27">
        <v>99.756487660999994</v>
      </c>
      <c r="DH27" s="27">
        <v>1.0694266227</v>
      </c>
      <c r="DI27" s="95">
        <v>4.2257589999999999E-4</v>
      </c>
      <c r="DJ27" s="96">
        <v>6.8904739999999995E-4</v>
      </c>
      <c r="DK27" s="96">
        <v>7.6057830000000003E-4</v>
      </c>
      <c r="DL27" s="96">
        <v>7.7159910000000002E-4</v>
      </c>
      <c r="DM27" s="96">
        <v>7.7503200000000004E-4</v>
      </c>
      <c r="DN27" s="96">
        <v>7.7693949999999999E-4</v>
      </c>
      <c r="DO27" s="96">
        <v>7.7884700000000005E-4</v>
      </c>
      <c r="DP27" s="96">
        <v>7.8075449999999999E-4</v>
      </c>
      <c r="DQ27" s="96">
        <v>7.8075449999999999E-4</v>
      </c>
      <c r="DR27" s="97">
        <v>7.8075449999999999E-4</v>
      </c>
      <c r="DS27" s="93">
        <v>60.814081919000003</v>
      </c>
      <c r="DT27" s="80">
        <v>0.42674342840000001</v>
      </c>
      <c r="DU27" s="80">
        <v>26.090264740999999</v>
      </c>
      <c r="DV27" s="80">
        <v>0.19256319729999999</v>
      </c>
      <c r="DW27" s="80">
        <v>10.962160319000001</v>
      </c>
      <c r="DX27" s="80">
        <v>8.5278705299999993E-2</v>
      </c>
      <c r="DY27" s="80">
        <v>4.5732836103999999</v>
      </c>
      <c r="DZ27" s="80">
        <v>3.8200968199999998E-2</v>
      </c>
      <c r="EA27" s="80">
        <v>1.96354253</v>
      </c>
      <c r="EB27" s="80">
        <v>1.8219445800000001E-2</v>
      </c>
      <c r="EC27" s="80">
        <v>0.88146221979999995</v>
      </c>
      <c r="ED27" s="80">
        <v>9.5077136999999999E-3</v>
      </c>
      <c r="EE27" s="80">
        <v>0.42424553030000001</v>
      </c>
      <c r="EF27" s="80">
        <v>5.6138537999999997E-3</v>
      </c>
      <c r="EG27" s="80">
        <v>0.23163507780000001</v>
      </c>
      <c r="EH27" s="80">
        <v>3.8018346999999998E-3</v>
      </c>
      <c r="EI27" s="80">
        <v>0.1455958356</v>
      </c>
      <c r="EJ27" s="80">
        <v>2.8487397000000001E-3</v>
      </c>
      <c r="EK27" s="80">
        <v>9.8935236300000007E-2</v>
      </c>
      <c r="EL27" s="94">
        <v>2.2391018000000001E-3</v>
      </c>
    </row>
    <row r="28" spans="1:142" x14ac:dyDescent="0.2">
      <c r="A28" s="79">
        <v>2300</v>
      </c>
      <c r="B28" s="27">
        <v>14960</v>
      </c>
      <c r="C28" s="79">
        <v>1499.7148648</v>
      </c>
      <c r="D28" s="27">
        <v>2249.4706289999999</v>
      </c>
      <c r="E28" s="27">
        <v>43.027335706999999</v>
      </c>
      <c r="F28" s="27">
        <v>6.3440492400000006E-2</v>
      </c>
      <c r="G28" s="79">
        <v>0.62686662100000001</v>
      </c>
      <c r="H28" s="27">
        <v>4.7524379999999998E-4</v>
      </c>
      <c r="I28" s="27">
        <v>139.10078318999999</v>
      </c>
      <c r="J28" s="27">
        <v>0.91363869269999998</v>
      </c>
      <c r="K28" s="27">
        <v>64.703465468999994</v>
      </c>
      <c r="L28" s="27">
        <v>0.3976613658</v>
      </c>
      <c r="M28" s="27">
        <v>15.461861127000001</v>
      </c>
      <c r="N28" s="27">
        <v>0.1240093667</v>
      </c>
      <c r="O28" s="80" t="s">
        <v>136</v>
      </c>
      <c r="P28" s="80">
        <v>0</v>
      </c>
      <c r="Q28" s="27">
        <v>9.2800573481999997</v>
      </c>
      <c r="R28" s="27">
        <v>1.9234714E-2</v>
      </c>
      <c r="S28" s="80" t="s">
        <v>136</v>
      </c>
      <c r="T28" s="80">
        <v>0</v>
      </c>
      <c r="U28" s="80" t="s">
        <v>136</v>
      </c>
      <c r="V28" s="80">
        <v>0</v>
      </c>
      <c r="W28" s="27">
        <v>0.13386229860000001</v>
      </c>
      <c r="X28" s="27">
        <v>1.3188570999999999E-3</v>
      </c>
      <c r="Y28" s="27">
        <v>23.577664658</v>
      </c>
      <c r="Z28" s="27">
        <v>0.55932968679999995</v>
      </c>
      <c r="AA28" s="80" t="s">
        <v>136</v>
      </c>
      <c r="AB28" s="80">
        <v>0</v>
      </c>
      <c r="AC28" s="27">
        <v>0</v>
      </c>
      <c r="AD28" s="27">
        <v>0</v>
      </c>
      <c r="AE28" s="80" t="s">
        <v>136</v>
      </c>
      <c r="AF28" s="80">
        <v>0</v>
      </c>
      <c r="AG28" s="80" t="s">
        <v>136</v>
      </c>
      <c r="AH28" s="80">
        <v>0</v>
      </c>
      <c r="AI28" s="27">
        <f t="shared" si="0"/>
        <v>0</v>
      </c>
      <c r="AJ28" s="27">
        <f t="shared" si="1"/>
        <v>0</v>
      </c>
      <c r="AK28" s="27">
        <v>88.532002270000007</v>
      </c>
      <c r="AL28" s="27">
        <v>1.3429151130000001</v>
      </c>
      <c r="AM28" s="80" t="s">
        <v>136</v>
      </c>
      <c r="AN28" s="80">
        <v>0</v>
      </c>
      <c r="AO28" s="80" t="s">
        <v>136</v>
      </c>
      <c r="AP28" s="80">
        <v>0</v>
      </c>
      <c r="AQ28" s="80" t="s">
        <v>136</v>
      </c>
      <c r="AR28" s="80">
        <v>0</v>
      </c>
      <c r="AS28" s="27">
        <v>48.548121905999999</v>
      </c>
      <c r="AT28" s="27">
        <v>1.7209915917</v>
      </c>
      <c r="AU28" s="27">
        <v>36.878105161999997</v>
      </c>
      <c r="AV28" s="27">
        <v>0.34813679819999999</v>
      </c>
      <c r="AW28" s="27">
        <v>16.535700465000001</v>
      </c>
      <c r="AX28" s="27">
        <v>0.21192843720000001</v>
      </c>
      <c r="AY28" s="27">
        <v>5.6046071923999996</v>
      </c>
      <c r="AZ28" s="27">
        <v>5.2396349000000002E-2</v>
      </c>
      <c r="BA28" s="80">
        <f t="shared" si="2"/>
        <v>14.737797504599996</v>
      </c>
      <c r="BB28" s="80">
        <f t="shared" si="3"/>
        <v>8.3812011999999991E-2</v>
      </c>
      <c r="BC28" s="27">
        <v>0</v>
      </c>
      <c r="BD28" s="80">
        <v>0</v>
      </c>
      <c r="BE28" s="27">
        <v>111.71961449</v>
      </c>
      <c r="BF28" s="27">
        <v>1.6977288839</v>
      </c>
      <c r="BG28" s="27">
        <v>8.7626230000000004E-4</v>
      </c>
      <c r="BH28" s="80">
        <v>0</v>
      </c>
      <c r="BI28" s="27">
        <v>86.174107320999994</v>
      </c>
      <c r="BJ28" s="27">
        <v>3.0068960099000002</v>
      </c>
      <c r="BK28" s="27">
        <v>92.813939501999997</v>
      </c>
      <c r="BL28" s="27">
        <v>0.66024706550000001</v>
      </c>
      <c r="BM28" s="27">
        <v>14.080134716</v>
      </c>
      <c r="BN28" s="27">
        <v>7.35113295E-2</v>
      </c>
      <c r="BO28" s="27">
        <v>8.5486429399999994E-2</v>
      </c>
      <c r="BP28" s="27">
        <v>7.826997E-4</v>
      </c>
      <c r="BQ28" s="27">
        <v>0</v>
      </c>
      <c r="BR28" s="92">
        <v>0</v>
      </c>
      <c r="BS28" s="80" t="s">
        <v>136</v>
      </c>
      <c r="BT28" s="80">
        <v>0</v>
      </c>
      <c r="BU28" s="27">
        <v>0.41395716269999999</v>
      </c>
      <c r="BV28" s="27">
        <v>5.9425273000000001E-3</v>
      </c>
      <c r="BW28" s="27">
        <v>15.047903964</v>
      </c>
      <c r="BX28" s="27">
        <v>0.1180668393</v>
      </c>
      <c r="BY28" s="80" t="s">
        <v>136</v>
      </c>
      <c r="BZ28" s="80">
        <v>0</v>
      </c>
      <c r="CA28" s="80" t="s">
        <v>136</v>
      </c>
      <c r="CB28" s="80">
        <v>0</v>
      </c>
      <c r="CC28" s="27">
        <v>3.8584208349</v>
      </c>
      <c r="CD28" s="27">
        <v>5.3337864999999998E-3</v>
      </c>
      <c r="CE28" s="27">
        <v>5.4216365133000002</v>
      </c>
      <c r="CF28" s="27">
        <v>1.3900927400000001E-2</v>
      </c>
      <c r="CG28" s="80" t="s">
        <v>136</v>
      </c>
      <c r="CH28" s="80">
        <v>0</v>
      </c>
      <c r="CI28" s="80" t="s">
        <v>136</v>
      </c>
      <c r="CJ28" s="80">
        <v>0</v>
      </c>
      <c r="CK28" s="80" t="s">
        <v>136</v>
      </c>
      <c r="CL28" s="80">
        <v>0</v>
      </c>
      <c r="CM28" s="80" t="s">
        <v>136</v>
      </c>
      <c r="CN28" s="80">
        <v>0</v>
      </c>
      <c r="CO28" s="27">
        <v>5.1903436800000001E-2</v>
      </c>
      <c r="CP28" s="27">
        <v>5.7207489999999998E-4</v>
      </c>
      <c r="CQ28" s="27">
        <v>8.1958861800000005E-2</v>
      </c>
      <c r="CR28" s="27">
        <v>7.4678210000000001E-4</v>
      </c>
      <c r="CS28" s="27">
        <v>1.3164495952999999</v>
      </c>
      <c r="CT28" s="27">
        <v>1.52784406E-2</v>
      </c>
      <c r="CU28" s="27">
        <v>22.261215063000002</v>
      </c>
      <c r="CV28" s="27">
        <v>0.5440512462</v>
      </c>
      <c r="CW28" s="93" t="s">
        <v>136</v>
      </c>
      <c r="CX28" s="80">
        <v>0</v>
      </c>
      <c r="CY28" s="80" t="s">
        <v>136</v>
      </c>
      <c r="CZ28" s="94">
        <v>0</v>
      </c>
      <c r="DA28" s="27">
        <v>21.242888037</v>
      </c>
      <c r="DB28" s="27">
        <v>0.51149420649999999</v>
      </c>
      <c r="DC28" s="27">
        <v>27.305233868999998</v>
      </c>
      <c r="DD28" s="27">
        <v>1.2094973851999999</v>
      </c>
      <c r="DE28" s="27">
        <v>8.2142553429999996</v>
      </c>
      <c r="DF28" s="27">
        <v>0.5960346406</v>
      </c>
      <c r="DG28" s="27">
        <v>103.50535915</v>
      </c>
      <c r="DH28" s="27">
        <v>1.1016942433000001</v>
      </c>
      <c r="DI28" s="95">
        <v>4.714416E-4</v>
      </c>
      <c r="DJ28" s="96">
        <v>7.7678730000000002E-4</v>
      </c>
      <c r="DK28" s="96">
        <v>8.5571300000000002E-4</v>
      </c>
      <c r="DL28" s="96">
        <v>8.6724339999999999E-4</v>
      </c>
      <c r="DM28" s="96">
        <v>8.7061980000000005E-4</v>
      </c>
      <c r="DN28" s="96">
        <v>8.725006E-4</v>
      </c>
      <c r="DO28" s="96">
        <v>8.7438149999999998E-4</v>
      </c>
      <c r="DP28" s="96">
        <v>8.7626230000000004E-4</v>
      </c>
      <c r="DQ28" s="96">
        <v>8.7626230000000004E-4</v>
      </c>
      <c r="DR28" s="97">
        <v>8.7626230000000004E-4</v>
      </c>
      <c r="DS28" s="93">
        <v>62.779758876000002</v>
      </c>
      <c r="DT28" s="80">
        <v>0.44023625440000003</v>
      </c>
      <c r="DU28" s="80">
        <v>27.269719001999999</v>
      </c>
      <c r="DV28" s="80">
        <v>0.20106029989999999</v>
      </c>
      <c r="DW28" s="80">
        <v>11.608704235999999</v>
      </c>
      <c r="DX28" s="80">
        <v>9.0229231800000004E-2</v>
      </c>
      <c r="DY28" s="80">
        <v>4.9133397457000001</v>
      </c>
      <c r="DZ28" s="80">
        <v>4.1020520900000003E-2</v>
      </c>
      <c r="EA28" s="80">
        <v>2.1421455557</v>
      </c>
      <c r="EB28" s="80">
        <v>1.9860566199999999E-2</v>
      </c>
      <c r="EC28" s="80">
        <v>0.98112091509999999</v>
      </c>
      <c r="ED28" s="80">
        <v>1.0535288E-2</v>
      </c>
      <c r="EE28" s="80">
        <v>0.48119138750000001</v>
      </c>
      <c r="EF28" s="80">
        <v>6.2928569000000002E-3</v>
      </c>
      <c r="EG28" s="80">
        <v>0.26518412219999998</v>
      </c>
      <c r="EH28" s="80">
        <v>4.2802153999999997E-3</v>
      </c>
      <c r="EI28" s="80">
        <v>0.16704987539999999</v>
      </c>
      <c r="EJ28" s="80">
        <v>3.2140169E-3</v>
      </c>
      <c r="EK28" s="80">
        <v>0.11344342709999999</v>
      </c>
      <c r="EL28" s="94">
        <v>2.5307455999999998E-3</v>
      </c>
    </row>
    <row r="29" spans="1:142" x14ac:dyDescent="0.2">
      <c r="A29" s="79">
        <v>2400</v>
      </c>
      <c r="B29" s="27">
        <v>14652</v>
      </c>
      <c r="C29" s="79">
        <v>1547.4929881</v>
      </c>
      <c r="D29" s="27">
        <v>2349.2462685999999</v>
      </c>
      <c r="E29" s="27">
        <v>45.273988144</v>
      </c>
      <c r="F29" s="27">
        <v>6.5559913400000003E-2</v>
      </c>
      <c r="G29" s="79">
        <v>0.75136504589999997</v>
      </c>
      <c r="H29" s="27">
        <v>5.4670260000000003E-4</v>
      </c>
      <c r="I29" s="27">
        <v>141.70763549</v>
      </c>
      <c r="J29" s="27">
        <v>0.93105480279999997</v>
      </c>
      <c r="K29" s="27">
        <v>66.62559254</v>
      </c>
      <c r="L29" s="27">
        <v>0.40911324999999998</v>
      </c>
      <c r="M29" s="27">
        <v>16.334810528999999</v>
      </c>
      <c r="N29" s="27">
        <v>0.13091898430000001</v>
      </c>
      <c r="O29" s="80" t="s">
        <v>136</v>
      </c>
      <c r="P29" s="80">
        <v>0</v>
      </c>
      <c r="Q29" s="27">
        <v>10.175483412</v>
      </c>
      <c r="R29" s="27">
        <v>2.0878706600000001E-2</v>
      </c>
      <c r="S29" s="80" t="s">
        <v>136</v>
      </c>
      <c r="T29" s="80">
        <v>0</v>
      </c>
      <c r="U29" s="80" t="s">
        <v>136</v>
      </c>
      <c r="V29" s="80">
        <v>0</v>
      </c>
      <c r="W29" s="27">
        <v>0.15030822799999999</v>
      </c>
      <c r="X29" s="27">
        <v>1.5092974999999999E-3</v>
      </c>
      <c r="Y29" s="27">
        <v>24.979252039999999</v>
      </c>
      <c r="Z29" s="27">
        <v>0.59065446830000001</v>
      </c>
      <c r="AA29" s="80" t="s">
        <v>136</v>
      </c>
      <c r="AB29" s="80">
        <v>0</v>
      </c>
      <c r="AC29" s="27">
        <v>1.5248080000000001E-4</v>
      </c>
      <c r="AD29" s="27">
        <v>7.8336035000000005E-7</v>
      </c>
      <c r="AE29" s="80" t="s">
        <v>136</v>
      </c>
      <c r="AF29" s="80">
        <v>0</v>
      </c>
      <c r="AG29" s="80" t="s">
        <v>136</v>
      </c>
      <c r="AH29" s="80">
        <v>0</v>
      </c>
      <c r="AI29" s="27">
        <f t="shared" si="0"/>
        <v>1.5248080000000001E-4</v>
      </c>
      <c r="AJ29" s="27">
        <f t="shared" si="1"/>
        <v>7.8336035000000005E-7</v>
      </c>
      <c r="AK29" s="27">
        <v>91.283181030999998</v>
      </c>
      <c r="AL29" s="27">
        <v>1.3726347743</v>
      </c>
      <c r="AM29" s="80" t="s">
        <v>136</v>
      </c>
      <c r="AN29" s="80">
        <v>0</v>
      </c>
      <c r="AO29" s="80" t="s">
        <v>136</v>
      </c>
      <c r="AP29" s="80">
        <v>0</v>
      </c>
      <c r="AQ29" s="80" t="s">
        <v>136</v>
      </c>
      <c r="AR29" s="80">
        <v>0</v>
      </c>
      <c r="AS29" s="27">
        <v>50.181525667000002</v>
      </c>
      <c r="AT29" s="27">
        <v>1.7667739805</v>
      </c>
      <c r="AU29" s="27">
        <v>38.636486046000002</v>
      </c>
      <c r="AV29" s="27">
        <v>0.36048853110000001</v>
      </c>
      <c r="AW29" s="27">
        <v>17.299525903999999</v>
      </c>
      <c r="AX29" s="27">
        <v>0.21958178850000001</v>
      </c>
      <c r="AY29" s="27">
        <v>5.8126202204000004</v>
      </c>
      <c r="AZ29" s="27">
        <v>5.3823231499999999E-2</v>
      </c>
      <c r="BA29" s="80">
        <f t="shared" si="2"/>
        <v>15.524339921600003</v>
      </c>
      <c r="BB29" s="80">
        <f t="shared" si="3"/>
        <v>8.7083511100000011E-2</v>
      </c>
      <c r="BC29" s="27">
        <v>0</v>
      </c>
      <c r="BD29" s="80">
        <v>0</v>
      </c>
      <c r="BE29" s="27">
        <v>116.02691043999999</v>
      </c>
      <c r="BF29" s="27">
        <v>1.7471194811999999</v>
      </c>
      <c r="BG29" s="27">
        <v>1.0124444000000001E-3</v>
      </c>
      <c r="BH29" s="80">
        <v>0</v>
      </c>
      <c r="BI29" s="27">
        <v>88.817334152000001</v>
      </c>
      <c r="BJ29" s="27">
        <v>3.0711159386000002</v>
      </c>
      <c r="BK29" s="27">
        <v>99.231253468000006</v>
      </c>
      <c r="BL29" s="27">
        <v>0.70223396650000003</v>
      </c>
      <c r="BM29" s="27">
        <v>14.909598983</v>
      </c>
      <c r="BN29" s="27">
        <v>7.6755135299999999E-2</v>
      </c>
      <c r="BO29" s="27">
        <v>9.5636562100000003E-2</v>
      </c>
      <c r="BP29" s="27">
        <v>8.2332559999999996E-4</v>
      </c>
      <c r="BQ29" s="27">
        <v>0</v>
      </c>
      <c r="BR29" s="92">
        <v>0</v>
      </c>
      <c r="BS29" s="80" t="s">
        <v>136</v>
      </c>
      <c r="BT29" s="80">
        <v>0</v>
      </c>
      <c r="BU29" s="27">
        <v>0.4376896072</v>
      </c>
      <c r="BV29" s="27">
        <v>6.3394326999999997E-3</v>
      </c>
      <c r="BW29" s="27">
        <v>15.897120921999999</v>
      </c>
      <c r="BX29" s="27">
        <v>0.1245795516</v>
      </c>
      <c r="BY29" s="80" t="s">
        <v>136</v>
      </c>
      <c r="BZ29" s="80">
        <v>0</v>
      </c>
      <c r="CA29" s="80" t="s">
        <v>136</v>
      </c>
      <c r="CB29" s="80">
        <v>0</v>
      </c>
      <c r="CC29" s="27">
        <v>4.3168984482999999</v>
      </c>
      <c r="CD29" s="27">
        <v>5.8677097999999999E-3</v>
      </c>
      <c r="CE29" s="27">
        <v>5.8585849637000003</v>
      </c>
      <c r="CF29" s="27">
        <v>1.5010996800000001E-2</v>
      </c>
      <c r="CG29" s="80" t="s">
        <v>136</v>
      </c>
      <c r="CH29" s="80">
        <v>0</v>
      </c>
      <c r="CI29" s="80" t="s">
        <v>136</v>
      </c>
      <c r="CJ29" s="80">
        <v>0</v>
      </c>
      <c r="CK29" s="80" t="s">
        <v>136</v>
      </c>
      <c r="CL29" s="80">
        <v>0</v>
      </c>
      <c r="CM29" s="80" t="s">
        <v>136</v>
      </c>
      <c r="CN29" s="80">
        <v>0</v>
      </c>
      <c r="CO29" s="27">
        <v>5.7419397099999998E-2</v>
      </c>
      <c r="CP29" s="27">
        <v>6.69179E-4</v>
      </c>
      <c r="CQ29" s="27">
        <v>9.2888830800000002E-2</v>
      </c>
      <c r="CR29" s="27">
        <v>8.401185E-4</v>
      </c>
      <c r="CS29" s="27">
        <v>1.4521991871</v>
      </c>
      <c r="CT29" s="27">
        <v>1.6578243999999999E-2</v>
      </c>
      <c r="CU29" s="27">
        <v>23.527052853000001</v>
      </c>
      <c r="CV29" s="27">
        <v>0.57407622439999995</v>
      </c>
      <c r="CW29" s="93" t="s">
        <v>136</v>
      </c>
      <c r="CX29" s="80">
        <v>0</v>
      </c>
      <c r="CY29" s="80" t="s">
        <v>136</v>
      </c>
      <c r="CZ29" s="94">
        <v>0</v>
      </c>
      <c r="DA29" s="27">
        <v>22.047357283</v>
      </c>
      <c r="DB29" s="27">
        <v>0.52812957250000003</v>
      </c>
      <c r="DC29" s="27">
        <v>28.134168383999999</v>
      </c>
      <c r="DD29" s="27">
        <v>1.2386444080000001</v>
      </c>
      <c r="DE29" s="27">
        <v>8.7878220383999999</v>
      </c>
      <c r="DF29" s="27">
        <v>0.61472092170000003</v>
      </c>
      <c r="DG29" s="27">
        <v>107.2390884</v>
      </c>
      <c r="DH29" s="27">
        <v>1.1323985594999999</v>
      </c>
      <c r="DI29" s="95">
        <v>5.4296559999999995E-4</v>
      </c>
      <c r="DJ29" s="96">
        <v>9.0023369999999998E-4</v>
      </c>
      <c r="DK29" s="96">
        <v>9.9141500000000005E-4</v>
      </c>
      <c r="DL29" s="96">
        <v>1.0035437E-3</v>
      </c>
      <c r="DM29" s="96">
        <v>1.0068697999999999E-3</v>
      </c>
      <c r="DN29" s="96">
        <v>1.008728E-3</v>
      </c>
      <c r="DO29" s="96">
        <v>1.0105862E-3</v>
      </c>
      <c r="DP29" s="96">
        <v>1.0124444000000001E-3</v>
      </c>
      <c r="DQ29" s="96">
        <v>1.0124444000000001E-3</v>
      </c>
      <c r="DR29" s="97">
        <v>1.0124444000000001E-3</v>
      </c>
      <c r="DS29" s="93">
        <v>64.652749205000006</v>
      </c>
      <c r="DT29" s="80">
        <v>0.45319665599999998</v>
      </c>
      <c r="DU29" s="80">
        <v>28.431811929999999</v>
      </c>
      <c r="DV29" s="80">
        <v>0.20951812610000001</v>
      </c>
      <c r="DW29" s="80">
        <v>12.281805904</v>
      </c>
      <c r="DX29" s="80">
        <v>9.5414247100000002E-2</v>
      </c>
      <c r="DY29" s="80">
        <v>5.2830657094999998</v>
      </c>
      <c r="DZ29" s="80">
        <v>4.4084337299999998E-2</v>
      </c>
      <c r="EA29" s="80">
        <v>2.3445857566999999</v>
      </c>
      <c r="EB29" s="80">
        <v>2.1702561400000001E-2</v>
      </c>
      <c r="EC29" s="80">
        <v>1.0928066726000001</v>
      </c>
      <c r="ED29" s="80">
        <v>1.16945698E-2</v>
      </c>
      <c r="EE29" s="80">
        <v>0.54418149069999999</v>
      </c>
      <c r="EF29" s="80">
        <v>7.0705745000000002E-3</v>
      </c>
      <c r="EG29" s="80">
        <v>0.30510071640000003</v>
      </c>
      <c r="EH29" s="80">
        <v>4.8620677999999997E-3</v>
      </c>
      <c r="EI29" s="80">
        <v>0.19303659149999999</v>
      </c>
      <c r="EJ29" s="80">
        <v>3.6621243000000002E-3</v>
      </c>
      <c r="EK29" s="80">
        <v>0.1311059644</v>
      </c>
      <c r="EL29" s="94">
        <v>2.8905229999999999E-3</v>
      </c>
    </row>
    <row r="30" spans="1:142" x14ac:dyDescent="0.2">
      <c r="A30" s="79">
        <v>2500</v>
      </c>
      <c r="B30" s="27">
        <v>14103</v>
      </c>
      <c r="C30" s="79">
        <v>1594.3871013</v>
      </c>
      <c r="D30" s="27">
        <v>2450.0428523999999</v>
      </c>
      <c r="E30" s="27">
        <v>47.600445878999999</v>
      </c>
      <c r="F30" s="27">
        <v>6.7770665800000005E-2</v>
      </c>
      <c r="G30" s="79">
        <v>0.8930561669</v>
      </c>
      <c r="H30" s="27">
        <v>6.2371099999999999E-4</v>
      </c>
      <c r="I30" s="27">
        <v>144.17897471000001</v>
      </c>
      <c r="J30" s="27">
        <v>0.94737187909999998</v>
      </c>
      <c r="K30" s="27">
        <v>68.442710665999996</v>
      </c>
      <c r="L30" s="27">
        <v>0.42058826230000002</v>
      </c>
      <c r="M30" s="27">
        <v>17.131017871000001</v>
      </c>
      <c r="N30" s="27">
        <v>0.1370516275</v>
      </c>
      <c r="O30" s="80" t="s">
        <v>136</v>
      </c>
      <c r="P30" s="80">
        <v>0</v>
      </c>
      <c r="Q30" s="27">
        <v>11.235753857000001</v>
      </c>
      <c r="R30" s="27">
        <v>2.2688979000000001E-2</v>
      </c>
      <c r="S30" s="80" t="s">
        <v>136</v>
      </c>
      <c r="T30" s="80">
        <v>0</v>
      </c>
      <c r="U30" s="80" t="s">
        <v>136</v>
      </c>
      <c r="V30" s="80">
        <v>0</v>
      </c>
      <c r="W30" s="27">
        <v>0.16259190279999999</v>
      </c>
      <c r="X30" s="27">
        <v>1.6376977E-3</v>
      </c>
      <c r="Y30" s="27">
        <v>26.452867281</v>
      </c>
      <c r="Z30" s="27">
        <v>0.62427102869999995</v>
      </c>
      <c r="AA30" s="80" t="s">
        <v>136</v>
      </c>
      <c r="AB30" s="80">
        <v>0</v>
      </c>
      <c r="AC30" s="27">
        <v>4.7276129999999998E-4</v>
      </c>
      <c r="AD30" s="27">
        <v>3.0763518999999999E-6</v>
      </c>
      <c r="AE30" s="80" t="s">
        <v>136</v>
      </c>
      <c r="AF30" s="80">
        <v>0</v>
      </c>
      <c r="AG30" s="80" t="s">
        <v>136</v>
      </c>
      <c r="AH30" s="80">
        <v>0</v>
      </c>
      <c r="AI30" s="27">
        <f t="shared" si="0"/>
        <v>4.7276129999999998E-4</v>
      </c>
      <c r="AJ30" s="27">
        <f t="shared" si="1"/>
        <v>3.0763518999999999E-6</v>
      </c>
      <c r="AK30" s="27">
        <v>93.908916751999996</v>
      </c>
      <c r="AL30" s="27">
        <v>1.4008502889000001</v>
      </c>
      <c r="AM30" s="80" t="s">
        <v>136</v>
      </c>
      <c r="AN30" s="80">
        <v>0</v>
      </c>
      <c r="AO30" s="80" t="s">
        <v>136</v>
      </c>
      <c r="AP30" s="80">
        <v>0</v>
      </c>
      <c r="AQ30" s="80" t="s">
        <v>136</v>
      </c>
      <c r="AR30" s="80">
        <v>0</v>
      </c>
      <c r="AS30" s="27">
        <v>51.83181415</v>
      </c>
      <c r="AT30" s="27">
        <v>1.8112493619000001</v>
      </c>
      <c r="AU30" s="27">
        <v>40.361714888999998</v>
      </c>
      <c r="AV30" s="27">
        <v>0.37268346499999999</v>
      </c>
      <c r="AW30" s="27">
        <v>18.065647574</v>
      </c>
      <c r="AX30" s="27">
        <v>0.22718587270000001</v>
      </c>
      <c r="AY30" s="27">
        <v>6.0012103597999999</v>
      </c>
      <c r="AZ30" s="27">
        <v>5.5101287200000001E-2</v>
      </c>
      <c r="BA30" s="80">
        <f t="shared" si="2"/>
        <v>16.294856955199997</v>
      </c>
      <c r="BB30" s="80">
        <f t="shared" si="3"/>
        <v>9.0396305099999963E-2</v>
      </c>
      <c r="BC30" s="27">
        <v>0</v>
      </c>
      <c r="BD30" s="80">
        <v>0</v>
      </c>
      <c r="BE30" s="27">
        <v>120.34358544</v>
      </c>
      <c r="BF30" s="27">
        <v>1.7960361618</v>
      </c>
      <c r="BG30" s="27">
        <v>1.158954E-3</v>
      </c>
      <c r="BH30" s="80">
        <v>0</v>
      </c>
      <c r="BI30" s="27">
        <v>91.328843703999993</v>
      </c>
      <c r="BJ30" s="27">
        <v>3.1334659666000002</v>
      </c>
      <c r="BK30" s="27">
        <v>105.38922755</v>
      </c>
      <c r="BL30" s="27">
        <v>0.7421379307</v>
      </c>
      <c r="BM30" s="27">
        <v>15.708006177</v>
      </c>
      <c r="BN30" s="27">
        <v>7.9934950899999996E-2</v>
      </c>
      <c r="BO30" s="27">
        <v>0.10500505810000001</v>
      </c>
      <c r="BP30" s="27">
        <v>9.0202360000000005E-4</v>
      </c>
      <c r="BQ30" s="27">
        <v>0</v>
      </c>
      <c r="BR30" s="92">
        <v>0</v>
      </c>
      <c r="BS30" s="80" t="s">
        <v>136</v>
      </c>
      <c r="BT30" s="80">
        <v>0</v>
      </c>
      <c r="BU30" s="27">
        <v>0.46071219200000002</v>
      </c>
      <c r="BV30" s="27">
        <v>6.6707972000000001E-3</v>
      </c>
      <c r="BW30" s="27">
        <v>16.670305678999998</v>
      </c>
      <c r="BX30" s="27">
        <v>0.1303808303</v>
      </c>
      <c r="BY30" s="80" t="s">
        <v>136</v>
      </c>
      <c r="BZ30" s="80">
        <v>0</v>
      </c>
      <c r="CA30" s="80" t="s">
        <v>136</v>
      </c>
      <c r="CB30" s="80">
        <v>0</v>
      </c>
      <c r="CC30" s="27">
        <v>4.8818254552999996</v>
      </c>
      <c r="CD30" s="27">
        <v>6.4889364999999996E-3</v>
      </c>
      <c r="CE30" s="27">
        <v>6.3539284021000002</v>
      </c>
      <c r="CF30" s="27">
        <v>1.6200042500000001E-2</v>
      </c>
      <c r="CG30" s="80" t="s">
        <v>136</v>
      </c>
      <c r="CH30" s="80">
        <v>0</v>
      </c>
      <c r="CI30" s="80" t="s">
        <v>136</v>
      </c>
      <c r="CJ30" s="80">
        <v>0</v>
      </c>
      <c r="CK30" s="80" t="s">
        <v>136</v>
      </c>
      <c r="CL30" s="80">
        <v>0</v>
      </c>
      <c r="CM30" s="80" t="s">
        <v>136</v>
      </c>
      <c r="CN30" s="80">
        <v>0</v>
      </c>
      <c r="CO30" s="27">
        <v>5.9957904499999999E-2</v>
      </c>
      <c r="CP30" s="27">
        <v>7.0410120000000001E-4</v>
      </c>
      <c r="CQ30" s="27">
        <v>0.1026339984</v>
      </c>
      <c r="CR30" s="27">
        <v>9.3359650000000003E-4</v>
      </c>
      <c r="CS30" s="27">
        <v>1.5667944271000001</v>
      </c>
      <c r="CT30" s="27">
        <v>1.78907102E-2</v>
      </c>
      <c r="CU30" s="27">
        <v>24.886072853999998</v>
      </c>
      <c r="CV30" s="27">
        <v>0.60638031839999995</v>
      </c>
      <c r="CW30" s="93" t="s">
        <v>136</v>
      </c>
      <c r="CX30" s="80">
        <v>0</v>
      </c>
      <c r="CY30" s="80" t="s">
        <v>136</v>
      </c>
      <c r="CZ30" s="94">
        <v>0</v>
      </c>
      <c r="DA30" s="27">
        <v>22.884760546999999</v>
      </c>
      <c r="DB30" s="27">
        <v>0.54407501319999996</v>
      </c>
      <c r="DC30" s="27">
        <v>28.947053603000001</v>
      </c>
      <c r="DD30" s="27">
        <v>1.2671743487</v>
      </c>
      <c r="DE30" s="27">
        <v>9.4378844363999992</v>
      </c>
      <c r="DF30" s="27">
        <v>0.6330814964</v>
      </c>
      <c r="DG30" s="27">
        <v>110.90570099999999</v>
      </c>
      <c r="DH30" s="27">
        <v>1.1629546654</v>
      </c>
      <c r="DI30" s="95">
        <v>6.2003589999999999E-4</v>
      </c>
      <c r="DJ30" s="96">
        <v>1.0373235000000001E-3</v>
      </c>
      <c r="DK30" s="96">
        <v>1.1374754999999999E-3</v>
      </c>
      <c r="DL30" s="96">
        <v>1.1501692E-3</v>
      </c>
      <c r="DM30" s="96">
        <v>1.1534458E-3</v>
      </c>
      <c r="DN30" s="96">
        <v>1.1552819000000001E-3</v>
      </c>
      <c r="DO30" s="96">
        <v>1.1571178999999999E-3</v>
      </c>
      <c r="DP30" s="96">
        <v>1.158954E-3</v>
      </c>
      <c r="DQ30" s="96">
        <v>1.158954E-3</v>
      </c>
      <c r="DR30" s="97">
        <v>1.158954E-3</v>
      </c>
      <c r="DS30" s="93">
        <v>66.445814627999994</v>
      </c>
      <c r="DT30" s="80">
        <v>0.46536687500000001</v>
      </c>
      <c r="DU30" s="80">
        <v>29.541129946000002</v>
      </c>
      <c r="DV30" s="80">
        <v>0.21736908369999999</v>
      </c>
      <c r="DW30" s="80">
        <v>12.923401933999999</v>
      </c>
      <c r="DX30" s="80">
        <v>0.1001636346</v>
      </c>
      <c r="DY30" s="80">
        <v>5.6470915542000002</v>
      </c>
      <c r="DZ30" s="80">
        <v>4.6903982300000001E-2</v>
      </c>
      <c r="EA30" s="80">
        <v>2.5465299570000002</v>
      </c>
      <c r="EB30" s="80">
        <v>2.3357484899999999E-2</v>
      </c>
      <c r="EC30" s="80">
        <v>1.204889477</v>
      </c>
      <c r="ED30" s="80">
        <v>1.2686247100000001E-2</v>
      </c>
      <c r="EE30" s="80">
        <v>0.60603861410000004</v>
      </c>
      <c r="EF30" s="80">
        <v>7.6774523999999997E-3</v>
      </c>
      <c r="EG30" s="80">
        <v>0.34234763489999998</v>
      </c>
      <c r="EH30" s="80">
        <v>5.2701700999999998E-3</v>
      </c>
      <c r="EI30" s="80">
        <v>0.21662383800000001</v>
      </c>
      <c r="EJ30" s="80">
        <v>3.9548168000000002E-3</v>
      </c>
      <c r="EK30" s="80">
        <v>0.14650290520000001</v>
      </c>
      <c r="EL30" s="94">
        <v>3.1095852999999999E-3</v>
      </c>
    </row>
    <row r="31" spans="1:142" x14ac:dyDescent="0.2">
      <c r="A31" s="79">
        <v>2600</v>
      </c>
      <c r="B31" s="27">
        <v>14015</v>
      </c>
      <c r="C31" s="79">
        <v>1640.3967041000001</v>
      </c>
      <c r="D31" s="27">
        <v>2549.9037954</v>
      </c>
      <c r="E31" s="27">
        <v>49.990844922999997</v>
      </c>
      <c r="F31" s="27">
        <v>6.9862120999999999E-2</v>
      </c>
      <c r="G31" s="79">
        <v>1.0453336999</v>
      </c>
      <c r="H31" s="27">
        <v>7.0560529999999998E-4</v>
      </c>
      <c r="I31" s="27">
        <v>146.67942921</v>
      </c>
      <c r="J31" s="27">
        <v>0.96385146229999996</v>
      </c>
      <c r="K31" s="27">
        <v>70.324520226000004</v>
      </c>
      <c r="L31" s="27">
        <v>0.43175079509999997</v>
      </c>
      <c r="M31" s="27">
        <v>18.035690824</v>
      </c>
      <c r="N31" s="27">
        <v>0.14415141540000001</v>
      </c>
      <c r="O31" s="80" t="s">
        <v>136</v>
      </c>
      <c r="P31" s="80">
        <v>0</v>
      </c>
      <c r="Q31" s="27">
        <v>12.199140704</v>
      </c>
      <c r="R31" s="27">
        <v>2.43092065E-2</v>
      </c>
      <c r="S31" s="80" t="s">
        <v>136</v>
      </c>
      <c r="T31" s="80">
        <v>0</v>
      </c>
      <c r="U31" s="80" t="s">
        <v>136</v>
      </c>
      <c r="V31" s="80">
        <v>0</v>
      </c>
      <c r="W31" s="27">
        <v>0.17589341250000001</v>
      </c>
      <c r="X31" s="27">
        <v>1.7629968E-3</v>
      </c>
      <c r="Y31" s="27">
        <v>27.936778513</v>
      </c>
      <c r="Z31" s="27">
        <v>0.65818038879999996</v>
      </c>
      <c r="AA31" s="80" t="s">
        <v>136</v>
      </c>
      <c r="AB31" s="80">
        <v>0</v>
      </c>
      <c r="AC31" s="27">
        <v>4.642294E-4</v>
      </c>
      <c r="AD31" s="27">
        <v>3.0208333E-6</v>
      </c>
      <c r="AE31" s="80" t="s">
        <v>136</v>
      </c>
      <c r="AF31" s="80">
        <v>0</v>
      </c>
      <c r="AG31" s="80" t="s">
        <v>136</v>
      </c>
      <c r="AH31" s="80">
        <v>0</v>
      </c>
      <c r="AI31" s="27">
        <f t="shared" si="0"/>
        <v>4.642294E-4</v>
      </c>
      <c r="AJ31" s="27">
        <f t="shared" si="1"/>
        <v>3.0208333E-6</v>
      </c>
      <c r="AK31" s="27">
        <v>96.557261983000004</v>
      </c>
      <c r="AL31" s="27">
        <v>1.4289603845000001</v>
      </c>
      <c r="AM31" s="80" t="s">
        <v>136</v>
      </c>
      <c r="AN31" s="80">
        <v>0</v>
      </c>
      <c r="AO31" s="80" t="s">
        <v>136</v>
      </c>
      <c r="AP31" s="80">
        <v>0</v>
      </c>
      <c r="AQ31" s="80" t="s">
        <v>136</v>
      </c>
      <c r="AR31" s="80">
        <v>0</v>
      </c>
      <c r="AS31" s="27">
        <v>53.504854663000003</v>
      </c>
      <c r="AT31" s="27">
        <v>1.8555373287000001</v>
      </c>
      <c r="AU31" s="27">
        <v>42.070095078999998</v>
      </c>
      <c r="AV31" s="27">
        <v>0.38481826349999998</v>
      </c>
      <c r="AW31" s="27">
        <v>18.805394023000002</v>
      </c>
      <c r="AX31" s="27">
        <v>0.2346217746</v>
      </c>
      <c r="AY31" s="27">
        <v>6.2009448918999999</v>
      </c>
      <c r="AZ31" s="27">
        <v>5.6504446899999998E-2</v>
      </c>
      <c r="BA31" s="80">
        <f t="shared" si="2"/>
        <v>17.063756164099996</v>
      </c>
      <c r="BB31" s="80">
        <f t="shared" si="3"/>
        <v>9.3692041999999975E-2</v>
      </c>
      <c r="BC31" s="27">
        <v>0</v>
      </c>
      <c r="BD31" s="80">
        <v>0</v>
      </c>
      <c r="BE31" s="27">
        <v>124.63962243</v>
      </c>
      <c r="BF31" s="27">
        <v>1.8453020859</v>
      </c>
      <c r="BG31" s="27">
        <v>1.3161786000000001E-3</v>
      </c>
      <c r="BH31" s="80">
        <v>0</v>
      </c>
      <c r="BI31" s="27">
        <v>93.969729326999996</v>
      </c>
      <c r="BJ31" s="27">
        <v>3.1972791765999999</v>
      </c>
      <c r="BK31" s="27">
        <v>111.83908307</v>
      </c>
      <c r="BL31" s="27">
        <v>0.78383603329999996</v>
      </c>
      <c r="BM31" s="27">
        <v>16.458199725</v>
      </c>
      <c r="BN31" s="27">
        <v>8.3051629399999993E-2</v>
      </c>
      <c r="BO31" s="27">
        <v>0.12027869889999999</v>
      </c>
      <c r="BP31" s="27">
        <v>9.8793470000000001E-4</v>
      </c>
      <c r="BQ31" s="27">
        <v>0</v>
      </c>
      <c r="BR31" s="92">
        <v>0</v>
      </c>
      <c r="BS31" s="80" t="s">
        <v>136</v>
      </c>
      <c r="BT31" s="80">
        <v>0</v>
      </c>
      <c r="BU31" s="27">
        <v>0.48625929649999999</v>
      </c>
      <c r="BV31" s="27">
        <v>7.2230788000000002E-3</v>
      </c>
      <c r="BW31" s="27">
        <v>17.549431528</v>
      </c>
      <c r="BX31" s="27">
        <v>0.13692833669999999</v>
      </c>
      <c r="BY31" s="80" t="s">
        <v>136</v>
      </c>
      <c r="BZ31" s="80">
        <v>0</v>
      </c>
      <c r="CA31" s="80" t="s">
        <v>136</v>
      </c>
      <c r="CB31" s="80">
        <v>0</v>
      </c>
      <c r="CC31" s="27">
        <v>5.3746961983999997</v>
      </c>
      <c r="CD31" s="27">
        <v>7.0449379000000001E-3</v>
      </c>
      <c r="CE31" s="27">
        <v>6.8244445052999998</v>
      </c>
      <c r="CF31" s="27">
        <v>1.72642686E-2</v>
      </c>
      <c r="CG31" s="80" t="s">
        <v>136</v>
      </c>
      <c r="CH31" s="80">
        <v>0</v>
      </c>
      <c r="CI31" s="80" t="s">
        <v>136</v>
      </c>
      <c r="CJ31" s="80">
        <v>0</v>
      </c>
      <c r="CK31" s="80" t="s">
        <v>136</v>
      </c>
      <c r="CL31" s="80">
        <v>0</v>
      </c>
      <c r="CM31" s="80" t="s">
        <v>136</v>
      </c>
      <c r="CN31" s="80">
        <v>0</v>
      </c>
      <c r="CO31" s="27">
        <v>6.5774570199999993E-2</v>
      </c>
      <c r="CP31" s="27">
        <v>7.5496820000000003E-4</v>
      </c>
      <c r="CQ31" s="27">
        <v>0.1101188422</v>
      </c>
      <c r="CR31" s="27">
        <v>1.0080286E-3</v>
      </c>
      <c r="CS31" s="27">
        <v>1.6786880619</v>
      </c>
      <c r="CT31" s="27">
        <v>1.9067065099999999E-2</v>
      </c>
      <c r="CU31" s="27">
        <v>26.258090451000001</v>
      </c>
      <c r="CV31" s="27">
        <v>0.63911332369999996</v>
      </c>
      <c r="CW31" s="93" t="s">
        <v>136</v>
      </c>
      <c r="CX31" s="80">
        <v>0</v>
      </c>
      <c r="CY31" s="80" t="s">
        <v>136</v>
      </c>
      <c r="CZ31" s="94">
        <v>0</v>
      </c>
      <c r="DA31" s="27">
        <v>23.711339233</v>
      </c>
      <c r="DB31" s="27">
        <v>0.56072622559999996</v>
      </c>
      <c r="DC31" s="27">
        <v>29.793515428999999</v>
      </c>
      <c r="DD31" s="27">
        <v>1.2948111031</v>
      </c>
      <c r="DE31" s="27">
        <v>10.087468763</v>
      </c>
      <c r="DF31" s="27">
        <v>0.65140876219999999</v>
      </c>
      <c r="DG31" s="27">
        <v>114.55215367</v>
      </c>
      <c r="DH31" s="27">
        <v>1.1938933236</v>
      </c>
      <c r="DI31" s="95">
        <v>7.0041350000000005E-4</v>
      </c>
      <c r="DJ31" s="96">
        <v>1.1767362999999999E-3</v>
      </c>
      <c r="DK31" s="96">
        <v>1.2914383000000001E-3</v>
      </c>
      <c r="DL31" s="96">
        <v>1.3075022E-3</v>
      </c>
      <c r="DM31" s="96">
        <v>1.3107334E-3</v>
      </c>
      <c r="DN31" s="96">
        <v>1.3125484999999999E-3</v>
      </c>
      <c r="DO31" s="96">
        <v>1.3143635E-3</v>
      </c>
      <c r="DP31" s="96">
        <v>1.3161786000000001E-3</v>
      </c>
      <c r="DQ31" s="96">
        <v>1.3161786000000001E-3</v>
      </c>
      <c r="DR31" s="97">
        <v>1.3161786000000001E-3</v>
      </c>
      <c r="DS31" s="93">
        <v>68.279887192000004</v>
      </c>
      <c r="DT31" s="80">
        <v>0.47779542190000002</v>
      </c>
      <c r="DU31" s="80">
        <v>30.702338549</v>
      </c>
      <c r="DV31" s="80">
        <v>0.22558344620000001</v>
      </c>
      <c r="DW31" s="80">
        <v>13.607511312</v>
      </c>
      <c r="DX31" s="80">
        <v>0.1052373819</v>
      </c>
      <c r="DY31" s="80">
        <v>6.0284669410999996</v>
      </c>
      <c r="DZ31" s="80">
        <v>4.9911720700000002E-2</v>
      </c>
      <c r="EA31" s="80">
        <v>2.7591577142000001</v>
      </c>
      <c r="EB31" s="80">
        <v>2.5162830000000001E-2</v>
      </c>
      <c r="EC31" s="80">
        <v>1.3261917582</v>
      </c>
      <c r="ED31" s="80">
        <v>1.3821583300000001E-2</v>
      </c>
      <c r="EE31" s="80">
        <v>0.67423927589999999</v>
      </c>
      <c r="EF31" s="80">
        <v>8.4088206000000002E-3</v>
      </c>
      <c r="EG31" s="80">
        <v>0.382665847</v>
      </c>
      <c r="EH31" s="80">
        <v>5.7722596999999999E-3</v>
      </c>
      <c r="EI31" s="80">
        <v>0.24117189950000001</v>
      </c>
      <c r="EJ31" s="80">
        <v>4.3139733999999997E-3</v>
      </c>
      <c r="EK31" s="80">
        <v>0.1624411493</v>
      </c>
      <c r="EL31" s="94">
        <v>3.381748E-3</v>
      </c>
    </row>
    <row r="32" spans="1:142" x14ac:dyDescent="0.2">
      <c r="A32" s="79">
        <v>2700</v>
      </c>
      <c r="B32" s="27">
        <v>13444</v>
      </c>
      <c r="C32" s="79">
        <v>1685.3834859000001</v>
      </c>
      <c r="D32" s="27">
        <v>2649.7600634999999</v>
      </c>
      <c r="E32" s="27">
        <v>52.257309845999998</v>
      </c>
      <c r="F32" s="27">
        <v>7.1849536000000006E-2</v>
      </c>
      <c r="G32" s="79">
        <v>1.2447878811999999</v>
      </c>
      <c r="H32" s="27">
        <v>8.0964220000000003E-4</v>
      </c>
      <c r="I32" s="27">
        <v>149.02375026000001</v>
      </c>
      <c r="J32" s="27">
        <v>0.97930870969999995</v>
      </c>
      <c r="K32" s="27">
        <v>72.147642121999993</v>
      </c>
      <c r="L32" s="27">
        <v>0.443044361</v>
      </c>
      <c r="M32" s="27">
        <v>18.951340667</v>
      </c>
      <c r="N32" s="27">
        <v>0.1510915679</v>
      </c>
      <c r="O32" s="80" t="s">
        <v>136</v>
      </c>
      <c r="P32" s="80">
        <v>0</v>
      </c>
      <c r="Q32" s="27">
        <v>13.29159087</v>
      </c>
      <c r="R32" s="27">
        <v>2.61779439E-2</v>
      </c>
      <c r="S32" s="80" t="s">
        <v>136</v>
      </c>
      <c r="T32" s="80">
        <v>0</v>
      </c>
      <c r="U32" s="80" t="s">
        <v>136</v>
      </c>
      <c r="V32" s="80">
        <v>0</v>
      </c>
      <c r="W32" s="27">
        <v>0.18526534359999999</v>
      </c>
      <c r="X32" s="27">
        <v>1.8687017E-3</v>
      </c>
      <c r="Y32" s="27">
        <v>29.318406558</v>
      </c>
      <c r="Z32" s="27">
        <v>0.6898332117</v>
      </c>
      <c r="AA32" s="80" t="s">
        <v>136</v>
      </c>
      <c r="AB32" s="80">
        <v>0</v>
      </c>
      <c r="AC32" s="27">
        <v>4.5671269999999998E-4</v>
      </c>
      <c r="AD32" s="27">
        <v>2.9719205000000001E-6</v>
      </c>
      <c r="AE32" s="80" t="s">
        <v>136</v>
      </c>
      <c r="AF32" s="80">
        <v>0</v>
      </c>
      <c r="AG32" s="80" t="s">
        <v>136</v>
      </c>
      <c r="AH32" s="80">
        <v>0</v>
      </c>
      <c r="AI32" s="27">
        <f t="shared" si="0"/>
        <v>4.5671269999999998E-4</v>
      </c>
      <c r="AJ32" s="27">
        <f t="shared" si="1"/>
        <v>2.9719205000000001E-6</v>
      </c>
      <c r="AK32" s="27">
        <v>99.326047136</v>
      </c>
      <c r="AL32" s="27">
        <v>1.456414696</v>
      </c>
      <c r="AM32" s="80" t="s">
        <v>136</v>
      </c>
      <c r="AN32" s="80">
        <v>0</v>
      </c>
      <c r="AO32" s="80" t="s">
        <v>136</v>
      </c>
      <c r="AP32" s="80">
        <v>0</v>
      </c>
      <c r="AQ32" s="80" t="s">
        <v>136</v>
      </c>
      <c r="AR32" s="80">
        <v>0</v>
      </c>
      <c r="AS32" s="27">
        <v>55.167221173000001</v>
      </c>
      <c r="AT32" s="27">
        <v>1.8994737102999999</v>
      </c>
      <c r="AU32" s="27">
        <v>43.720672381</v>
      </c>
      <c r="AV32" s="27">
        <v>0.39604881120000002</v>
      </c>
      <c r="AW32" s="27">
        <v>19.506974531000001</v>
      </c>
      <c r="AX32" s="27">
        <v>0.24143522949999999</v>
      </c>
      <c r="AY32" s="27">
        <v>6.3873052634</v>
      </c>
      <c r="AZ32" s="27">
        <v>5.7765921499999998E-2</v>
      </c>
      <c r="BA32" s="80">
        <f t="shared" si="2"/>
        <v>17.826392586600001</v>
      </c>
      <c r="BB32" s="80">
        <f t="shared" si="3"/>
        <v>9.6847660200000019E-2</v>
      </c>
      <c r="BC32" s="27">
        <v>0</v>
      </c>
      <c r="BD32" s="80">
        <v>0</v>
      </c>
      <c r="BE32" s="27">
        <v>128.77116217</v>
      </c>
      <c r="BF32" s="27">
        <v>1.8918721367</v>
      </c>
      <c r="BG32" s="27">
        <v>1.5557545000000001E-3</v>
      </c>
      <c r="BH32" s="80">
        <v>0</v>
      </c>
      <c r="BI32" s="27">
        <v>96.504486571000001</v>
      </c>
      <c r="BJ32" s="27">
        <v>3.2583222946000001</v>
      </c>
      <c r="BK32" s="27">
        <v>118.25137208</v>
      </c>
      <c r="BL32" s="27">
        <v>0.82468967589999997</v>
      </c>
      <c r="BM32" s="27">
        <v>17.262919203999999</v>
      </c>
      <c r="BN32" s="27">
        <v>8.6372515400000002E-2</v>
      </c>
      <c r="BO32" s="27">
        <v>0.13015192540000001</v>
      </c>
      <c r="BP32" s="27">
        <v>1.0269561999999999E-3</v>
      </c>
      <c r="BQ32" s="27">
        <v>0</v>
      </c>
      <c r="BR32" s="92">
        <v>0</v>
      </c>
      <c r="BS32" s="80" t="s">
        <v>136</v>
      </c>
      <c r="BT32" s="80">
        <v>0</v>
      </c>
      <c r="BU32" s="27">
        <v>0.50159868659999995</v>
      </c>
      <c r="BV32" s="27">
        <v>7.4432856000000002E-3</v>
      </c>
      <c r="BW32" s="27">
        <v>18.449741979999999</v>
      </c>
      <c r="BX32" s="27">
        <v>0.14364828239999999</v>
      </c>
      <c r="BY32" s="80" t="s">
        <v>136</v>
      </c>
      <c r="BZ32" s="80">
        <v>0</v>
      </c>
      <c r="CA32" s="80" t="s">
        <v>136</v>
      </c>
      <c r="CB32" s="80">
        <v>0</v>
      </c>
      <c r="CC32" s="27">
        <v>5.9908960032999996</v>
      </c>
      <c r="CD32" s="27">
        <v>7.6950322000000002E-3</v>
      </c>
      <c r="CE32" s="27">
        <v>7.3006948669999998</v>
      </c>
      <c r="CF32" s="27">
        <v>1.8482911599999999E-2</v>
      </c>
      <c r="CG32" s="80" t="s">
        <v>136</v>
      </c>
      <c r="CH32" s="80">
        <v>0</v>
      </c>
      <c r="CI32" s="80" t="s">
        <v>136</v>
      </c>
      <c r="CJ32" s="80">
        <v>0</v>
      </c>
      <c r="CK32" s="80" t="s">
        <v>136</v>
      </c>
      <c r="CL32" s="80">
        <v>0</v>
      </c>
      <c r="CM32" s="80" t="s">
        <v>136</v>
      </c>
      <c r="CN32" s="80">
        <v>0</v>
      </c>
      <c r="CO32" s="27">
        <v>6.8382724000000006E-2</v>
      </c>
      <c r="CP32" s="27">
        <v>7.9904330000000003E-4</v>
      </c>
      <c r="CQ32" s="27">
        <v>0.1168826196</v>
      </c>
      <c r="CR32" s="27">
        <v>1.0696583999999999E-3</v>
      </c>
      <c r="CS32" s="27">
        <v>1.8020977353000001</v>
      </c>
      <c r="CT32" s="27">
        <v>2.0486272600000001E-2</v>
      </c>
      <c r="CU32" s="27">
        <v>27.516308821999999</v>
      </c>
      <c r="CV32" s="27">
        <v>0.66934693909999998</v>
      </c>
      <c r="CW32" s="93" t="s">
        <v>136</v>
      </c>
      <c r="CX32" s="80">
        <v>0</v>
      </c>
      <c r="CY32" s="80" t="s">
        <v>136</v>
      </c>
      <c r="CZ32" s="94">
        <v>0</v>
      </c>
      <c r="DA32" s="27">
        <v>24.542070810999999</v>
      </c>
      <c r="DB32" s="27">
        <v>0.57698668099999995</v>
      </c>
      <c r="DC32" s="27">
        <v>30.625150361999999</v>
      </c>
      <c r="DD32" s="27">
        <v>1.3224870292999999</v>
      </c>
      <c r="DE32" s="27">
        <v>10.749597023</v>
      </c>
      <c r="DF32" s="27">
        <v>0.67038311110000004</v>
      </c>
      <c r="DG32" s="27">
        <v>118.02156514000001</v>
      </c>
      <c r="DH32" s="27">
        <v>1.2214890255999999</v>
      </c>
      <c r="DI32" s="95">
        <v>8.0239799999999996E-4</v>
      </c>
      <c r="DJ32" s="96">
        <v>1.3571631E-3</v>
      </c>
      <c r="DK32" s="96">
        <v>1.4924433999999999E-3</v>
      </c>
      <c r="DL32" s="96">
        <v>1.5116082000000001E-3</v>
      </c>
      <c r="DM32" s="96">
        <v>1.5161907E-3</v>
      </c>
      <c r="DN32" s="96">
        <v>1.5187293E-3</v>
      </c>
      <c r="DO32" s="96">
        <v>1.5212678E-3</v>
      </c>
      <c r="DP32" s="96">
        <v>1.5238064000000001E-3</v>
      </c>
      <c r="DQ32" s="96">
        <v>1.5245494E-3</v>
      </c>
      <c r="DR32" s="97">
        <v>1.5252924000000001E-3</v>
      </c>
      <c r="DS32" s="93">
        <v>69.992054549000002</v>
      </c>
      <c r="DT32" s="80">
        <v>0.48944524020000002</v>
      </c>
      <c r="DU32" s="80">
        <v>31.798581998</v>
      </c>
      <c r="DV32" s="80">
        <v>0.2333399639</v>
      </c>
      <c r="DW32" s="80">
        <v>14.255536326</v>
      </c>
      <c r="DX32" s="80">
        <v>0.1100521122</v>
      </c>
      <c r="DY32" s="80">
        <v>6.3923461581999996</v>
      </c>
      <c r="DZ32" s="80">
        <v>5.2793499299999998E-2</v>
      </c>
      <c r="EA32" s="80">
        <v>2.9665451777</v>
      </c>
      <c r="EB32" s="80">
        <v>2.6938301500000001E-2</v>
      </c>
      <c r="EC32" s="80">
        <v>1.4470073268000001</v>
      </c>
      <c r="ED32" s="80">
        <v>1.49718319E-2</v>
      </c>
      <c r="EE32" s="80">
        <v>0.74917559889999996</v>
      </c>
      <c r="EF32" s="80">
        <v>9.2114699999999994E-3</v>
      </c>
      <c r="EG32" s="80">
        <v>0.4277775956</v>
      </c>
      <c r="EH32" s="80">
        <v>6.3421155999999999E-3</v>
      </c>
      <c r="EI32" s="80">
        <v>0.27123606519999999</v>
      </c>
      <c r="EJ32" s="80">
        <v>4.7567216000000004E-3</v>
      </c>
      <c r="EK32" s="80">
        <v>0.1833461086</v>
      </c>
      <c r="EL32" s="94">
        <v>3.7420376999999999E-3</v>
      </c>
    </row>
    <row r="33" spans="1:142" x14ac:dyDescent="0.2">
      <c r="A33" s="79">
        <v>2800</v>
      </c>
      <c r="B33" s="27">
        <v>12889</v>
      </c>
      <c r="C33" s="79">
        <v>1729.5098731999999</v>
      </c>
      <c r="D33" s="27">
        <v>2749.5662358</v>
      </c>
      <c r="E33" s="27">
        <v>54.542641668000002</v>
      </c>
      <c r="F33" s="27">
        <v>7.3824669800000006E-2</v>
      </c>
      <c r="G33" s="79">
        <v>1.4626061333</v>
      </c>
      <c r="H33" s="27">
        <v>9.1372830000000004E-4</v>
      </c>
      <c r="I33" s="27">
        <v>151.30725715</v>
      </c>
      <c r="J33" s="27">
        <v>0.99443661179999998</v>
      </c>
      <c r="K33" s="27">
        <v>73.946299836999998</v>
      </c>
      <c r="L33" s="27">
        <v>0.4541535545</v>
      </c>
      <c r="M33" s="27">
        <v>19.897979582000001</v>
      </c>
      <c r="N33" s="27">
        <v>0.1581360165</v>
      </c>
      <c r="O33" s="80" t="s">
        <v>136</v>
      </c>
      <c r="P33" s="80">
        <v>0</v>
      </c>
      <c r="Q33" s="27">
        <v>14.345480599</v>
      </c>
      <c r="R33" s="27">
        <v>2.7932930700000001E-2</v>
      </c>
      <c r="S33" s="80" t="s">
        <v>136</v>
      </c>
      <c r="T33" s="80">
        <v>0</v>
      </c>
      <c r="U33" s="80" t="s">
        <v>136</v>
      </c>
      <c r="V33" s="80">
        <v>0</v>
      </c>
      <c r="W33" s="27">
        <v>0.1945468695</v>
      </c>
      <c r="X33" s="27">
        <v>1.9702064000000001E-3</v>
      </c>
      <c r="Y33" s="27">
        <v>30.723764769999999</v>
      </c>
      <c r="Z33" s="27">
        <v>0.72120504240000005</v>
      </c>
      <c r="AA33" s="80" t="s">
        <v>136</v>
      </c>
      <c r="AB33" s="80">
        <v>0</v>
      </c>
      <c r="AC33" s="27">
        <v>4.4977569999999999E-4</v>
      </c>
      <c r="AD33" s="27">
        <v>2.92678E-6</v>
      </c>
      <c r="AE33" s="80" t="s">
        <v>136</v>
      </c>
      <c r="AF33" s="80">
        <v>0</v>
      </c>
      <c r="AG33" s="80" t="s">
        <v>136</v>
      </c>
      <c r="AH33" s="80">
        <v>0</v>
      </c>
      <c r="AI33" s="27">
        <f t="shared" si="0"/>
        <v>4.4977569999999999E-4</v>
      </c>
      <c r="AJ33" s="27">
        <f t="shared" si="1"/>
        <v>2.92678E-6</v>
      </c>
      <c r="AK33" s="27">
        <v>101.92831208</v>
      </c>
      <c r="AL33" s="27">
        <v>1.4828773148000001</v>
      </c>
      <c r="AM33" s="80" t="s">
        <v>136</v>
      </c>
      <c r="AN33" s="80">
        <v>0</v>
      </c>
      <c r="AO33" s="80" t="s">
        <v>136</v>
      </c>
      <c r="AP33" s="80">
        <v>0</v>
      </c>
      <c r="AQ33" s="80" t="s">
        <v>136</v>
      </c>
      <c r="AR33" s="80">
        <v>0</v>
      </c>
      <c r="AS33" s="27">
        <v>56.787877371999997</v>
      </c>
      <c r="AT33" s="27">
        <v>1.9421408358000001</v>
      </c>
      <c r="AU33" s="27">
        <v>45.334574807999999</v>
      </c>
      <c r="AV33" s="27">
        <v>0.40735228200000001</v>
      </c>
      <c r="AW33" s="27">
        <v>20.170944917</v>
      </c>
      <c r="AX33" s="27">
        <v>0.24828438219999999</v>
      </c>
      <c r="AY33" s="27">
        <v>6.5751178850000001</v>
      </c>
      <c r="AZ33" s="27">
        <v>5.9077580400000003E-2</v>
      </c>
      <c r="BA33" s="80">
        <f t="shared" si="2"/>
        <v>18.588512005999998</v>
      </c>
      <c r="BB33" s="80">
        <f t="shared" si="3"/>
        <v>9.9990319400000027E-2</v>
      </c>
      <c r="BC33" s="27">
        <v>0</v>
      </c>
      <c r="BD33" s="80">
        <v>0</v>
      </c>
      <c r="BE33" s="27">
        <v>132.82028911</v>
      </c>
      <c r="BF33" s="27">
        <v>1.9362816867999999</v>
      </c>
      <c r="BG33" s="27">
        <v>1.7806307999999999E-3</v>
      </c>
      <c r="BH33" s="80">
        <v>0</v>
      </c>
      <c r="BI33" s="27">
        <v>98.834289260999995</v>
      </c>
      <c r="BJ33" s="27">
        <v>3.3148983413000002</v>
      </c>
      <c r="BK33" s="27">
        <v>124.53723656</v>
      </c>
      <c r="BL33" s="27">
        <v>0.8647182887</v>
      </c>
      <c r="BM33" s="27">
        <v>18.039825776000001</v>
      </c>
      <c r="BN33" s="27">
        <v>8.9466091600000006E-2</v>
      </c>
      <c r="BO33" s="27">
        <v>0.1414561436</v>
      </c>
      <c r="BP33" s="27">
        <v>1.0721048E-3</v>
      </c>
      <c r="BQ33" s="27">
        <v>0</v>
      </c>
      <c r="BR33" s="92">
        <v>0</v>
      </c>
      <c r="BS33" s="80" t="s">
        <v>136</v>
      </c>
      <c r="BT33" s="80">
        <v>0</v>
      </c>
      <c r="BU33" s="27">
        <v>0.53637416770000002</v>
      </c>
      <c r="BV33" s="27">
        <v>7.7844899000000002E-3</v>
      </c>
      <c r="BW33" s="27">
        <v>19.361605414</v>
      </c>
      <c r="BX33" s="27">
        <v>0.1503515265</v>
      </c>
      <c r="BY33" s="80" t="s">
        <v>136</v>
      </c>
      <c r="BZ33" s="80">
        <v>0</v>
      </c>
      <c r="CA33" s="80" t="s">
        <v>136</v>
      </c>
      <c r="CB33" s="80">
        <v>0</v>
      </c>
      <c r="CC33" s="27">
        <v>6.5242591592999997</v>
      </c>
      <c r="CD33" s="27">
        <v>8.2694967999999997E-3</v>
      </c>
      <c r="CE33" s="27">
        <v>7.8212214395000004</v>
      </c>
      <c r="CF33" s="27">
        <v>1.9663433899999999E-2</v>
      </c>
      <c r="CG33" s="80" t="s">
        <v>136</v>
      </c>
      <c r="CH33" s="80">
        <v>0</v>
      </c>
      <c r="CI33" s="80" t="s">
        <v>136</v>
      </c>
      <c r="CJ33" s="80">
        <v>0</v>
      </c>
      <c r="CK33" s="80" t="s">
        <v>136</v>
      </c>
      <c r="CL33" s="80">
        <v>0</v>
      </c>
      <c r="CM33" s="80" t="s">
        <v>136</v>
      </c>
      <c r="CN33" s="80">
        <v>0</v>
      </c>
      <c r="CO33" s="27">
        <v>7.0602037800000003E-2</v>
      </c>
      <c r="CP33" s="27">
        <v>8.1226219999999997E-4</v>
      </c>
      <c r="CQ33" s="27">
        <v>0.12394483169999999</v>
      </c>
      <c r="CR33" s="27">
        <v>1.1579442E-3</v>
      </c>
      <c r="CS33" s="27">
        <v>1.9335932055</v>
      </c>
      <c r="CT33" s="27">
        <v>2.1750316499999998E-2</v>
      </c>
      <c r="CU33" s="27">
        <v>28.790171565000001</v>
      </c>
      <c r="CV33" s="27">
        <v>0.69945472600000003</v>
      </c>
      <c r="CW33" s="93" t="s">
        <v>136</v>
      </c>
      <c r="CX33" s="80">
        <v>0</v>
      </c>
      <c r="CY33" s="80" t="s">
        <v>136</v>
      </c>
      <c r="CZ33" s="94">
        <v>0</v>
      </c>
      <c r="DA33" s="27">
        <v>25.323017818</v>
      </c>
      <c r="DB33" s="27">
        <v>0.59252175340000002</v>
      </c>
      <c r="DC33" s="27">
        <v>31.464859554</v>
      </c>
      <c r="DD33" s="27">
        <v>1.3496190824000001</v>
      </c>
      <c r="DE33" s="27">
        <v>11.428429268</v>
      </c>
      <c r="DF33" s="27">
        <v>0.68859986870000001</v>
      </c>
      <c r="DG33" s="27">
        <v>121.39185984</v>
      </c>
      <c r="DH33" s="27">
        <v>1.2476818181</v>
      </c>
      <c r="DI33" s="95">
        <v>9.0659300000000003E-4</v>
      </c>
      <c r="DJ33" s="96">
        <v>1.5491963E-3</v>
      </c>
      <c r="DK33" s="96">
        <v>1.7108104E-3</v>
      </c>
      <c r="DL33" s="96">
        <v>1.7344216000000001E-3</v>
      </c>
      <c r="DM33" s="96">
        <v>1.7409992999999999E-3</v>
      </c>
      <c r="DN33" s="96">
        <v>1.7441498E-3</v>
      </c>
      <c r="DO33" s="96">
        <v>1.7466587999999999E-3</v>
      </c>
      <c r="DP33" s="96">
        <v>1.7491678999999999E-3</v>
      </c>
      <c r="DQ33" s="96">
        <v>1.7498996000000001E-3</v>
      </c>
      <c r="DR33" s="97">
        <v>1.7506313E-3</v>
      </c>
      <c r="DS33" s="93">
        <v>71.679759305000005</v>
      </c>
      <c r="DT33" s="80">
        <v>0.50096025909999997</v>
      </c>
      <c r="DU33" s="80">
        <v>32.865878311000003</v>
      </c>
      <c r="DV33" s="80">
        <v>0.24099050850000001</v>
      </c>
      <c r="DW33" s="80">
        <v>14.879032313</v>
      </c>
      <c r="DX33" s="80">
        <v>0.1147964541</v>
      </c>
      <c r="DY33" s="80">
        <v>6.7443625263999998</v>
      </c>
      <c r="DZ33" s="80">
        <v>5.5673431099999997E-2</v>
      </c>
      <c r="EA33" s="80">
        <v>3.1695356172000002</v>
      </c>
      <c r="EB33" s="80">
        <v>2.8742475300000001E-2</v>
      </c>
      <c r="EC33" s="80">
        <v>1.5683819543999999</v>
      </c>
      <c r="ED33" s="80">
        <v>1.6158827399999999E-2</v>
      </c>
      <c r="EE33" s="80">
        <v>0.82375898660000002</v>
      </c>
      <c r="EF33" s="80">
        <v>1.00238247E-2</v>
      </c>
      <c r="EG33" s="80">
        <v>0.47511598290000001</v>
      </c>
      <c r="EH33" s="80">
        <v>6.9232979E-3</v>
      </c>
      <c r="EI33" s="80">
        <v>0.3028066459</v>
      </c>
      <c r="EJ33" s="80">
        <v>5.1954406000000002E-3</v>
      </c>
      <c r="EK33" s="80">
        <v>0.2062120355</v>
      </c>
      <c r="EL33" s="94">
        <v>4.0918604000000003E-3</v>
      </c>
    </row>
    <row r="34" spans="1:142" x14ac:dyDescent="0.2">
      <c r="A34" s="79">
        <v>2900</v>
      </c>
      <c r="B34" s="27">
        <v>12404</v>
      </c>
      <c r="C34" s="79">
        <v>1772.7954552000001</v>
      </c>
      <c r="D34" s="27">
        <v>2849.7503250999998</v>
      </c>
      <c r="E34" s="27">
        <v>56.829795840999999</v>
      </c>
      <c r="F34" s="27">
        <v>7.5774730900000004E-2</v>
      </c>
      <c r="G34" s="79">
        <v>1.6743619513000001</v>
      </c>
      <c r="H34" s="27">
        <v>1.0136594E-3</v>
      </c>
      <c r="I34" s="27">
        <v>153.47296118</v>
      </c>
      <c r="J34" s="27">
        <v>1.0089687944000001</v>
      </c>
      <c r="K34" s="27">
        <v>75.635242697999999</v>
      </c>
      <c r="L34" s="27">
        <v>0.46487879589999997</v>
      </c>
      <c r="M34" s="27">
        <v>20.809850576999999</v>
      </c>
      <c r="N34" s="27">
        <v>0.16510477479999999</v>
      </c>
      <c r="O34" s="80" t="s">
        <v>136</v>
      </c>
      <c r="P34" s="80">
        <v>0</v>
      </c>
      <c r="Q34" s="27">
        <v>15.448435296</v>
      </c>
      <c r="R34" s="27">
        <v>2.9744502700000001E-2</v>
      </c>
      <c r="S34" s="80" t="s">
        <v>136</v>
      </c>
      <c r="T34" s="80">
        <v>0</v>
      </c>
      <c r="U34" s="80" t="s">
        <v>136</v>
      </c>
      <c r="V34" s="80">
        <v>0</v>
      </c>
      <c r="W34" s="27">
        <v>0.2043633634</v>
      </c>
      <c r="X34" s="27">
        <v>2.0759556000000002E-3</v>
      </c>
      <c r="Y34" s="27">
        <v>32.090994633999998</v>
      </c>
      <c r="Z34" s="27">
        <v>0.7518433886</v>
      </c>
      <c r="AA34" s="80" t="s">
        <v>136</v>
      </c>
      <c r="AB34" s="80">
        <v>0</v>
      </c>
      <c r="AC34" s="27">
        <v>4.4333280000000001E-4</v>
      </c>
      <c r="AD34" s="27">
        <v>2.8848544999999998E-6</v>
      </c>
      <c r="AE34" s="80" t="s">
        <v>136</v>
      </c>
      <c r="AF34" s="80">
        <v>0</v>
      </c>
      <c r="AG34" s="80" t="s">
        <v>136</v>
      </c>
      <c r="AH34" s="80">
        <v>0</v>
      </c>
      <c r="AI34" s="27">
        <f t="shared" si="0"/>
        <v>4.4333280000000001E-4</v>
      </c>
      <c r="AJ34" s="27">
        <f t="shared" si="1"/>
        <v>2.8848544999999998E-6</v>
      </c>
      <c r="AK34" s="27">
        <v>104.37845829</v>
      </c>
      <c r="AL34" s="27">
        <v>1.5066954536999999</v>
      </c>
      <c r="AM34" s="80" t="s">
        <v>136</v>
      </c>
      <c r="AN34" s="80">
        <v>0</v>
      </c>
      <c r="AO34" s="80" t="s">
        <v>136</v>
      </c>
      <c r="AP34" s="80">
        <v>0</v>
      </c>
      <c r="AQ34" s="80" t="s">
        <v>136</v>
      </c>
      <c r="AR34" s="80">
        <v>0</v>
      </c>
      <c r="AS34" s="27">
        <v>58.301503633999999</v>
      </c>
      <c r="AT34" s="27">
        <v>1.9816320222999999</v>
      </c>
      <c r="AU34" s="27">
        <v>46.893944961000003</v>
      </c>
      <c r="AV34" s="27">
        <v>0.41777030700000001</v>
      </c>
      <c r="AW34" s="27">
        <v>20.866551745999999</v>
      </c>
      <c r="AX34" s="27">
        <v>0.2547523263</v>
      </c>
      <c r="AY34" s="27">
        <v>6.7572126692000003</v>
      </c>
      <c r="AZ34" s="27">
        <v>6.0272331899999997E-2</v>
      </c>
      <c r="BA34" s="80">
        <f t="shared" si="2"/>
        <v>19.270180545800002</v>
      </c>
      <c r="BB34" s="80">
        <f t="shared" si="3"/>
        <v>0.10274564880000003</v>
      </c>
      <c r="BC34" s="27">
        <v>0</v>
      </c>
      <c r="BD34" s="80">
        <v>0</v>
      </c>
      <c r="BE34" s="27">
        <v>136.73543921999999</v>
      </c>
      <c r="BF34" s="27">
        <v>1.978831169</v>
      </c>
      <c r="BG34" s="27">
        <v>1.9715089000000002E-3</v>
      </c>
      <c r="BH34" s="80">
        <v>0</v>
      </c>
      <c r="BI34" s="27">
        <v>101.21532501</v>
      </c>
      <c r="BJ34" s="27">
        <v>3.3696665384000002</v>
      </c>
      <c r="BK34" s="27">
        <v>130.99956510999999</v>
      </c>
      <c r="BL34" s="27">
        <v>0.90590710760000004</v>
      </c>
      <c r="BM34" s="27">
        <v>18.783929225000001</v>
      </c>
      <c r="BN34" s="27">
        <v>9.2258669000000001E-2</v>
      </c>
      <c r="BO34" s="27">
        <v>0.1482379318</v>
      </c>
      <c r="BP34" s="27">
        <v>1.1032723000000001E-3</v>
      </c>
      <c r="BQ34" s="27">
        <v>0</v>
      </c>
      <c r="BR34" s="92">
        <v>0</v>
      </c>
      <c r="BS34" s="80" t="s">
        <v>136</v>
      </c>
      <c r="BT34" s="80">
        <v>0</v>
      </c>
      <c r="BU34" s="27">
        <v>0.55633875759999996</v>
      </c>
      <c r="BV34" s="27">
        <v>8.0589905E-3</v>
      </c>
      <c r="BW34" s="27">
        <v>20.253511819</v>
      </c>
      <c r="BX34" s="27">
        <v>0.15704578429999999</v>
      </c>
      <c r="BY34" s="80" t="s">
        <v>136</v>
      </c>
      <c r="BZ34" s="80">
        <v>0</v>
      </c>
      <c r="CA34" s="80" t="s">
        <v>136</v>
      </c>
      <c r="CB34" s="80">
        <v>0</v>
      </c>
      <c r="CC34" s="27">
        <v>7.1441294406000004</v>
      </c>
      <c r="CD34" s="27">
        <v>8.9014531999999993E-3</v>
      </c>
      <c r="CE34" s="27">
        <v>8.3043058556999991</v>
      </c>
      <c r="CF34" s="27">
        <v>2.0843049499999999E-2</v>
      </c>
      <c r="CG34" s="80" t="s">
        <v>136</v>
      </c>
      <c r="CH34" s="80">
        <v>0</v>
      </c>
      <c r="CI34" s="80" t="s">
        <v>136</v>
      </c>
      <c r="CJ34" s="80">
        <v>0</v>
      </c>
      <c r="CK34" s="80" t="s">
        <v>136</v>
      </c>
      <c r="CL34" s="80">
        <v>0</v>
      </c>
      <c r="CM34" s="80" t="s">
        <v>136</v>
      </c>
      <c r="CN34" s="80">
        <v>0</v>
      </c>
      <c r="CO34" s="27">
        <v>7.41443086E-2</v>
      </c>
      <c r="CP34" s="27">
        <v>8.6078749999999996E-4</v>
      </c>
      <c r="CQ34" s="27">
        <v>0.13021905480000001</v>
      </c>
      <c r="CR34" s="27">
        <v>1.2151681E-3</v>
      </c>
      <c r="CS34" s="27">
        <v>2.0501619610000001</v>
      </c>
      <c r="CT34" s="27">
        <v>2.2974241900000001E-2</v>
      </c>
      <c r="CU34" s="27">
        <v>30.040832673000001</v>
      </c>
      <c r="CV34" s="27">
        <v>0.72886914670000003</v>
      </c>
      <c r="CW34" s="93" t="s">
        <v>136</v>
      </c>
      <c r="CX34" s="80">
        <v>0</v>
      </c>
      <c r="CY34" s="80" t="s">
        <v>136</v>
      </c>
      <c r="CZ34" s="94">
        <v>0</v>
      </c>
      <c r="DA34" s="27">
        <v>26.057232084999999</v>
      </c>
      <c r="DB34" s="27">
        <v>0.60663427049999996</v>
      </c>
      <c r="DC34" s="27">
        <v>32.244271550000001</v>
      </c>
      <c r="DD34" s="27">
        <v>1.3749977518000001</v>
      </c>
      <c r="DE34" s="27">
        <v>12.098736021000001</v>
      </c>
      <c r="DF34" s="27">
        <v>0.70569719019999999</v>
      </c>
      <c r="DG34" s="27">
        <v>124.6367032</v>
      </c>
      <c r="DH34" s="27">
        <v>1.2731339789</v>
      </c>
      <c r="DI34" s="95">
        <v>1.0066252E-3</v>
      </c>
      <c r="DJ34" s="96">
        <v>1.7245264E-3</v>
      </c>
      <c r="DK34" s="96">
        <v>1.9013488E-3</v>
      </c>
      <c r="DL34" s="96">
        <v>1.9259194E-3</v>
      </c>
      <c r="DM34" s="96">
        <v>1.9324194E-3</v>
      </c>
      <c r="DN34" s="96">
        <v>1.9355338E-3</v>
      </c>
      <c r="DO34" s="96">
        <v>1.9380152E-3</v>
      </c>
      <c r="DP34" s="96">
        <v>1.9404966999999999E-3</v>
      </c>
      <c r="DQ34" s="96">
        <v>1.9412178999999999E-3</v>
      </c>
      <c r="DR34" s="97">
        <v>1.9419391E-3</v>
      </c>
      <c r="DS34" s="93">
        <v>73.281971107000004</v>
      </c>
      <c r="DT34" s="80">
        <v>0.51206020720000001</v>
      </c>
      <c r="DU34" s="80">
        <v>33.902494929</v>
      </c>
      <c r="DV34" s="80">
        <v>0.24848113090000001</v>
      </c>
      <c r="DW34" s="80">
        <v>15.494963611999999</v>
      </c>
      <c r="DX34" s="80">
        <v>0.1194913685</v>
      </c>
      <c r="DY34" s="80">
        <v>7.1031943109000002</v>
      </c>
      <c r="DZ34" s="80">
        <v>5.8592688599999998E-2</v>
      </c>
      <c r="EA34" s="80">
        <v>3.3725641476999999</v>
      </c>
      <c r="EB34" s="80">
        <v>3.0547408000000002E-2</v>
      </c>
      <c r="EC34" s="80">
        <v>1.6846425068999999</v>
      </c>
      <c r="ED34" s="80">
        <v>1.73268842E-2</v>
      </c>
      <c r="EE34" s="80">
        <v>0.89661387619999999</v>
      </c>
      <c r="EF34" s="80">
        <v>1.08522407E-2</v>
      </c>
      <c r="EG34" s="80">
        <v>0.52366529669999995</v>
      </c>
      <c r="EH34" s="80">
        <v>7.5486041999999996E-3</v>
      </c>
      <c r="EI34" s="80">
        <v>0.33613325399999999</v>
      </c>
      <c r="EJ34" s="80">
        <v>5.6864563E-3</v>
      </c>
      <c r="EK34" s="80">
        <v>0.23017427500000001</v>
      </c>
      <c r="EL34" s="94">
        <v>4.4931088999999999E-3</v>
      </c>
    </row>
    <row r="35" spans="1:142" x14ac:dyDescent="0.2">
      <c r="A35" s="79">
        <v>3000</v>
      </c>
      <c r="B35" s="27">
        <v>12142</v>
      </c>
      <c r="C35" s="79">
        <v>1815.2065548</v>
      </c>
      <c r="D35" s="27">
        <v>2949.8913481</v>
      </c>
      <c r="E35" s="27">
        <v>59.046017204999998</v>
      </c>
      <c r="F35" s="27">
        <v>7.7581029699999998E-2</v>
      </c>
      <c r="G35" s="79">
        <v>1.9189937852000001</v>
      </c>
      <c r="H35" s="27">
        <v>1.1297419E-3</v>
      </c>
      <c r="I35" s="27">
        <v>155.50070701000001</v>
      </c>
      <c r="J35" s="27">
        <v>1.0222824561999999</v>
      </c>
      <c r="K35" s="27">
        <v>77.316752504999997</v>
      </c>
      <c r="L35" s="27">
        <v>0.4755500587</v>
      </c>
      <c r="M35" s="27">
        <v>21.630339839000001</v>
      </c>
      <c r="N35" s="27">
        <v>0.17149064720000001</v>
      </c>
      <c r="O35" s="80" t="s">
        <v>136</v>
      </c>
      <c r="P35" s="80">
        <v>0</v>
      </c>
      <c r="Q35" s="27">
        <v>16.515469371999998</v>
      </c>
      <c r="R35" s="27">
        <v>3.1517247399999997E-2</v>
      </c>
      <c r="S35" s="80" t="s">
        <v>136</v>
      </c>
      <c r="T35" s="80">
        <v>0</v>
      </c>
      <c r="U35" s="80" t="s">
        <v>136</v>
      </c>
      <c r="V35" s="80">
        <v>0</v>
      </c>
      <c r="W35" s="27">
        <v>0.22225593469999999</v>
      </c>
      <c r="X35" s="27">
        <v>2.4081791999999999E-3</v>
      </c>
      <c r="Y35" s="27">
        <v>33.448833368999999</v>
      </c>
      <c r="Z35" s="27">
        <v>0.78226830629999999</v>
      </c>
      <c r="AA35" s="80" t="s">
        <v>136</v>
      </c>
      <c r="AB35" s="80">
        <v>0</v>
      </c>
      <c r="AC35" s="27">
        <v>4.3747939999999998E-4</v>
      </c>
      <c r="AD35" s="27">
        <v>2.8467654999999998E-6</v>
      </c>
      <c r="AE35" s="80" t="s">
        <v>136</v>
      </c>
      <c r="AF35" s="80">
        <v>0</v>
      </c>
      <c r="AG35" s="80" t="s">
        <v>136</v>
      </c>
      <c r="AH35" s="80">
        <v>0</v>
      </c>
      <c r="AI35" s="27">
        <f t="shared" si="0"/>
        <v>4.3747939999999998E-4</v>
      </c>
      <c r="AJ35" s="27">
        <f t="shared" si="1"/>
        <v>2.8467654999999998E-6</v>
      </c>
      <c r="AK35" s="27">
        <v>106.85317255</v>
      </c>
      <c r="AL35" s="27">
        <v>1.5303201515</v>
      </c>
      <c r="AM35" s="80" t="s">
        <v>136</v>
      </c>
      <c r="AN35" s="80">
        <v>0</v>
      </c>
      <c r="AO35" s="80" t="s">
        <v>136</v>
      </c>
      <c r="AP35" s="80">
        <v>0</v>
      </c>
      <c r="AQ35" s="80" t="s">
        <v>136</v>
      </c>
      <c r="AR35" s="80">
        <v>0</v>
      </c>
      <c r="AS35" s="27">
        <v>59.799838608999998</v>
      </c>
      <c r="AT35" s="27">
        <v>2.0205988785</v>
      </c>
      <c r="AU35" s="27">
        <v>48.471396075999998</v>
      </c>
      <c r="AV35" s="27">
        <v>0.4281262763</v>
      </c>
      <c r="AW35" s="27">
        <v>21.583248827999999</v>
      </c>
      <c r="AX35" s="27">
        <v>0.2613350673</v>
      </c>
      <c r="AY35" s="27">
        <v>6.9117448794999996</v>
      </c>
      <c r="AZ35" s="27">
        <v>6.1313413999999997E-2</v>
      </c>
      <c r="BA35" s="80">
        <f t="shared" si="2"/>
        <v>19.976402368500001</v>
      </c>
      <c r="BB35" s="80">
        <f t="shared" si="3"/>
        <v>0.10547779499999999</v>
      </c>
      <c r="BC35" s="27">
        <v>0</v>
      </c>
      <c r="BD35" s="80">
        <v>0</v>
      </c>
      <c r="BE35" s="27">
        <v>140.80011214999999</v>
      </c>
      <c r="BF35" s="27">
        <v>2.0213817819000002</v>
      </c>
      <c r="BG35" s="27">
        <v>2.2085217E-3</v>
      </c>
      <c r="BH35" s="80">
        <v>0</v>
      </c>
      <c r="BI35" s="27">
        <v>103.51754778</v>
      </c>
      <c r="BJ35" s="27">
        <v>3.4233952034000001</v>
      </c>
      <c r="BK35" s="27">
        <v>137.44733013000001</v>
      </c>
      <c r="BL35" s="27">
        <v>0.94624145429999995</v>
      </c>
      <c r="BM35" s="27">
        <v>19.601908559999998</v>
      </c>
      <c r="BN35" s="27">
        <v>9.5501380100000005E-2</v>
      </c>
      <c r="BO35" s="27">
        <v>0.16262891709999999</v>
      </c>
      <c r="BP35" s="27">
        <v>1.1419963E-3</v>
      </c>
      <c r="BQ35" s="27">
        <v>0</v>
      </c>
      <c r="BR35" s="92">
        <v>0</v>
      </c>
      <c r="BS35" s="80" t="s">
        <v>136</v>
      </c>
      <c r="BT35" s="80">
        <v>0</v>
      </c>
      <c r="BU35" s="27">
        <v>0.5724352654</v>
      </c>
      <c r="BV35" s="27">
        <v>8.2986229000000002E-3</v>
      </c>
      <c r="BW35" s="27">
        <v>21.057904573999998</v>
      </c>
      <c r="BX35" s="27">
        <v>0.16319202429999999</v>
      </c>
      <c r="BY35" s="80" t="s">
        <v>136</v>
      </c>
      <c r="BZ35" s="80">
        <v>0</v>
      </c>
      <c r="CA35" s="80" t="s">
        <v>136</v>
      </c>
      <c r="CB35" s="80">
        <v>0</v>
      </c>
      <c r="CC35" s="27">
        <v>7.7526255826000003</v>
      </c>
      <c r="CD35" s="27">
        <v>9.5317921999999999E-3</v>
      </c>
      <c r="CE35" s="27">
        <v>8.7628437895999998</v>
      </c>
      <c r="CF35" s="27">
        <v>2.19854552E-2</v>
      </c>
      <c r="CG35" s="80" t="s">
        <v>136</v>
      </c>
      <c r="CH35" s="80">
        <v>0</v>
      </c>
      <c r="CI35" s="80" t="s">
        <v>136</v>
      </c>
      <c r="CJ35" s="80">
        <v>0</v>
      </c>
      <c r="CK35" s="80" t="s">
        <v>136</v>
      </c>
      <c r="CL35" s="80">
        <v>0</v>
      </c>
      <c r="CM35" s="80" t="s">
        <v>136</v>
      </c>
      <c r="CN35" s="80">
        <v>0</v>
      </c>
      <c r="CO35" s="27">
        <v>8.2640166599999995E-2</v>
      </c>
      <c r="CP35" s="27">
        <v>1.1095547E-3</v>
      </c>
      <c r="CQ35" s="27">
        <v>0.13961576810000001</v>
      </c>
      <c r="CR35" s="27">
        <v>1.2986244999999999E-3</v>
      </c>
      <c r="CS35" s="27">
        <v>2.1889770366999999</v>
      </c>
      <c r="CT35" s="27">
        <v>2.4240443099999998E-2</v>
      </c>
      <c r="CU35" s="27">
        <v>31.259856331999998</v>
      </c>
      <c r="CV35" s="27">
        <v>0.75802786320000004</v>
      </c>
      <c r="CW35" s="93" t="s">
        <v>136</v>
      </c>
      <c r="CX35" s="80">
        <v>0</v>
      </c>
      <c r="CY35" s="80" t="s">
        <v>136</v>
      </c>
      <c r="CZ35" s="94">
        <v>0</v>
      </c>
      <c r="DA35" s="27">
        <v>26.769897290999999</v>
      </c>
      <c r="DB35" s="27">
        <v>0.62076710980000005</v>
      </c>
      <c r="DC35" s="27">
        <v>33.029941317999999</v>
      </c>
      <c r="DD35" s="27">
        <v>1.3998317686999999</v>
      </c>
      <c r="DE35" s="27">
        <v>12.801161472</v>
      </c>
      <c r="DF35" s="27">
        <v>0.7225579714</v>
      </c>
      <c r="DG35" s="27">
        <v>127.99895067999999</v>
      </c>
      <c r="DH35" s="27">
        <v>1.2988238105000001</v>
      </c>
      <c r="DI35" s="95">
        <v>1.1228014E-3</v>
      </c>
      <c r="DJ35" s="96">
        <v>1.9337346000000001E-3</v>
      </c>
      <c r="DK35" s="96">
        <v>2.1343301999999999E-3</v>
      </c>
      <c r="DL35" s="96">
        <v>2.1634957999999999E-3</v>
      </c>
      <c r="DM35" s="96">
        <v>2.1699257999999999E-3</v>
      </c>
      <c r="DN35" s="96">
        <v>2.1730069999999998E-3</v>
      </c>
      <c r="DO35" s="96">
        <v>2.1754629999999999E-3</v>
      </c>
      <c r="DP35" s="96">
        <v>2.1779188999999999E-3</v>
      </c>
      <c r="DQ35" s="96">
        <v>2.1786306000000002E-3</v>
      </c>
      <c r="DR35" s="97">
        <v>2.1793423E-3</v>
      </c>
      <c r="DS35" s="93">
        <v>74.778688626999994</v>
      </c>
      <c r="DT35" s="80">
        <v>0.52217586240000002</v>
      </c>
      <c r="DU35" s="80">
        <v>34.874605983000002</v>
      </c>
      <c r="DV35" s="80">
        <v>0.25530758170000001</v>
      </c>
      <c r="DW35" s="80">
        <v>16.089760593000001</v>
      </c>
      <c r="DX35" s="80">
        <v>0.12382420919999999</v>
      </c>
      <c r="DY35" s="80">
        <v>7.4504903303000001</v>
      </c>
      <c r="DZ35" s="80">
        <v>6.1264210499999999E-2</v>
      </c>
      <c r="EA35" s="80">
        <v>3.5754604234</v>
      </c>
      <c r="EB35" s="80">
        <v>3.2221661200000001E-2</v>
      </c>
      <c r="EC35" s="80">
        <v>1.8045147985000001</v>
      </c>
      <c r="ED35" s="80">
        <v>1.84065393E-2</v>
      </c>
      <c r="EE35" s="80">
        <v>0.97163112190000001</v>
      </c>
      <c r="EF35" s="80">
        <v>1.15953177E-2</v>
      </c>
      <c r="EG35" s="80">
        <v>0.56935888899999998</v>
      </c>
      <c r="EH35" s="80">
        <v>8.0668589999999991E-3</v>
      </c>
      <c r="EI35" s="80">
        <v>0.36541338890000002</v>
      </c>
      <c r="EJ35" s="80">
        <v>6.0712183000000003E-3</v>
      </c>
      <c r="EK35" s="80">
        <v>0.250053317</v>
      </c>
      <c r="EL35" s="94">
        <v>4.7963681000000001E-3</v>
      </c>
    </row>
    <row r="36" spans="1:142" x14ac:dyDescent="0.2">
      <c r="A36" s="79">
        <v>3100</v>
      </c>
      <c r="B36" s="27">
        <v>11963</v>
      </c>
      <c r="C36" s="79">
        <v>1856.8168999</v>
      </c>
      <c r="D36" s="27">
        <v>3049.7424939000002</v>
      </c>
      <c r="E36" s="27">
        <v>61.2585312</v>
      </c>
      <c r="F36" s="27">
        <v>7.9474359199999997E-2</v>
      </c>
      <c r="G36" s="79">
        <v>2.1414030769000001</v>
      </c>
      <c r="H36" s="27">
        <v>1.2283871999999999E-3</v>
      </c>
      <c r="I36" s="27">
        <v>157.53851872999999</v>
      </c>
      <c r="J36" s="27">
        <v>1.0358503767</v>
      </c>
      <c r="K36" s="27">
        <v>78.933532455999995</v>
      </c>
      <c r="L36" s="27">
        <v>0.4856497045</v>
      </c>
      <c r="M36" s="27">
        <v>22.556245916000002</v>
      </c>
      <c r="N36" s="27">
        <v>0.17861736310000001</v>
      </c>
      <c r="O36" s="80" t="s">
        <v>136</v>
      </c>
      <c r="P36" s="80">
        <v>0</v>
      </c>
      <c r="Q36" s="27">
        <v>17.723124693999999</v>
      </c>
      <c r="R36" s="27">
        <v>3.3493768700000003E-2</v>
      </c>
      <c r="S36" s="80" t="s">
        <v>136</v>
      </c>
      <c r="T36" s="80">
        <v>0</v>
      </c>
      <c r="U36" s="80" t="s">
        <v>136</v>
      </c>
      <c r="V36" s="80">
        <v>0</v>
      </c>
      <c r="W36" s="27">
        <v>0.23851904469999999</v>
      </c>
      <c r="X36" s="27">
        <v>2.5469823999999999E-3</v>
      </c>
      <c r="Y36" s="27">
        <v>34.853569405999998</v>
      </c>
      <c r="Z36" s="27">
        <v>0.81348273849999997</v>
      </c>
      <c r="AA36" s="80" t="s">
        <v>136</v>
      </c>
      <c r="AB36" s="80">
        <v>0</v>
      </c>
      <c r="AC36" s="27">
        <v>4.3224970000000002E-4</v>
      </c>
      <c r="AD36" s="27">
        <v>2.8127349000000002E-6</v>
      </c>
      <c r="AE36" s="80" t="s">
        <v>136</v>
      </c>
      <c r="AF36" s="80">
        <v>0</v>
      </c>
      <c r="AG36" s="80" t="s">
        <v>136</v>
      </c>
      <c r="AH36" s="80">
        <v>0</v>
      </c>
      <c r="AI36" s="27">
        <f t="shared" si="0"/>
        <v>4.3224970000000002E-4</v>
      </c>
      <c r="AJ36" s="27">
        <f t="shared" si="1"/>
        <v>2.8127349000000002E-6</v>
      </c>
      <c r="AK36" s="27">
        <v>109.32715388</v>
      </c>
      <c r="AL36" s="27">
        <v>1.5534773705</v>
      </c>
      <c r="AM36" s="80" t="s">
        <v>136</v>
      </c>
      <c r="AN36" s="80">
        <v>0</v>
      </c>
      <c r="AO36" s="80" t="s">
        <v>136</v>
      </c>
      <c r="AP36" s="80">
        <v>0</v>
      </c>
      <c r="AQ36" s="80" t="s">
        <v>136</v>
      </c>
      <c r="AR36" s="80">
        <v>0</v>
      </c>
      <c r="AS36" s="27">
        <v>61.331300038999998</v>
      </c>
      <c r="AT36" s="27">
        <v>2.0598027341999998</v>
      </c>
      <c r="AU36" s="27">
        <v>50.125229056999999</v>
      </c>
      <c r="AV36" s="27">
        <v>0.43905057619999999</v>
      </c>
      <c r="AW36" s="27">
        <v>22.319388901</v>
      </c>
      <c r="AX36" s="27">
        <v>0.26813704420000001</v>
      </c>
      <c r="AY36" s="27">
        <v>7.0882601071</v>
      </c>
      <c r="AZ36" s="27">
        <v>6.24287933E-2</v>
      </c>
      <c r="BA36" s="80">
        <f t="shared" si="2"/>
        <v>20.717580048899997</v>
      </c>
      <c r="BB36" s="80">
        <f t="shared" si="3"/>
        <v>0.10848473869999997</v>
      </c>
      <c r="BC36" s="27">
        <v>0</v>
      </c>
      <c r="BD36" s="80">
        <v>0</v>
      </c>
      <c r="BE36" s="27">
        <v>144.99868205999999</v>
      </c>
      <c r="BF36" s="27">
        <v>2.0639605142000002</v>
      </c>
      <c r="BG36" s="27">
        <v>2.4017437999999999E-3</v>
      </c>
      <c r="BH36" s="80">
        <v>0</v>
      </c>
      <c r="BI36" s="27">
        <v>105.79375377</v>
      </c>
      <c r="BJ36" s="27">
        <v>3.4747225363999998</v>
      </c>
      <c r="BK36" s="27">
        <v>143.96081637</v>
      </c>
      <c r="BL36" s="27">
        <v>0.98742648310000003</v>
      </c>
      <c r="BM36" s="27">
        <v>20.298407752999999</v>
      </c>
      <c r="BN36" s="27">
        <v>9.8201276000000004E-2</v>
      </c>
      <c r="BO36" s="27">
        <v>0.17023008240000001</v>
      </c>
      <c r="BP36" s="27">
        <v>1.1518417E-3</v>
      </c>
      <c r="BQ36" s="27">
        <v>0</v>
      </c>
      <c r="BR36" s="92">
        <v>0</v>
      </c>
      <c r="BS36" s="80" t="s">
        <v>136</v>
      </c>
      <c r="BT36" s="80">
        <v>0</v>
      </c>
      <c r="BU36" s="27">
        <v>0.59803293710000005</v>
      </c>
      <c r="BV36" s="27">
        <v>8.6547331000000009E-3</v>
      </c>
      <c r="BW36" s="27">
        <v>21.958212978999999</v>
      </c>
      <c r="BX36" s="27">
        <v>0.16996263</v>
      </c>
      <c r="BY36" s="80" t="s">
        <v>136</v>
      </c>
      <c r="BZ36" s="80">
        <v>0</v>
      </c>
      <c r="CA36" s="80" t="s">
        <v>136</v>
      </c>
      <c r="CB36" s="80">
        <v>0</v>
      </c>
      <c r="CC36" s="27">
        <v>8.4551804385999993</v>
      </c>
      <c r="CD36" s="27">
        <v>1.024774E-2</v>
      </c>
      <c r="CE36" s="27">
        <v>9.2679442550999998</v>
      </c>
      <c r="CF36" s="27">
        <v>2.3246028700000001E-2</v>
      </c>
      <c r="CG36" s="80" t="s">
        <v>136</v>
      </c>
      <c r="CH36" s="80">
        <v>0</v>
      </c>
      <c r="CI36" s="80" t="s">
        <v>136</v>
      </c>
      <c r="CJ36" s="80">
        <v>0</v>
      </c>
      <c r="CK36" s="80" t="s">
        <v>136</v>
      </c>
      <c r="CL36" s="80">
        <v>0</v>
      </c>
      <c r="CM36" s="80" t="s">
        <v>136</v>
      </c>
      <c r="CN36" s="80">
        <v>0</v>
      </c>
      <c r="CO36" s="27">
        <v>8.2710556700000007E-2</v>
      </c>
      <c r="CP36" s="27">
        <v>1.1153818E-3</v>
      </c>
      <c r="CQ36" s="27">
        <v>0.15580848799999999</v>
      </c>
      <c r="CR36" s="27">
        <v>1.4316006000000001E-3</v>
      </c>
      <c r="CS36" s="27">
        <v>2.3134536964999999</v>
      </c>
      <c r="CT36" s="27">
        <v>2.5305580899999999E-2</v>
      </c>
      <c r="CU36" s="27">
        <v>32.540115710000002</v>
      </c>
      <c r="CV36" s="27">
        <v>0.78817715759999996</v>
      </c>
      <c r="CW36" s="93" t="s">
        <v>136</v>
      </c>
      <c r="CX36" s="80">
        <v>0</v>
      </c>
      <c r="CY36" s="80" t="s">
        <v>136</v>
      </c>
      <c r="CZ36" s="94">
        <v>0</v>
      </c>
      <c r="DA36" s="27">
        <v>27.515720545000001</v>
      </c>
      <c r="DB36" s="27">
        <v>0.63554731679999998</v>
      </c>
      <c r="DC36" s="27">
        <v>33.815579493999998</v>
      </c>
      <c r="DD36" s="27">
        <v>1.4242554173999999</v>
      </c>
      <c r="DE36" s="27">
        <v>13.602645353</v>
      </c>
      <c r="DF36" s="27">
        <v>0.74034692049999995</v>
      </c>
      <c r="DG36" s="27">
        <v>131.3960367</v>
      </c>
      <c r="DH36" s="27">
        <v>1.3236135937</v>
      </c>
      <c r="DI36" s="95">
        <v>1.2215342000000001E-3</v>
      </c>
      <c r="DJ36" s="96">
        <v>2.1085878000000001E-3</v>
      </c>
      <c r="DK36" s="96">
        <v>2.3245988E-3</v>
      </c>
      <c r="DL36" s="96">
        <v>2.3559916000000002E-3</v>
      </c>
      <c r="DM36" s="96">
        <v>2.3629760000000001E-3</v>
      </c>
      <c r="DN36" s="96">
        <v>2.3666442999999999E-3</v>
      </c>
      <c r="DO36" s="96">
        <v>2.3690756000000002E-3</v>
      </c>
      <c r="DP36" s="96">
        <v>2.3715069000000001E-3</v>
      </c>
      <c r="DQ36" s="96">
        <v>2.3722101000000001E-3</v>
      </c>
      <c r="DR36" s="97">
        <v>2.3729133E-3</v>
      </c>
      <c r="DS36" s="93">
        <v>76.289458779</v>
      </c>
      <c r="DT36" s="80">
        <v>0.53254712449999997</v>
      </c>
      <c r="DU36" s="80">
        <v>35.846332472</v>
      </c>
      <c r="DV36" s="80">
        <v>0.262269321</v>
      </c>
      <c r="DW36" s="80">
        <v>16.676597266999998</v>
      </c>
      <c r="DX36" s="80">
        <v>0.1282639213</v>
      </c>
      <c r="DY36" s="80">
        <v>7.7935492245000004</v>
      </c>
      <c r="DZ36" s="80">
        <v>6.4038447900000003E-2</v>
      </c>
      <c r="EA36" s="80">
        <v>3.7758692791000001</v>
      </c>
      <c r="EB36" s="80">
        <v>3.3988101799999997E-2</v>
      </c>
      <c r="EC36" s="80">
        <v>1.9244365083999999</v>
      </c>
      <c r="ED36" s="80">
        <v>1.95797006E-2</v>
      </c>
      <c r="EE36" s="80">
        <v>1.044263323</v>
      </c>
      <c r="EF36" s="80">
        <v>1.23979743E-2</v>
      </c>
      <c r="EG36" s="80">
        <v>0.61518390730000005</v>
      </c>
      <c r="EH36" s="80">
        <v>8.6481682000000004E-3</v>
      </c>
      <c r="EI36" s="80">
        <v>0.39560752640000002</v>
      </c>
      <c r="EJ36" s="80">
        <v>6.5171608000000004E-3</v>
      </c>
      <c r="EK36" s="80">
        <v>0.27054808969999999</v>
      </c>
      <c r="EL36" s="94">
        <v>5.1514298999999998E-3</v>
      </c>
    </row>
    <row r="37" spans="1:142" x14ac:dyDescent="0.2">
      <c r="A37" s="79">
        <v>3200</v>
      </c>
      <c r="B37" s="27">
        <v>11403</v>
      </c>
      <c r="C37" s="79">
        <v>1897.6408091000001</v>
      </c>
      <c r="D37" s="27">
        <v>3149.7777961000002</v>
      </c>
      <c r="E37" s="27">
        <v>63.457455506000002</v>
      </c>
      <c r="F37" s="27">
        <v>8.1179206599999998E-2</v>
      </c>
      <c r="G37" s="79">
        <v>2.4342044858</v>
      </c>
      <c r="H37" s="27">
        <v>1.3566782999999999E-3</v>
      </c>
      <c r="I37" s="27">
        <v>159.43435177000001</v>
      </c>
      <c r="J37" s="27">
        <v>1.0487432646999999</v>
      </c>
      <c r="K37" s="27">
        <v>80.495554189999993</v>
      </c>
      <c r="L37" s="27">
        <v>0.4960072425</v>
      </c>
      <c r="M37" s="27">
        <v>23.356611762</v>
      </c>
      <c r="N37" s="27">
        <v>0.184635244</v>
      </c>
      <c r="O37" s="80" t="s">
        <v>136</v>
      </c>
      <c r="P37" s="80">
        <v>0</v>
      </c>
      <c r="Q37" s="27">
        <v>18.867456639</v>
      </c>
      <c r="R37" s="27">
        <v>3.5290402499999998E-2</v>
      </c>
      <c r="S37" s="80" t="s">
        <v>136</v>
      </c>
      <c r="T37" s="80">
        <v>0</v>
      </c>
      <c r="U37" s="80" t="s">
        <v>136</v>
      </c>
      <c r="V37" s="80">
        <v>0</v>
      </c>
      <c r="W37" s="27">
        <v>0.25783625090000001</v>
      </c>
      <c r="X37" s="27">
        <v>2.7648366999999999E-3</v>
      </c>
      <c r="Y37" s="27">
        <v>36.183934505000003</v>
      </c>
      <c r="Z37" s="27">
        <v>0.84338227960000001</v>
      </c>
      <c r="AA37" s="80" t="s">
        <v>136</v>
      </c>
      <c r="AB37" s="80">
        <v>0</v>
      </c>
      <c r="AC37" s="27">
        <v>4.2712309999999999E-4</v>
      </c>
      <c r="AD37" s="27">
        <v>2.7793750999999999E-6</v>
      </c>
      <c r="AE37" s="80" t="s">
        <v>136</v>
      </c>
      <c r="AF37" s="80">
        <v>0</v>
      </c>
      <c r="AG37" s="80" t="s">
        <v>136</v>
      </c>
      <c r="AH37" s="80">
        <v>0</v>
      </c>
      <c r="AI37" s="27">
        <f t="shared" ref="AI37:AI68" si="4">AC37</f>
        <v>4.2712309999999999E-4</v>
      </c>
      <c r="AJ37" s="27">
        <f t="shared" ref="AJ37:AJ68" si="5">AD37</f>
        <v>2.7793750999999999E-6</v>
      </c>
      <c r="AK37" s="27">
        <v>111.80220824</v>
      </c>
      <c r="AL37" s="27">
        <v>1.5757894329</v>
      </c>
      <c r="AM37" s="80" t="s">
        <v>136</v>
      </c>
      <c r="AN37" s="80">
        <v>0</v>
      </c>
      <c r="AO37" s="80" t="s">
        <v>136</v>
      </c>
      <c r="AP37" s="80">
        <v>0</v>
      </c>
      <c r="AQ37" s="80" t="s">
        <v>136</v>
      </c>
      <c r="AR37" s="80">
        <v>0</v>
      </c>
      <c r="AS37" s="27">
        <v>62.743761925000001</v>
      </c>
      <c r="AT37" s="27">
        <v>2.0966485788</v>
      </c>
      <c r="AU37" s="27">
        <v>51.686646461000002</v>
      </c>
      <c r="AV37" s="27">
        <v>0.44918612159999999</v>
      </c>
      <c r="AW37" s="27">
        <v>23.004142438999999</v>
      </c>
      <c r="AX37" s="27">
        <v>0.27441251490000002</v>
      </c>
      <c r="AY37" s="27">
        <v>7.2432575835000002</v>
      </c>
      <c r="AZ37" s="27">
        <v>6.3444035800000007E-2</v>
      </c>
      <c r="BA37" s="80">
        <f t="shared" si="2"/>
        <v>21.439246438500003</v>
      </c>
      <c r="BB37" s="80">
        <f t="shared" si="3"/>
        <v>0.11132957089999995</v>
      </c>
      <c r="BC37" s="27">
        <v>0</v>
      </c>
      <c r="BD37" s="80">
        <v>0</v>
      </c>
      <c r="BE37" s="27">
        <v>149.10583965999999</v>
      </c>
      <c r="BF37" s="27">
        <v>2.1067590937</v>
      </c>
      <c r="BG37" s="27">
        <v>2.6547899000000002E-3</v>
      </c>
      <c r="BH37" s="80">
        <v>0</v>
      </c>
      <c r="BI37" s="27">
        <v>107.85460825</v>
      </c>
      <c r="BJ37" s="27">
        <v>3.5214105015000001</v>
      </c>
      <c r="BK37" s="27">
        <v>150.33287467</v>
      </c>
      <c r="BL37" s="27">
        <v>1.0275069457999999</v>
      </c>
      <c r="BM37" s="27">
        <v>21.129127954000001</v>
      </c>
      <c r="BN37" s="27">
        <v>0.1013407085</v>
      </c>
      <c r="BO37" s="27">
        <v>0.17898708820000001</v>
      </c>
      <c r="BP37" s="27">
        <v>1.1985241999999999E-3</v>
      </c>
      <c r="BQ37" s="27">
        <v>0</v>
      </c>
      <c r="BR37" s="92">
        <v>0</v>
      </c>
      <c r="BS37" s="80" t="s">
        <v>136</v>
      </c>
      <c r="BT37" s="80">
        <v>0</v>
      </c>
      <c r="BU37" s="27">
        <v>0.62981591729999997</v>
      </c>
      <c r="BV37" s="27">
        <v>9.0108315999999997E-3</v>
      </c>
      <c r="BW37" s="27">
        <v>22.726795844000002</v>
      </c>
      <c r="BX37" s="27">
        <v>0.17562441249999999</v>
      </c>
      <c r="BY37" s="80" t="s">
        <v>136</v>
      </c>
      <c r="BZ37" s="80">
        <v>0</v>
      </c>
      <c r="CA37" s="80" t="s">
        <v>136</v>
      </c>
      <c r="CB37" s="80">
        <v>0</v>
      </c>
      <c r="CC37" s="27">
        <v>9.0771650904999994</v>
      </c>
      <c r="CD37" s="27">
        <v>1.08488236E-2</v>
      </c>
      <c r="CE37" s="27">
        <v>9.7902915483000008</v>
      </c>
      <c r="CF37" s="27">
        <v>2.4441578799999999E-2</v>
      </c>
      <c r="CG37" s="80" t="s">
        <v>136</v>
      </c>
      <c r="CH37" s="80">
        <v>0</v>
      </c>
      <c r="CI37" s="80" t="s">
        <v>136</v>
      </c>
      <c r="CJ37" s="80">
        <v>0</v>
      </c>
      <c r="CK37" s="80" t="s">
        <v>136</v>
      </c>
      <c r="CL37" s="80">
        <v>0</v>
      </c>
      <c r="CM37" s="80" t="s">
        <v>136</v>
      </c>
      <c r="CN37" s="80">
        <v>0</v>
      </c>
      <c r="CO37" s="27">
        <v>8.6990156299999996E-2</v>
      </c>
      <c r="CP37" s="27">
        <v>1.2114838E-3</v>
      </c>
      <c r="CQ37" s="27">
        <v>0.1708460946</v>
      </c>
      <c r="CR37" s="27">
        <v>1.5533528999999999E-3</v>
      </c>
      <c r="CS37" s="27">
        <v>2.4625434955999999</v>
      </c>
      <c r="CT37" s="27">
        <v>2.6891758299999999E-2</v>
      </c>
      <c r="CU37" s="27">
        <v>33.721391009999998</v>
      </c>
      <c r="CV37" s="27">
        <v>0.81649052129999999</v>
      </c>
      <c r="CW37" s="93" t="s">
        <v>136</v>
      </c>
      <c r="CX37" s="80">
        <v>0</v>
      </c>
      <c r="CY37" s="80" t="s">
        <v>136</v>
      </c>
      <c r="CZ37" s="94">
        <v>0</v>
      </c>
      <c r="DA37" s="27">
        <v>28.226048066000001</v>
      </c>
      <c r="DB37" s="27">
        <v>0.64976003110000002</v>
      </c>
      <c r="DC37" s="27">
        <v>34.517713858</v>
      </c>
      <c r="DD37" s="27">
        <v>1.4468885477</v>
      </c>
      <c r="DE37" s="27">
        <v>14.435932729999999</v>
      </c>
      <c r="DF37" s="27">
        <v>0.75801178400000002</v>
      </c>
      <c r="DG37" s="27">
        <v>134.66990693</v>
      </c>
      <c r="DH37" s="27">
        <v>1.3487473097</v>
      </c>
      <c r="DI37" s="95">
        <v>1.3499066000000001E-3</v>
      </c>
      <c r="DJ37" s="96">
        <v>2.3353392000000001E-3</v>
      </c>
      <c r="DK37" s="96">
        <v>2.5755976E-3</v>
      </c>
      <c r="DL37" s="96">
        <v>2.6095458999999999E-3</v>
      </c>
      <c r="DM37" s="96">
        <v>2.6164612000000001E-3</v>
      </c>
      <c r="DN37" s="96">
        <v>2.6200938999999999E-3</v>
      </c>
      <c r="DO37" s="96">
        <v>2.6225026999999999E-3</v>
      </c>
      <c r="DP37" s="96">
        <v>2.6249115999999999E-3</v>
      </c>
      <c r="DQ37" s="96">
        <v>2.6256064000000001E-3</v>
      </c>
      <c r="DR37" s="97">
        <v>2.6263012999999998E-3</v>
      </c>
      <c r="DS37" s="93">
        <v>77.724351287000005</v>
      </c>
      <c r="DT37" s="80">
        <v>0.54250190580000002</v>
      </c>
      <c r="DU37" s="80">
        <v>36.795228125000001</v>
      </c>
      <c r="DV37" s="80">
        <v>0.26910809990000001</v>
      </c>
      <c r="DW37" s="80">
        <v>17.255516264000001</v>
      </c>
      <c r="DX37" s="80">
        <v>0.13262343100000001</v>
      </c>
      <c r="DY37" s="80">
        <v>8.1311731934000004</v>
      </c>
      <c r="DZ37" s="80">
        <v>6.6743060500000007E-2</v>
      </c>
      <c r="EA37" s="80">
        <v>3.9714348596</v>
      </c>
      <c r="EB37" s="80">
        <v>3.5684591299999999E-2</v>
      </c>
      <c r="EC37" s="80">
        <v>2.0415737477999998</v>
      </c>
      <c r="ED37" s="80">
        <v>2.07035637E-2</v>
      </c>
      <c r="EE37" s="80">
        <v>1.1190751329999999</v>
      </c>
      <c r="EF37" s="80">
        <v>1.31965152E-2</v>
      </c>
      <c r="EG37" s="80">
        <v>0.66407349900000001</v>
      </c>
      <c r="EH37" s="80">
        <v>9.2349800000000003E-3</v>
      </c>
      <c r="EI37" s="80">
        <v>0.4275245714</v>
      </c>
      <c r="EJ37" s="80">
        <v>6.9582050999999999E-3</v>
      </c>
      <c r="EK37" s="80">
        <v>0.29265087210000001</v>
      </c>
      <c r="EL37" s="94">
        <v>5.4998692000000002E-3</v>
      </c>
    </row>
    <row r="38" spans="1:142" x14ac:dyDescent="0.2">
      <c r="A38" s="79">
        <v>3300</v>
      </c>
      <c r="B38" s="27">
        <v>10872</v>
      </c>
      <c r="C38" s="79">
        <v>1937.659617</v>
      </c>
      <c r="D38" s="27">
        <v>3249.6141643000001</v>
      </c>
      <c r="E38" s="27">
        <v>65.575302613999995</v>
      </c>
      <c r="F38" s="27">
        <v>8.2830810199999994E-2</v>
      </c>
      <c r="G38" s="79">
        <v>2.7091364014999999</v>
      </c>
      <c r="H38" s="27">
        <v>1.4771184000000001E-3</v>
      </c>
      <c r="I38" s="27">
        <v>161.28215693999999</v>
      </c>
      <c r="J38" s="27">
        <v>1.0609049162999999</v>
      </c>
      <c r="K38" s="27">
        <v>82.020716758999995</v>
      </c>
      <c r="L38" s="27">
        <v>0.50560878840000001</v>
      </c>
      <c r="M38" s="27">
        <v>24.234809218999999</v>
      </c>
      <c r="N38" s="27">
        <v>0.19131323980000001</v>
      </c>
      <c r="O38" s="80" t="s">
        <v>136</v>
      </c>
      <c r="P38" s="80">
        <v>0</v>
      </c>
      <c r="Q38" s="27">
        <v>20.029067069</v>
      </c>
      <c r="R38" s="27">
        <v>3.7103034200000003E-2</v>
      </c>
      <c r="S38" s="80" t="s">
        <v>136</v>
      </c>
      <c r="T38" s="80">
        <v>0</v>
      </c>
      <c r="U38" s="80" t="s">
        <v>136</v>
      </c>
      <c r="V38" s="80">
        <v>0</v>
      </c>
      <c r="W38" s="27">
        <v>0.26477156060000001</v>
      </c>
      <c r="X38" s="27">
        <v>2.8571353999999999E-3</v>
      </c>
      <c r="Y38" s="27">
        <v>37.585750509</v>
      </c>
      <c r="Z38" s="27">
        <v>0.87377517159999996</v>
      </c>
      <c r="AA38" s="80" t="s">
        <v>136</v>
      </c>
      <c r="AB38" s="80">
        <v>0</v>
      </c>
      <c r="AC38" s="27">
        <v>4.2258699999999998E-4</v>
      </c>
      <c r="AD38" s="27">
        <v>2.7498577999999999E-6</v>
      </c>
      <c r="AE38" s="80" t="s">
        <v>136</v>
      </c>
      <c r="AF38" s="80">
        <v>0</v>
      </c>
      <c r="AG38" s="80" t="s">
        <v>136</v>
      </c>
      <c r="AH38" s="80">
        <v>0</v>
      </c>
      <c r="AI38" s="27">
        <f t="shared" si="4"/>
        <v>4.2258699999999998E-4</v>
      </c>
      <c r="AJ38" s="27">
        <f t="shared" si="5"/>
        <v>2.7498577999999999E-6</v>
      </c>
      <c r="AK38" s="27">
        <v>114.00784089</v>
      </c>
      <c r="AL38" s="27">
        <v>1.5968487545000001</v>
      </c>
      <c r="AM38" s="80" t="s">
        <v>136</v>
      </c>
      <c r="AN38" s="80">
        <v>0</v>
      </c>
      <c r="AO38" s="80" t="s">
        <v>136</v>
      </c>
      <c r="AP38" s="80">
        <v>0</v>
      </c>
      <c r="AQ38" s="80" t="s">
        <v>136</v>
      </c>
      <c r="AR38" s="80">
        <v>0</v>
      </c>
      <c r="AS38" s="27">
        <v>64.112779672000002</v>
      </c>
      <c r="AT38" s="27">
        <v>2.1319834991</v>
      </c>
      <c r="AU38" s="27">
        <v>53.263562557999997</v>
      </c>
      <c r="AV38" s="27">
        <v>0.4593844594</v>
      </c>
      <c r="AW38" s="27">
        <v>23.667313610000001</v>
      </c>
      <c r="AX38" s="27">
        <v>0.2807269033</v>
      </c>
      <c r="AY38" s="27">
        <v>7.4417100713000002</v>
      </c>
      <c r="AZ38" s="27">
        <v>6.4597209599999997E-2</v>
      </c>
      <c r="BA38" s="80">
        <f t="shared" ref="BA38:BA69" si="6">AU38-(AW38+AY38)</f>
        <v>22.154538876699995</v>
      </c>
      <c r="BB38" s="80">
        <f t="shared" ref="BB38:BB69" si="7">AV38-(AX38+AZ38)</f>
        <v>0.11406034650000002</v>
      </c>
      <c r="BC38" s="27">
        <v>0</v>
      </c>
      <c r="BD38" s="80">
        <v>0</v>
      </c>
      <c r="BE38" s="27">
        <v>153.07978408</v>
      </c>
      <c r="BF38" s="27">
        <v>2.1458778934999998</v>
      </c>
      <c r="BG38" s="27">
        <v>2.8950217E-3</v>
      </c>
      <c r="BH38" s="80">
        <v>0</v>
      </c>
      <c r="BI38" s="27">
        <v>109.84911017</v>
      </c>
      <c r="BJ38" s="27">
        <v>3.5652341280000002</v>
      </c>
      <c r="BK38" s="27">
        <v>156.40149263000001</v>
      </c>
      <c r="BL38" s="27">
        <v>1.064517801</v>
      </c>
      <c r="BM38" s="27">
        <v>21.817432843999999</v>
      </c>
      <c r="BN38" s="27">
        <v>0.1040197083</v>
      </c>
      <c r="BO38" s="27">
        <v>0.19942094830000001</v>
      </c>
      <c r="BP38" s="27">
        <v>1.2671089E-3</v>
      </c>
      <c r="BQ38" s="27">
        <v>0</v>
      </c>
      <c r="BR38" s="92">
        <v>0</v>
      </c>
      <c r="BS38" s="80" t="s">
        <v>136</v>
      </c>
      <c r="BT38" s="80">
        <v>0</v>
      </c>
      <c r="BU38" s="27">
        <v>0.65164121019999999</v>
      </c>
      <c r="BV38" s="27">
        <v>9.2425245999999996E-3</v>
      </c>
      <c r="BW38" s="27">
        <v>23.583168009000001</v>
      </c>
      <c r="BX38" s="27">
        <v>0.18207071529999999</v>
      </c>
      <c r="BY38" s="80" t="s">
        <v>136</v>
      </c>
      <c r="BZ38" s="80">
        <v>0</v>
      </c>
      <c r="CA38" s="80" t="s">
        <v>136</v>
      </c>
      <c r="CB38" s="80">
        <v>0</v>
      </c>
      <c r="CC38" s="27">
        <v>9.7601629461999995</v>
      </c>
      <c r="CD38" s="27">
        <v>1.1478836500000001E-2</v>
      </c>
      <c r="CE38" s="27">
        <v>10.268904123</v>
      </c>
      <c r="CF38" s="27">
        <v>2.56241977E-2</v>
      </c>
      <c r="CG38" s="80" t="s">
        <v>136</v>
      </c>
      <c r="CH38" s="80">
        <v>0</v>
      </c>
      <c r="CI38" s="80" t="s">
        <v>136</v>
      </c>
      <c r="CJ38" s="80">
        <v>0</v>
      </c>
      <c r="CK38" s="80" t="s">
        <v>136</v>
      </c>
      <c r="CL38" s="80">
        <v>0</v>
      </c>
      <c r="CM38" s="80" t="s">
        <v>136</v>
      </c>
      <c r="CN38" s="80">
        <v>0</v>
      </c>
      <c r="CO38" s="27">
        <v>9.0878342700000003E-2</v>
      </c>
      <c r="CP38" s="27">
        <v>1.2779272E-3</v>
      </c>
      <c r="CQ38" s="27">
        <v>0.17389321799999999</v>
      </c>
      <c r="CR38" s="27">
        <v>1.5792082E-3</v>
      </c>
      <c r="CS38" s="27">
        <v>2.6114324245999998</v>
      </c>
      <c r="CT38" s="27">
        <v>2.8517742799999999E-2</v>
      </c>
      <c r="CU38" s="27">
        <v>34.974318083999997</v>
      </c>
      <c r="CV38" s="27">
        <v>0.84525742869999998</v>
      </c>
      <c r="CW38" s="93" t="s">
        <v>136</v>
      </c>
      <c r="CX38" s="80">
        <v>0</v>
      </c>
      <c r="CY38" s="80" t="s">
        <v>136</v>
      </c>
      <c r="CZ38" s="94">
        <v>0</v>
      </c>
      <c r="DA38" s="27">
        <v>28.899430852999998</v>
      </c>
      <c r="DB38" s="27">
        <v>0.66313568420000002</v>
      </c>
      <c r="DC38" s="27">
        <v>35.213348818999997</v>
      </c>
      <c r="DD38" s="27">
        <v>1.4688478148999999</v>
      </c>
      <c r="DE38" s="27">
        <v>15.297791938</v>
      </c>
      <c r="DF38" s="27">
        <v>0.77423675820000004</v>
      </c>
      <c r="DG38" s="27">
        <v>137.78199214</v>
      </c>
      <c r="DH38" s="27">
        <v>1.3716411354</v>
      </c>
      <c r="DI38" s="95">
        <v>1.4704225E-3</v>
      </c>
      <c r="DJ38" s="96">
        <v>2.5495742999999999E-3</v>
      </c>
      <c r="DK38" s="96">
        <v>2.8134585000000002E-3</v>
      </c>
      <c r="DL38" s="96">
        <v>2.8502355000000002E-3</v>
      </c>
      <c r="DM38" s="96">
        <v>2.8570854999999998E-3</v>
      </c>
      <c r="DN38" s="96">
        <v>2.8606843000000002E-3</v>
      </c>
      <c r="DO38" s="96">
        <v>2.8630725000000001E-3</v>
      </c>
      <c r="DP38" s="96">
        <v>2.8654608000000001E-3</v>
      </c>
      <c r="DQ38" s="96">
        <v>2.8661481999999999E-3</v>
      </c>
      <c r="DR38" s="97">
        <v>2.8668357000000001E-3</v>
      </c>
      <c r="DS38" s="93">
        <v>79.120151378000003</v>
      </c>
      <c r="DT38" s="80">
        <v>0.551875428</v>
      </c>
      <c r="DU38" s="80">
        <v>37.704965569000002</v>
      </c>
      <c r="DV38" s="80">
        <v>0.27542456729999998</v>
      </c>
      <c r="DW38" s="80">
        <v>17.808627735999998</v>
      </c>
      <c r="DX38" s="80">
        <v>0.13661791940000001</v>
      </c>
      <c r="DY38" s="80">
        <v>8.4537198777999993</v>
      </c>
      <c r="DZ38" s="80">
        <v>6.9198616899999996E-2</v>
      </c>
      <c r="EA38" s="80">
        <v>4.1598813487999999</v>
      </c>
      <c r="EB38" s="80">
        <v>3.7215807900000002E-2</v>
      </c>
      <c r="EC38" s="80">
        <v>2.1570778167000002</v>
      </c>
      <c r="ED38" s="80">
        <v>2.1717279900000001E-2</v>
      </c>
      <c r="EE38" s="80">
        <v>1.1910413123000001</v>
      </c>
      <c r="EF38" s="80">
        <v>1.38888139E-2</v>
      </c>
      <c r="EG38" s="80">
        <v>0.71025504569999998</v>
      </c>
      <c r="EH38" s="80">
        <v>9.7266010999999993E-3</v>
      </c>
      <c r="EI38" s="80">
        <v>0.45876174489999999</v>
      </c>
      <c r="EJ38" s="80">
        <v>7.3273710000000001E-3</v>
      </c>
      <c r="EK38" s="80">
        <v>0.31464137949999998</v>
      </c>
      <c r="EL38" s="94">
        <v>5.7887238999999998E-3</v>
      </c>
    </row>
    <row r="39" spans="1:142" x14ac:dyDescent="0.2">
      <c r="A39" s="79">
        <v>3400</v>
      </c>
      <c r="B39" s="27">
        <v>10954</v>
      </c>
      <c r="C39" s="79">
        <v>1977.0472970000001</v>
      </c>
      <c r="D39" s="27">
        <v>3349.3341721000002</v>
      </c>
      <c r="E39" s="27">
        <v>67.800089166999996</v>
      </c>
      <c r="F39" s="27">
        <v>8.45415734E-2</v>
      </c>
      <c r="G39" s="79">
        <v>2.994847483</v>
      </c>
      <c r="H39" s="27">
        <v>1.6011478999999999E-3</v>
      </c>
      <c r="I39" s="27">
        <v>163.14422099000001</v>
      </c>
      <c r="J39" s="27">
        <v>1.0731425657</v>
      </c>
      <c r="K39" s="27">
        <v>83.629368611000004</v>
      </c>
      <c r="L39" s="27">
        <v>0.51621288440000002</v>
      </c>
      <c r="M39" s="27">
        <v>25.053630263999999</v>
      </c>
      <c r="N39" s="27">
        <v>0.1974745728</v>
      </c>
      <c r="O39" s="80" t="s">
        <v>136</v>
      </c>
      <c r="P39" s="80">
        <v>0</v>
      </c>
      <c r="Q39" s="27">
        <v>21.138626122000002</v>
      </c>
      <c r="R39" s="27">
        <v>3.8887284299999998E-2</v>
      </c>
      <c r="S39" s="80" t="s">
        <v>136</v>
      </c>
      <c r="T39" s="80">
        <v>0</v>
      </c>
      <c r="U39" s="80" t="s">
        <v>136</v>
      </c>
      <c r="V39" s="80">
        <v>0</v>
      </c>
      <c r="W39" s="27">
        <v>0.28931725130000002</v>
      </c>
      <c r="X39" s="27">
        <v>3.1427625000000001E-3</v>
      </c>
      <c r="Y39" s="27">
        <v>38.942907566000002</v>
      </c>
      <c r="Z39" s="27">
        <v>0.90446381330000003</v>
      </c>
      <c r="AA39" s="80" t="s">
        <v>136</v>
      </c>
      <c r="AB39" s="80">
        <v>0</v>
      </c>
      <c r="AC39" s="27">
        <v>5.3239219999999998E-4</v>
      </c>
      <c r="AD39" s="27">
        <v>3.4001640999999999E-6</v>
      </c>
      <c r="AE39" s="80" t="s">
        <v>136</v>
      </c>
      <c r="AF39" s="80">
        <v>0</v>
      </c>
      <c r="AG39" s="80" t="s">
        <v>136</v>
      </c>
      <c r="AH39" s="80">
        <v>0</v>
      </c>
      <c r="AI39" s="27">
        <f t="shared" si="4"/>
        <v>5.3239219999999998E-4</v>
      </c>
      <c r="AJ39" s="27">
        <f t="shared" si="5"/>
        <v>3.4001640999999999E-6</v>
      </c>
      <c r="AK39" s="27">
        <v>116.30700976999999</v>
      </c>
      <c r="AL39" s="27">
        <v>1.6177820904</v>
      </c>
      <c r="AM39" s="80" t="s">
        <v>136</v>
      </c>
      <c r="AN39" s="80">
        <v>0</v>
      </c>
      <c r="AO39" s="80" t="s">
        <v>136</v>
      </c>
      <c r="AP39" s="80">
        <v>0</v>
      </c>
      <c r="AQ39" s="80" t="s">
        <v>136</v>
      </c>
      <c r="AR39" s="80">
        <v>0</v>
      </c>
      <c r="AS39" s="27">
        <v>65.527109663999994</v>
      </c>
      <c r="AT39" s="27">
        <v>2.1676141592999998</v>
      </c>
      <c r="AU39" s="27">
        <v>54.860540806000003</v>
      </c>
      <c r="AV39" s="27">
        <v>0.46956227270000001</v>
      </c>
      <c r="AW39" s="27">
        <v>24.330525241</v>
      </c>
      <c r="AX39" s="27">
        <v>0.28691489370000001</v>
      </c>
      <c r="AY39" s="27">
        <v>7.6187757048</v>
      </c>
      <c r="AZ39" s="27">
        <v>6.5778250199999999E-2</v>
      </c>
      <c r="BA39" s="80">
        <f t="shared" si="6"/>
        <v>22.911239860200002</v>
      </c>
      <c r="BB39" s="80">
        <f t="shared" si="7"/>
        <v>0.1168691288</v>
      </c>
      <c r="BC39" s="27">
        <v>0</v>
      </c>
      <c r="BD39" s="80">
        <v>0</v>
      </c>
      <c r="BE39" s="27">
        <v>157.19282695999999</v>
      </c>
      <c r="BF39" s="27">
        <v>2.1864498566999999</v>
      </c>
      <c r="BG39" s="27">
        <v>3.1521244000000002E-3</v>
      </c>
      <c r="BH39" s="80">
        <v>0</v>
      </c>
      <c r="BI39" s="27">
        <v>111.91724854</v>
      </c>
      <c r="BJ39" s="27">
        <v>3.6111115442999999</v>
      </c>
      <c r="BK39" s="27">
        <v>162.78119724000001</v>
      </c>
      <c r="BL39" s="27">
        <v>1.1039310779</v>
      </c>
      <c r="BM39" s="27">
        <v>22.535324716000002</v>
      </c>
      <c r="BN39" s="27">
        <v>0.1068330713</v>
      </c>
      <c r="BO39" s="27">
        <v>0.20888786749999999</v>
      </c>
      <c r="BP39" s="27">
        <v>1.3193467999999999E-3</v>
      </c>
      <c r="BQ39" s="27">
        <v>0</v>
      </c>
      <c r="BR39" s="92">
        <v>0</v>
      </c>
      <c r="BS39" s="80" t="s">
        <v>136</v>
      </c>
      <c r="BT39" s="80">
        <v>0</v>
      </c>
      <c r="BU39" s="27">
        <v>0.66168644850000002</v>
      </c>
      <c r="BV39" s="27">
        <v>9.4174381999999994E-3</v>
      </c>
      <c r="BW39" s="27">
        <v>24.391943815000001</v>
      </c>
      <c r="BX39" s="27">
        <v>0.18805713460000001</v>
      </c>
      <c r="BY39" s="80" t="s">
        <v>136</v>
      </c>
      <c r="BZ39" s="80">
        <v>0</v>
      </c>
      <c r="CA39" s="80" t="s">
        <v>136</v>
      </c>
      <c r="CB39" s="80">
        <v>0</v>
      </c>
      <c r="CC39" s="27">
        <v>10.430285156</v>
      </c>
      <c r="CD39" s="27">
        <v>1.2125561599999999E-2</v>
      </c>
      <c r="CE39" s="27">
        <v>10.708340966</v>
      </c>
      <c r="CF39" s="27">
        <v>2.6761722700000001E-2</v>
      </c>
      <c r="CG39" s="80" t="s">
        <v>136</v>
      </c>
      <c r="CH39" s="80">
        <v>0</v>
      </c>
      <c r="CI39" s="80" t="s">
        <v>136</v>
      </c>
      <c r="CJ39" s="80">
        <v>0</v>
      </c>
      <c r="CK39" s="80" t="s">
        <v>136</v>
      </c>
      <c r="CL39" s="80">
        <v>0</v>
      </c>
      <c r="CM39" s="80" t="s">
        <v>136</v>
      </c>
      <c r="CN39" s="80">
        <v>0</v>
      </c>
      <c r="CO39" s="27">
        <v>0.1086745085</v>
      </c>
      <c r="CP39" s="27">
        <v>1.5133704999999999E-3</v>
      </c>
      <c r="CQ39" s="27">
        <v>0.18064274280000001</v>
      </c>
      <c r="CR39" s="27">
        <v>1.6293919999999999E-3</v>
      </c>
      <c r="CS39" s="27">
        <v>2.7386106151999998</v>
      </c>
      <c r="CT39" s="27">
        <v>2.9522978599999999E-2</v>
      </c>
      <c r="CU39" s="27">
        <v>36.204296951000003</v>
      </c>
      <c r="CV39" s="27">
        <v>0.87494083469999995</v>
      </c>
      <c r="CW39" s="93" t="s">
        <v>136</v>
      </c>
      <c r="CX39" s="80">
        <v>0</v>
      </c>
      <c r="CY39" s="80" t="s">
        <v>136</v>
      </c>
      <c r="CZ39" s="94">
        <v>0</v>
      </c>
      <c r="DA39" s="27">
        <v>29.609316583999998</v>
      </c>
      <c r="DB39" s="27">
        <v>0.67667327610000005</v>
      </c>
      <c r="DC39" s="27">
        <v>35.917793080000003</v>
      </c>
      <c r="DD39" s="27">
        <v>1.4909408832</v>
      </c>
      <c r="DE39" s="27">
        <v>16.183506607000002</v>
      </c>
      <c r="DF39" s="27">
        <v>0.79137157989999996</v>
      </c>
      <c r="DG39" s="27">
        <v>141.00932035</v>
      </c>
      <c r="DH39" s="27">
        <v>1.3950782768000001</v>
      </c>
      <c r="DI39" s="95">
        <v>1.5945264999999999E-3</v>
      </c>
      <c r="DJ39" s="96">
        <v>2.7707805000000002E-3</v>
      </c>
      <c r="DK39" s="96">
        <v>3.0642257000000001E-3</v>
      </c>
      <c r="DL39" s="96">
        <v>3.1077945999999999E-3</v>
      </c>
      <c r="DM39" s="96">
        <v>3.1145821999999999E-3</v>
      </c>
      <c r="DN39" s="96">
        <v>3.1181480999999999E-3</v>
      </c>
      <c r="DO39" s="96">
        <v>3.1205156000000001E-3</v>
      </c>
      <c r="DP39" s="96">
        <v>3.1228829999999999E-3</v>
      </c>
      <c r="DQ39" s="96">
        <v>3.1235630000000002E-3</v>
      </c>
      <c r="DR39" s="97">
        <v>3.1242431000000001E-3</v>
      </c>
      <c r="DS39" s="93">
        <v>80.543019470999994</v>
      </c>
      <c r="DT39" s="80">
        <v>0.56144696689999996</v>
      </c>
      <c r="DU39" s="80">
        <v>38.645227861999999</v>
      </c>
      <c r="DV39" s="80">
        <v>0.28201359650000002</v>
      </c>
      <c r="DW39" s="80">
        <v>18.381258677999998</v>
      </c>
      <c r="DX39" s="80">
        <v>0.14080103460000001</v>
      </c>
      <c r="DY39" s="80">
        <v>8.7841094512000009</v>
      </c>
      <c r="DZ39" s="80">
        <v>7.1752673700000005E-2</v>
      </c>
      <c r="EA39" s="80">
        <v>4.3540535675000003</v>
      </c>
      <c r="EB39" s="80">
        <v>3.8825016300000001E-2</v>
      </c>
      <c r="EC39" s="80">
        <v>2.2696430366000002</v>
      </c>
      <c r="ED39" s="80">
        <v>2.2739215300000001E-2</v>
      </c>
      <c r="EE39" s="80">
        <v>1.2585016051</v>
      </c>
      <c r="EF39" s="80">
        <v>1.45662424E-2</v>
      </c>
      <c r="EG39" s="80">
        <v>0.75137235290000004</v>
      </c>
      <c r="EH39" s="80">
        <v>1.0189015100000001E-2</v>
      </c>
      <c r="EI39" s="80">
        <v>0.48438273300000001</v>
      </c>
      <c r="EJ39" s="80">
        <v>7.6579413999999998E-3</v>
      </c>
      <c r="EK39" s="80">
        <v>0.33134207830000001</v>
      </c>
      <c r="EL39" s="94">
        <v>6.0371946999999999E-3</v>
      </c>
    </row>
    <row r="40" spans="1:142" x14ac:dyDescent="0.2">
      <c r="A40" s="79">
        <v>3500</v>
      </c>
      <c r="B40" s="27">
        <v>10597</v>
      </c>
      <c r="C40" s="79">
        <v>2015.5595378</v>
      </c>
      <c r="D40" s="27">
        <v>3449.7297183999999</v>
      </c>
      <c r="E40" s="27">
        <v>69.823686359999996</v>
      </c>
      <c r="F40" s="27">
        <v>8.6083861900000003E-2</v>
      </c>
      <c r="G40" s="79">
        <v>3.3004600451999999</v>
      </c>
      <c r="H40" s="27">
        <v>1.7309262999999999E-3</v>
      </c>
      <c r="I40" s="27">
        <v>164.89999114</v>
      </c>
      <c r="J40" s="27">
        <v>1.0852393903999999</v>
      </c>
      <c r="K40" s="27">
        <v>85.0894543</v>
      </c>
      <c r="L40" s="27">
        <v>0.52535590089999995</v>
      </c>
      <c r="M40" s="27">
        <v>25.934813371000001</v>
      </c>
      <c r="N40" s="27">
        <v>0.20412308430000001</v>
      </c>
      <c r="O40" s="80" t="s">
        <v>136</v>
      </c>
      <c r="P40" s="80">
        <v>0</v>
      </c>
      <c r="Q40" s="27">
        <v>22.250881924000002</v>
      </c>
      <c r="R40" s="27">
        <v>4.0648524300000002E-2</v>
      </c>
      <c r="S40" s="80" t="s">
        <v>136</v>
      </c>
      <c r="T40" s="80">
        <v>0</v>
      </c>
      <c r="U40" s="80" t="s">
        <v>136</v>
      </c>
      <c r="V40" s="80">
        <v>0</v>
      </c>
      <c r="W40" s="27">
        <v>0.29764881199999998</v>
      </c>
      <c r="X40" s="27">
        <v>3.2090593999999999E-3</v>
      </c>
      <c r="Y40" s="27">
        <v>40.328096057000003</v>
      </c>
      <c r="Z40" s="27">
        <v>0.93400284749999996</v>
      </c>
      <c r="AA40" s="80" t="s">
        <v>136</v>
      </c>
      <c r="AB40" s="80">
        <v>0</v>
      </c>
      <c r="AC40" s="27">
        <v>5.268451E-4</v>
      </c>
      <c r="AD40" s="27">
        <v>3.3647376000000002E-6</v>
      </c>
      <c r="AE40" s="80" t="s">
        <v>136</v>
      </c>
      <c r="AF40" s="80">
        <v>0</v>
      </c>
      <c r="AG40" s="80" t="s">
        <v>136</v>
      </c>
      <c r="AH40" s="80">
        <v>0</v>
      </c>
      <c r="AI40" s="27">
        <f t="shared" si="4"/>
        <v>5.268451E-4</v>
      </c>
      <c r="AJ40" s="27">
        <f t="shared" si="5"/>
        <v>3.3647376000000002E-6</v>
      </c>
      <c r="AK40" s="27">
        <v>118.45927789</v>
      </c>
      <c r="AL40" s="27">
        <v>1.6371803679000001</v>
      </c>
      <c r="AM40" s="80" t="s">
        <v>136</v>
      </c>
      <c r="AN40" s="80">
        <v>0</v>
      </c>
      <c r="AO40" s="80" t="s">
        <v>136</v>
      </c>
      <c r="AP40" s="80">
        <v>0</v>
      </c>
      <c r="AQ40" s="80" t="s">
        <v>136</v>
      </c>
      <c r="AR40" s="80">
        <v>0</v>
      </c>
      <c r="AS40" s="27">
        <v>66.938855180000004</v>
      </c>
      <c r="AT40" s="27">
        <v>2.2022128006999999</v>
      </c>
      <c r="AU40" s="27">
        <v>56.277590027999999</v>
      </c>
      <c r="AV40" s="27">
        <v>0.4788366295</v>
      </c>
      <c r="AW40" s="27">
        <v>24.912681306</v>
      </c>
      <c r="AX40" s="27">
        <v>0.29244456699999999</v>
      </c>
      <c r="AY40" s="27">
        <v>7.7715326749000004</v>
      </c>
      <c r="AZ40" s="27">
        <v>6.6752164500000002E-2</v>
      </c>
      <c r="BA40" s="80">
        <f t="shared" si="6"/>
        <v>23.593376047100001</v>
      </c>
      <c r="BB40" s="80">
        <f t="shared" si="7"/>
        <v>0.11963989800000002</v>
      </c>
      <c r="BC40" s="27">
        <v>0</v>
      </c>
      <c r="BD40" s="80">
        <v>0</v>
      </c>
      <c r="BE40" s="27">
        <v>161.21317550000001</v>
      </c>
      <c r="BF40" s="27">
        <v>2.2245451098000002</v>
      </c>
      <c r="BG40" s="27">
        <v>3.4481348000000001E-3</v>
      </c>
      <c r="BH40" s="80">
        <v>0</v>
      </c>
      <c r="BI40" s="27">
        <v>113.81270478</v>
      </c>
      <c r="BJ40" s="27">
        <v>3.6541555472999998</v>
      </c>
      <c r="BK40" s="27">
        <v>169.25602380999999</v>
      </c>
      <c r="BL40" s="27">
        <v>1.1437624813</v>
      </c>
      <c r="BM40" s="27">
        <v>23.378898485000001</v>
      </c>
      <c r="BN40" s="27">
        <v>0.1100381996</v>
      </c>
      <c r="BO40" s="27">
        <v>0.2165330379</v>
      </c>
      <c r="BP40" s="27">
        <v>1.3281148000000001E-3</v>
      </c>
      <c r="BQ40" s="27">
        <v>0</v>
      </c>
      <c r="BR40" s="92">
        <v>0</v>
      </c>
      <c r="BS40" s="80" t="s">
        <v>136</v>
      </c>
      <c r="BT40" s="80">
        <v>0</v>
      </c>
      <c r="BU40" s="27">
        <v>0.69976755980000005</v>
      </c>
      <c r="BV40" s="27">
        <v>9.9835132000000004E-3</v>
      </c>
      <c r="BW40" s="27">
        <v>25.235045810999999</v>
      </c>
      <c r="BX40" s="27">
        <v>0.19413957100000001</v>
      </c>
      <c r="BY40" s="80" t="s">
        <v>136</v>
      </c>
      <c r="BZ40" s="80">
        <v>0</v>
      </c>
      <c r="CA40" s="80" t="s">
        <v>136</v>
      </c>
      <c r="CB40" s="80">
        <v>0</v>
      </c>
      <c r="CC40" s="27">
        <v>11.068150188000001</v>
      </c>
      <c r="CD40" s="27">
        <v>1.27467213E-2</v>
      </c>
      <c r="CE40" s="27">
        <v>11.182731736999999</v>
      </c>
      <c r="CF40" s="27">
        <v>2.7901803100000001E-2</v>
      </c>
      <c r="CG40" s="80" t="s">
        <v>136</v>
      </c>
      <c r="CH40" s="80">
        <v>0</v>
      </c>
      <c r="CI40" s="80" t="s">
        <v>136</v>
      </c>
      <c r="CJ40" s="80">
        <v>0</v>
      </c>
      <c r="CK40" s="80" t="s">
        <v>136</v>
      </c>
      <c r="CL40" s="80">
        <v>0</v>
      </c>
      <c r="CM40" s="80" t="s">
        <v>136</v>
      </c>
      <c r="CN40" s="80">
        <v>0</v>
      </c>
      <c r="CO40" s="27">
        <v>0.1113849885</v>
      </c>
      <c r="CP40" s="27">
        <v>1.5265748E-3</v>
      </c>
      <c r="CQ40" s="27">
        <v>0.1862638234</v>
      </c>
      <c r="CR40" s="27">
        <v>1.6824845999999999E-3</v>
      </c>
      <c r="CS40" s="27">
        <v>2.9116355817000001</v>
      </c>
      <c r="CT40" s="27">
        <v>3.1519246700000003E-2</v>
      </c>
      <c r="CU40" s="27">
        <v>37.416460475999997</v>
      </c>
      <c r="CV40" s="27">
        <v>0.90248360080000001</v>
      </c>
      <c r="CW40" s="93" t="s">
        <v>136</v>
      </c>
      <c r="CX40" s="80">
        <v>0</v>
      </c>
      <c r="CY40" s="80" t="s">
        <v>136</v>
      </c>
      <c r="CZ40" s="94">
        <v>0</v>
      </c>
      <c r="DA40" s="27">
        <v>30.330342842</v>
      </c>
      <c r="DB40" s="27">
        <v>0.69017755719999996</v>
      </c>
      <c r="DC40" s="27">
        <v>36.608512337999997</v>
      </c>
      <c r="DD40" s="27">
        <v>1.5120352434</v>
      </c>
      <c r="DE40" s="27">
        <v>17.073756506999999</v>
      </c>
      <c r="DF40" s="27">
        <v>0.80721281219999996</v>
      </c>
      <c r="DG40" s="27">
        <v>144.139419</v>
      </c>
      <c r="DH40" s="27">
        <v>1.4173322977</v>
      </c>
      <c r="DI40" s="95">
        <v>1.724375E-3</v>
      </c>
      <c r="DJ40" s="96">
        <v>3.0152102E-3</v>
      </c>
      <c r="DK40" s="96">
        <v>3.3421933999999999E-3</v>
      </c>
      <c r="DL40" s="96">
        <v>3.3947769999999999E-3</v>
      </c>
      <c r="DM40" s="96">
        <v>3.4045432E-3</v>
      </c>
      <c r="DN40" s="96">
        <v>3.410522E-3</v>
      </c>
      <c r="DO40" s="96">
        <v>3.4153136999999999E-3</v>
      </c>
      <c r="DP40" s="96">
        <v>3.4184300000000001E-3</v>
      </c>
      <c r="DQ40" s="96">
        <v>3.4198710000000001E-3</v>
      </c>
      <c r="DR40" s="97">
        <v>3.4205439000000002E-3</v>
      </c>
      <c r="DS40" s="93">
        <v>81.894866855000004</v>
      </c>
      <c r="DT40" s="80">
        <v>0.57098504049999999</v>
      </c>
      <c r="DU40" s="80">
        <v>39.553776704000001</v>
      </c>
      <c r="DV40" s="80">
        <v>0.28873605990000001</v>
      </c>
      <c r="DW40" s="80">
        <v>18.965023157000001</v>
      </c>
      <c r="DX40" s="80">
        <v>0.14536205639999999</v>
      </c>
      <c r="DY40" s="80">
        <v>9.1484842178000001</v>
      </c>
      <c r="DZ40" s="80">
        <v>7.4807296199999998E-2</v>
      </c>
      <c r="EA40" s="80">
        <v>4.5855294516000003</v>
      </c>
      <c r="EB40" s="80">
        <v>4.0939773399999997E-2</v>
      </c>
      <c r="EC40" s="80">
        <v>2.4201141087</v>
      </c>
      <c r="ED40" s="80">
        <v>2.4253613800000001E-2</v>
      </c>
      <c r="EE40" s="80">
        <v>1.3580026528</v>
      </c>
      <c r="EF40" s="80">
        <v>1.5687956499999999E-2</v>
      </c>
      <c r="EG40" s="80">
        <v>0.81608447240000004</v>
      </c>
      <c r="EH40" s="80">
        <v>1.1035388599999999E-2</v>
      </c>
      <c r="EI40" s="80">
        <v>0.52834320940000001</v>
      </c>
      <c r="EJ40" s="80">
        <v>8.3286955000000003E-3</v>
      </c>
      <c r="EK40" s="80">
        <v>0.36301052340000001</v>
      </c>
      <c r="EL40" s="94">
        <v>6.5907945999999999E-3</v>
      </c>
    </row>
    <row r="41" spans="1:142" x14ac:dyDescent="0.2">
      <c r="A41" s="79">
        <v>3600</v>
      </c>
      <c r="B41" s="27">
        <v>9920</v>
      </c>
      <c r="C41" s="79">
        <v>2053.300354</v>
      </c>
      <c r="D41" s="27">
        <v>3549.9143669</v>
      </c>
      <c r="E41" s="27">
        <v>71.729420005999998</v>
      </c>
      <c r="F41" s="27">
        <v>8.7509127500000006E-2</v>
      </c>
      <c r="G41" s="79">
        <v>3.5782365252999999</v>
      </c>
      <c r="H41" s="27">
        <v>1.850525E-3</v>
      </c>
      <c r="I41" s="27">
        <v>166.59024221999999</v>
      </c>
      <c r="J41" s="27">
        <v>1.0965230175</v>
      </c>
      <c r="K41" s="27">
        <v>86.545531908000001</v>
      </c>
      <c r="L41" s="27">
        <v>0.53525353860000002</v>
      </c>
      <c r="M41" s="27">
        <v>26.723914646000001</v>
      </c>
      <c r="N41" s="27">
        <v>0.210167937</v>
      </c>
      <c r="O41" s="80" t="s">
        <v>136</v>
      </c>
      <c r="P41" s="80">
        <v>0</v>
      </c>
      <c r="Q41" s="27">
        <v>23.453541830999999</v>
      </c>
      <c r="R41" s="27">
        <v>4.2510192500000002E-2</v>
      </c>
      <c r="S41" s="80" t="s">
        <v>136</v>
      </c>
      <c r="T41" s="80">
        <v>0</v>
      </c>
      <c r="U41" s="80" t="s">
        <v>136</v>
      </c>
      <c r="V41" s="80">
        <v>0</v>
      </c>
      <c r="W41" s="27">
        <v>0.30996869490000001</v>
      </c>
      <c r="X41" s="27">
        <v>3.2888741999999999E-3</v>
      </c>
      <c r="Y41" s="27">
        <v>41.670086067</v>
      </c>
      <c r="Z41" s="27">
        <v>0.96318125099999996</v>
      </c>
      <c r="AA41" s="80" t="s">
        <v>136</v>
      </c>
      <c r="AB41" s="80">
        <v>0</v>
      </c>
      <c r="AC41" s="27">
        <v>5.2216800000000005E-4</v>
      </c>
      <c r="AD41" s="27">
        <v>3.3348666E-6</v>
      </c>
      <c r="AE41" s="80" t="s">
        <v>136</v>
      </c>
      <c r="AF41" s="80">
        <v>0</v>
      </c>
      <c r="AG41" s="80" t="s">
        <v>136</v>
      </c>
      <c r="AH41" s="80">
        <v>0</v>
      </c>
      <c r="AI41" s="27">
        <f t="shared" si="4"/>
        <v>5.2216800000000005E-4</v>
      </c>
      <c r="AJ41" s="27">
        <f t="shared" si="5"/>
        <v>3.3348666E-6</v>
      </c>
      <c r="AK41" s="27">
        <v>120.63337799999999</v>
      </c>
      <c r="AL41" s="27">
        <v>1.6563517776000001</v>
      </c>
      <c r="AM41" s="80" t="s">
        <v>136</v>
      </c>
      <c r="AN41" s="80">
        <v>0</v>
      </c>
      <c r="AO41" s="80" t="s">
        <v>136</v>
      </c>
      <c r="AP41" s="80">
        <v>0</v>
      </c>
      <c r="AQ41" s="80" t="s">
        <v>136</v>
      </c>
      <c r="AR41" s="80">
        <v>0</v>
      </c>
      <c r="AS41" s="27">
        <v>68.222320439000001</v>
      </c>
      <c r="AT41" s="27">
        <v>2.2352112424000001</v>
      </c>
      <c r="AU41" s="27">
        <v>57.733310807000002</v>
      </c>
      <c r="AV41" s="27">
        <v>0.4881198773</v>
      </c>
      <c r="AW41" s="27">
        <v>25.590062602</v>
      </c>
      <c r="AX41" s="27">
        <v>0.29824612080000001</v>
      </c>
      <c r="AY41" s="27">
        <v>7.9029071240000004</v>
      </c>
      <c r="AZ41" s="27">
        <v>6.7728521599999994E-2</v>
      </c>
      <c r="BA41" s="80">
        <f t="shared" si="6"/>
        <v>24.240341081000004</v>
      </c>
      <c r="BB41" s="80">
        <f t="shared" si="7"/>
        <v>0.12214523490000001</v>
      </c>
      <c r="BC41" s="27">
        <v>0</v>
      </c>
      <c r="BD41" s="80">
        <v>0</v>
      </c>
      <c r="BE41" s="27">
        <v>165.27982481000001</v>
      </c>
      <c r="BF41" s="27">
        <v>2.2626017767</v>
      </c>
      <c r="BG41" s="27">
        <v>3.6958725E-3</v>
      </c>
      <c r="BH41" s="80">
        <v>0</v>
      </c>
      <c r="BI41" s="27">
        <v>115.64277515000001</v>
      </c>
      <c r="BJ41" s="27">
        <v>3.6960802713000001</v>
      </c>
      <c r="BK41" s="27">
        <v>175.21847471999999</v>
      </c>
      <c r="BL41" s="27">
        <v>1.1805263569</v>
      </c>
      <c r="BM41" s="27">
        <v>24.148119231999999</v>
      </c>
      <c r="BN41" s="27">
        <v>0.11301190060000001</v>
      </c>
      <c r="BO41" s="27">
        <v>0.22755023429999999</v>
      </c>
      <c r="BP41" s="27">
        <v>1.3429862000000001E-3</v>
      </c>
      <c r="BQ41" s="27">
        <v>0</v>
      </c>
      <c r="BR41" s="92">
        <v>0</v>
      </c>
      <c r="BS41" s="80" t="s">
        <v>136</v>
      </c>
      <c r="BT41" s="80">
        <v>0</v>
      </c>
      <c r="BU41" s="27">
        <v>0.71149269380000002</v>
      </c>
      <c r="BV41" s="27">
        <v>1.01738894E-2</v>
      </c>
      <c r="BW41" s="27">
        <v>26.012421952</v>
      </c>
      <c r="BX41" s="27">
        <v>0.1999940476</v>
      </c>
      <c r="BY41" s="80" t="s">
        <v>136</v>
      </c>
      <c r="BZ41" s="80">
        <v>0</v>
      </c>
      <c r="CA41" s="80" t="s">
        <v>136</v>
      </c>
      <c r="CB41" s="80">
        <v>0</v>
      </c>
      <c r="CC41" s="27">
        <v>11.809108392000001</v>
      </c>
      <c r="CD41" s="27">
        <v>1.3447058600000001E-2</v>
      </c>
      <c r="CE41" s="27">
        <v>11.64443344</v>
      </c>
      <c r="CF41" s="27">
        <v>2.90631339E-2</v>
      </c>
      <c r="CG41" s="80" t="s">
        <v>136</v>
      </c>
      <c r="CH41" s="80">
        <v>0</v>
      </c>
      <c r="CI41" s="80" t="s">
        <v>136</v>
      </c>
      <c r="CJ41" s="80">
        <v>0</v>
      </c>
      <c r="CK41" s="80" t="s">
        <v>136</v>
      </c>
      <c r="CL41" s="80">
        <v>0</v>
      </c>
      <c r="CM41" s="80" t="s">
        <v>136</v>
      </c>
      <c r="CN41" s="80">
        <v>0</v>
      </c>
      <c r="CO41" s="27">
        <v>0.11888275149999999</v>
      </c>
      <c r="CP41" s="27">
        <v>1.5693707000000001E-3</v>
      </c>
      <c r="CQ41" s="27">
        <v>0.19108594349999999</v>
      </c>
      <c r="CR41" s="27">
        <v>1.7195034E-3</v>
      </c>
      <c r="CS41" s="27">
        <v>3.0605963285</v>
      </c>
      <c r="CT41" s="27">
        <v>3.2822237499999997E-2</v>
      </c>
      <c r="CU41" s="27">
        <v>38.609489738000001</v>
      </c>
      <c r="CV41" s="27">
        <v>0.93035901350000005</v>
      </c>
      <c r="CW41" s="93" t="s">
        <v>136</v>
      </c>
      <c r="CX41" s="80">
        <v>0</v>
      </c>
      <c r="CY41" s="80" t="s">
        <v>136</v>
      </c>
      <c r="CZ41" s="94">
        <v>0</v>
      </c>
      <c r="DA41" s="27">
        <v>30.976596661999999</v>
      </c>
      <c r="DB41" s="27">
        <v>0.70301385059999999</v>
      </c>
      <c r="DC41" s="27">
        <v>37.245723777999999</v>
      </c>
      <c r="DD41" s="27">
        <v>1.5321973918</v>
      </c>
      <c r="DE41" s="27">
        <v>18.058727256000001</v>
      </c>
      <c r="DF41" s="27">
        <v>0.82358572900000004</v>
      </c>
      <c r="DG41" s="27">
        <v>147.22109755</v>
      </c>
      <c r="DH41" s="27">
        <v>1.4390160477</v>
      </c>
      <c r="DI41" s="95">
        <v>1.8428583000000001E-3</v>
      </c>
      <c r="DJ41" s="96">
        <v>3.2290896999999999E-3</v>
      </c>
      <c r="DK41" s="96">
        <v>3.5779495000000001E-3</v>
      </c>
      <c r="DL41" s="96">
        <v>3.6354340999999999E-3</v>
      </c>
      <c r="DM41" s="96">
        <v>3.6491398999999999E-3</v>
      </c>
      <c r="DN41" s="96">
        <v>3.6562449000000002E-3</v>
      </c>
      <c r="DO41" s="96">
        <v>3.6615832E-3</v>
      </c>
      <c r="DP41" s="96">
        <v>3.6652585E-3</v>
      </c>
      <c r="DQ41" s="96">
        <v>3.6672707000000001E-3</v>
      </c>
      <c r="DR41" s="97">
        <v>3.6685265999999998E-3</v>
      </c>
      <c r="DS41" s="93">
        <v>83.176422376000005</v>
      </c>
      <c r="DT41" s="80">
        <v>0.57978222099999999</v>
      </c>
      <c r="DU41" s="80">
        <v>40.401786930999997</v>
      </c>
      <c r="DV41" s="80">
        <v>0.29480151859999998</v>
      </c>
      <c r="DW41" s="80">
        <v>19.495129548000001</v>
      </c>
      <c r="DX41" s="80">
        <v>0.14933983919999999</v>
      </c>
      <c r="DY41" s="80">
        <v>9.4735642232000004</v>
      </c>
      <c r="DZ41" s="80">
        <v>7.7396923199999995E-2</v>
      </c>
      <c r="EA41" s="80">
        <v>4.7816700651000001</v>
      </c>
      <c r="EB41" s="80">
        <v>4.2635125099999997E-2</v>
      </c>
      <c r="EC41" s="80">
        <v>2.5366072004000002</v>
      </c>
      <c r="ED41" s="80">
        <v>2.5387661700000001E-2</v>
      </c>
      <c r="EE41" s="80">
        <v>1.4307565440000001</v>
      </c>
      <c r="EF41" s="80">
        <v>1.6499678699999999E-2</v>
      </c>
      <c r="EG41" s="80">
        <v>0.86252384429999995</v>
      </c>
      <c r="EH41" s="80">
        <v>1.16425557E-2</v>
      </c>
      <c r="EI41" s="80">
        <v>0.559806578</v>
      </c>
      <c r="EJ41" s="80">
        <v>8.8084561000000006E-3</v>
      </c>
      <c r="EK41" s="80">
        <v>0.3865426716</v>
      </c>
      <c r="EL41" s="94">
        <v>6.9947372000000001E-3</v>
      </c>
    </row>
    <row r="42" spans="1:142" x14ac:dyDescent="0.2">
      <c r="A42" s="79">
        <v>3700</v>
      </c>
      <c r="B42" s="27">
        <v>9774</v>
      </c>
      <c r="C42" s="79">
        <v>2090.3102697999998</v>
      </c>
      <c r="D42" s="27">
        <v>3649.4160367999998</v>
      </c>
      <c r="E42" s="27">
        <v>73.533185175</v>
      </c>
      <c r="F42" s="27">
        <v>8.8853033600000006E-2</v>
      </c>
      <c r="G42" s="79">
        <v>3.8686269673</v>
      </c>
      <c r="H42" s="27">
        <v>1.97138E-3</v>
      </c>
      <c r="I42" s="27">
        <v>168.12346755999999</v>
      </c>
      <c r="J42" s="27">
        <v>1.1068382367</v>
      </c>
      <c r="K42" s="27">
        <v>87.940596662999994</v>
      </c>
      <c r="L42" s="27">
        <v>0.54467670000000001</v>
      </c>
      <c r="M42" s="27">
        <v>27.549259688999999</v>
      </c>
      <c r="N42" s="27">
        <v>0.2164616741</v>
      </c>
      <c r="O42" s="80" t="s">
        <v>136</v>
      </c>
      <c r="P42" s="80">
        <v>0</v>
      </c>
      <c r="Q42" s="27">
        <v>24.673000969</v>
      </c>
      <c r="R42" s="27">
        <v>4.4353831599999997E-2</v>
      </c>
      <c r="S42" s="80" t="s">
        <v>136</v>
      </c>
      <c r="T42" s="80">
        <v>0</v>
      </c>
      <c r="U42" s="80" t="s">
        <v>136</v>
      </c>
      <c r="V42" s="80">
        <v>0</v>
      </c>
      <c r="W42" s="27">
        <v>0.33143236300000001</v>
      </c>
      <c r="X42" s="27">
        <v>3.4727534E-3</v>
      </c>
      <c r="Y42" s="27">
        <v>43.044275313999997</v>
      </c>
      <c r="Z42" s="27">
        <v>0.99235481069999998</v>
      </c>
      <c r="AA42" s="80" t="s">
        <v>136</v>
      </c>
      <c r="AB42" s="80">
        <v>0</v>
      </c>
      <c r="AC42" s="27">
        <v>5.1746699999999997E-4</v>
      </c>
      <c r="AD42" s="27">
        <v>3.3048433000000001E-6</v>
      </c>
      <c r="AE42" s="80" t="s">
        <v>136</v>
      </c>
      <c r="AF42" s="80">
        <v>0</v>
      </c>
      <c r="AG42" s="80" t="s">
        <v>136</v>
      </c>
      <c r="AH42" s="80">
        <v>0</v>
      </c>
      <c r="AI42" s="27">
        <f t="shared" si="4"/>
        <v>5.1746699999999997E-4</v>
      </c>
      <c r="AJ42" s="27">
        <f t="shared" si="5"/>
        <v>3.3048433000000001E-6</v>
      </c>
      <c r="AK42" s="27">
        <v>122.82498993999999</v>
      </c>
      <c r="AL42" s="27">
        <v>1.6739778518999999</v>
      </c>
      <c r="AM42" s="80" t="s">
        <v>136</v>
      </c>
      <c r="AN42" s="80">
        <v>0</v>
      </c>
      <c r="AO42" s="80" t="s">
        <v>136</v>
      </c>
      <c r="AP42" s="80">
        <v>0</v>
      </c>
      <c r="AQ42" s="80" t="s">
        <v>136</v>
      </c>
      <c r="AR42" s="80">
        <v>0</v>
      </c>
      <c r="AS42" s="27">
        <v>69.508438966</v>
      </c>
      <c r="AT42" s="27">
        <v>2.2671550642999998</v>
      </c>
      <c r="AU42" s="27">
        <v>59.159784780999999</v>
      </c>
      <c r="AV42" s="27">
        <v>0.49713355240000001</v>
      </c>
      <c r="AW42" s="27">
        <v>26.167688259999998</v>
      </c>
      <c r="AX42" s="27">
        <v>0.30363539550000002</v>
      </c>
      <c r="AY42" s="27">
        <v>8.0301420083000004</v>
      </c>
      <c r="AZ42" s="27">
        <v>6.8680431900000005E-2</v>
      </c>
      <c r="BA42" s="80">
        <f t="shared" si="6"/>
        <v>24.961954512700004</v>
      </c>
      <c r="BB42" s="80">
        <f t="shared" si="7"/>
        <v>0.12481772499999999</v>
      </c>
      <c r="BC42" s="27">
        <v>0</v>
      </c>
      <c r="BD42" s="80">
        <v>0</v>
      </c>
      <c r="BE42" s="27">
        <v>169.25918012</v>
      </c>
      <c r="BF42" s="27">
        <v>2.2999878571000001</v>
      </c>
      <c r="BG42" s="27">
        <v>3.9475350000000003E-3</v>
      </c>
      <c r="BH42" s="80">
        <v>0</v>
      </c>
      <c r="BI42" s="27">
        <v>117.35925652</v>
      </c>
      <c r="BJ42" s="27">
        <v>3.7339671311</v>
      </c>
      <c r="BK42" s="27">
        <v>181.31922691</v>
      </c>
      <c r="BL42" s="27">
        <v>1.2173070727999999</v>
      </c>
      <c r="BM42" s="27">
        <v>24.948148815</v>
      </c>
      <c r="BN42" s="27">
        <v>0.1159327703</v>
      </c>
      <c r="BO42" s="27">
        <v>0.24153400450000001</v>
      </c>
      <c r="BP42" s="27">
        <v>1.3776741E-3</v>
      </c>
      <c r="BQ42" s="27">
        <v>0</v>
      </c>
      <c r="BR42" s="92">
        <v>0</v>
      </c>
      <c r="BS42" s="80" t="s">
        <v>136</v>
      </c>
      <c r="BT42" s="80">
        <v>0</v>
      </c>
      <c r="BU42" s="27">
        <v>0.74272447119999996</v>
      </c>
      <c r="BV42" s="27">
        <v>1.0611805199999999E-2</v>
      </c>
      <c r="BW42" s="27">
        <v>26.806535218</v>
      </c>
      <c r="BX42" s="27">
        <v>0.20584986890000001</v>
      </c>
      <c r="BY42" s="80" t="s">
        <v>136</v>
      </c>
      <c r="BZ42" s="80">
        <v>0</v>
      </c>
      <c r="CA42" s="80" t="s">
        <v>136</v>
      </c>
      <c r="CB42" s="80">
        <v>0</v>
      </c>
      <c r="CC42" s="27">
        <v>12.532133464999999</v>
      </c>
      <c r="CD42" s="27">
        <v>1.4109270700000001E-2</v>
      </c>
      <c r="CE42" s="27">
        <v>12.140867503999999</v>
      </c>
      <c r="CF42" s="27">
        <v>3.0244560899999998E-2</v>
      </c>
      <c r="CG42" s="80" t="s">
        <v>136</v>
      </c>
      <c r="CH42" s="80">
        <v>0</v>
      </c>
      <c r="CI42" s="80" t="s">
        <v>136</v>
      </c>
      <c r="CJ42" s="80">
        <v>0</v>
      </c>
      <c r="CK42" s="80" t="s">
        <v>136</v>
      </c>
      <c r="CL42" s="80">
        <v>0</v>
      </c>
      <c r="CM42" s="80" t="s">
        <v>136</v>
      </c>
      <c r="CN42" s="80">
        <v>0</v>
      </c>
      <c r="CO42" s="27">
        <v>0.13216666860000001</v>
      </c>
      <c r="CP42" s="27">
        <v>1.675714E-3</v>
      </c>
      <c r="CQ42" s="27">
        <v>0.1992656944</v>
      </c>
      <c r="CR42" s="27">
        <v>1.7970394E-3</v>
      </c>
      <c r="CS42" s="27">
        <v>3.2593267115</v>
      </c>
      <c r="CT42" s="27">
        <v>3.4379922700000003E-2</v>
      </c>
      <c r="CU42" s="27">
        <v>39.784948602</v>
      </c>
      <c r="CV42" s="27">
        <v>0.95797488799999997</v>
      </c>
      <c r="CW42" s="93" t="s">
        <v>136</v>
      </c>
      <c r="CX42" s="80">
        <v>0</v>
      </c>
      <c r="CY42" s="80" t="s">
        <v>136</v>
      </c>
      <c r="CZ42" s="94">
        <v>0</v>
      </c>
      <c r="DA42" s="27">
        <v>31.621246152000001</v>
      </c>
      <c r="DB42" s="27">
        <v>0.71562641650000003</v>
      </c>
      <c r="DC42" s="27">
        <v>37.887192814000002</v>
      </c>
      <c r="DD42" s="27">
        <v>1.5515286478000001</v>
      </c>
      <c r="DE42" s="27">
        <v>18.980117226000001</v>
      </c>
      <c r="DF42" s="27">
        <v>0.83968115180000003</v>
      </c>
      <c r="DG42" s="27">
        <v>150.27906290000001</v>
      </c>
      <c r="DH42" s="27">
        <v>1.4603067053000001</v>
      </c>
      <c r="DI42" s="95">
        <v>1.9632004000000002E-3</v>
      </c>
      <c r="DJ42" s="96">
        <v>3.4471502E-3</v>
      </c>
      <c r="DK42" s="96">
        <v>3.8244990999999999E-3</v>
      </c>
      <c r="DL42" s="96">
        <v>3.8876217000000002E-3</v>
      </c>
      <c r="DM42" s="96">
        <v>3.9012186999999999E-3</v>
      </c>
      <c r="DN42" s="96">
        <v>3.9082644E-3</v>
      </c>
      <c r="DO42" s="96">
        <v>3.9135586000000003E-3</v>
      </c>
      <c r="DP42" s="96">
        <v>3.9172006000000002E-3</v>
      </c>
      <c r="DQ42" s="96">
        <v>3.9191905000000001E-3</v>
      </c>
      <c r="DR42" s="97">
        <v>3.9204353000000004E-3</v>
      </c>
      <c r="DS42" s="93">
        <v>84.356222738</v>
      </c>
      <c r="DT42" s="80">
        <v>0.58787091449999995</v>
      </c>
      <c r="DU42" s="80">
        <v>41.195109873</v>
      </c>
      <c r="DV42" s="80">
        <v>0.3004261748</v>
      </c>
      <c r="DW42" s="80">
        <v>19.991980979000001</v>
      </c>
      <c r="DX42" s="80">
        <v>0.15301356360000001</v>
      </c>
      <c r="DY42" s="80">
        <v>9.7770519783999994</v>
      </c>
      <c r="DZ42" s="80">
        <v>7.9758848100000002E-2</v>
      </c>
      <c r="EA42" s="80">
        <v>4.9682825218</v>
      </c>
      <c r="EB42" s="80">
        <v>4.4178821799999997E-2</v>
      </c>
      <c r="EC42" s="80">
        <v>2.6541973105999999</v>
      </c>
      <c r="ED42" s="80">
        <v>2.6444236199999999E-2</v>
      </c>
      <c r="EE42" s="80">
        <v>1.5081081994000001</v>
      </c>
      <c r="EF42" s="80">
        <v>1.7259370699999999E-2</v>
      </c>
      <c r="EG42" s="80">
        <v>0.91561457239999999</v>
      </c>
      <c r="EH42" s="80">
        <v>1.22152536E-2</v>
      </c>
      <c r="EI42" s="80">
        <v>0.5979863486</v>
      </c>
      <c r="EJ42" s="80">
        <v>9.2613946000000003E-3</v>
      </c>
      <c r="EK42" s="80">
        <v>0.41531873949999998</v>
      </c>
      <c r="EL42" s="94">
        <v>7.3654488000000004E-3</v>
      </c>
    </row>
    <row r="43" spans="1:142" x14ac:dyDescent="0.2">
      <c r="A43" s="79">
        <v>3800</v>
      </c>
      <c r="B43" s="27">
        <v>9349</v>
      </c>
      <c r="C43" s="79">
        <v>2126.7265707000001</v>
      </c>
      <c r="D43" s="27">
        <v>3749.9411071999998</v>
      </c>
      <c r="E43" s="27">
        <v>75.366102486000003</v>
      </c>
      <c r="F43" s="27">
        <v>9.0142374400000003E-2</v>
      </c>
      <c r="G43" s="79">
        <v>4.1816357566000004</v>
      </c>
      <c r="H43" s="27">
        <v>2.0986574E-3</v>
      </c>
      <c r="I43" s="27">
        <v>169.63300340000001</v>
      </c>
      <c r="J43" s="27">
        <v>1.1171437493</v>
      </c>
      <c r="K43" s="27">
        <v>89.360526617000005</v>
      </c>
      <c r="L43" s="27">
        <v>0.5540754001</v>
      </c>
      <c r="M43" s="27">
        <v>28.357970495</v>
      </c>
      <c r="N43" s="27">
        <v>0.2227003827</v>
      </c>
      <c r="O43" s="80" t="s">
        <v>136</v>
      </c>
      <c r="P43" s="80">
        <v>0</v>
      </c>
      <c r="Q43" s="27">
        <v>25.767347393000001</v>
      </c>
      <c r="R43" s="27">
        <v>4.6012474800000001E-2</v>
      </c>
      <c r="S43" s="80" t="s">
        <v>136</v>
      </c>
      <c r="T43" s="80">
        <v>0</v>
      </c>
      <c r="U43" s="80" t="s">
        <v>136</v>
      </c>
      <c r="V43" s="80">
        <v>0</v>
      </c>
      <c r="W43" s="27">
        <v>0.34743469599999999</v>
      </c>
      <c r="X43" s="27">
        <v>3.6258394999999998E-3</v>
      </c>
      <c r="Y43" s="27">
        <v>44.422903656999999</v>
      </c>
      <c r="Z43" s="27">
        <v>1.0212913134999999</v>
      </c>
      <c r="AA43" s="80" t="s">
        <v>136</v>
      </c>
      <c r="AB43" s="80">
        <v>0</v>
      </c>
      <c r="AC43" s="27">
        <v>5.9487210000000001E-4</v>
      </c>
      <c r="AD43" s="27">
        <v>3.8553757999999998E-6</v>
      </c>
      <c r="AE43" s="80" t="s">
        <v>136</v>
      </c>
      <c r="AF43" s="80">
        <v>0</v>
      </c>
      <c r="AG43" s="80" t="s">
        <v>136</v>
      </c>
      <c r="AH43" s="80">
        <v>0</v>
      </c>
      <c r="AI43" s="27">
        <f t="shared" si="4"/>
        <v>5.9487210000000001E-4</v>
      </c>
      <c r="AJ43" s="27">
        <f t="shared" si="5"/>
        <v>3.8553757999999998E-6</v>
      </c>
      <c r="AK43" s="27">
        <v>124.84937742</v>
      </c>
      <c r="AL43" s="27">
        <v>1.6912987579000001</v>
      </c>
      <c r="AM43" s="80" t="s">
        <v>136</v>
      </c>
      <c r="AN43" s="80">
        <v>0</v>
      </c>
      <c r="AO43" s="80" t="s">
        <v>136</v>
      </c>
      <c r="AP43" s="80">
        <v>0</v>
      </c>
      <c r="AQ43" s="80" t="s">
        <v>136</v>
      </c>
      <c r="AR43" s="80">
        <v>0</v>
      </c>
      <c r="AS43" s="27">
        <v>70.765866743000004</v>
      </c>
      <c r="AT43" s="27">
        <v>2.29803823</v>
      </c>
      <c r="AU43" s="27">
        <v>60.532996185999998</v>
      </c>
      <c r="AV43" s="27">
        <v>0.50576063429999996</v>
      </c>
      <c r="AW43" s="27">
        <v>26.778582817</v>
      </c>
      <c r="AX43" s="27">
        <v>0.30894734499999998</v>
      </c>
      <c r="AY43" s="27">
        <v>8.1567920683999997</v>
      </c>
      <c r="AZ43" s="27">
        <v>6.9531997299999995E-2</v>
      </c>
      <c r="BA43" s="80">
        <f t="shared" si="6"/>
        <v>25.597621300599997</v>
      </c>
      <c r="BB43" s="80">
        <f t="shared" si="7"/>
        <v>0.12728129199999999</v>
      </c>
      <c r="BC43" s="27">
        <v>0</v>
      </c>
      <c r="BD43" s="80">
        <v>0</v>
      </c>
      <c r="BE43" s="27">
        <v>173.19055057</v>
      </c>
      <c r="BF43" s="27">
        <v>2.3356230275000001</v>
      </c>
      <c r="BG43" s="27">
        <v>4.2194542999999998E-3</v>
      </c>
      <c r="BH43" s="80">
        <v>0</v>
      </c>
      <c r="BI43" s="27">
        <v>119.15664834</v>
      </c>
      <c r="BJ43" s="27">
        <v>3.7733393655</v>
      </c>
      <c r="BK43" s="27">
        <v>187.27327179</v>
      </c>
      <c r="BL43" s="27">
        <v>1.2532892946</v>
      </c>
      <c r="BM43" s="27">
        <v>25.612612928000001</v>
      </c>
      <c r="BN43" s="27">
        <v>0.11844614990000001</v>
      </c>
      <c r="BO43" s="27">
        <v>0.25570763839999999</v>
      </c>
      <c r="BP43" s="27">
        <v>1.4116926E-3</v>
      </c>
      <c r="BQ43" s="27">
        <v>0</v>
      </c>
      <c r="BR43" s="92">
        <v>0</v>
      </c>
      <c r="BS43" s="80" t="s">
        <v>136</v>
      </c>
      <c r="BT43" s="80">
        <v>0</v>
      </c>
      <c r="BU43" s="27">
        <v>0.75682831890000002</v>
      </c>
      <c r="BV43" s="27">
        <v>1.0832064400000001E-2</v>
      </c>
      <c r="BW43" s="27">
        <v>27.601142176</v>
      </c>
      <c r="BX43" s="27">
        <v>0.2118683183</v>
      </c>
      <c r="BY43" s="80" t="s">
        <v>136</v>
      </c>
      <c r="BZ43" s="80">
        <v>0</v>
      </c>
      <c r="CA43" s="80" t="s">
        <v>136</v>
      </c>
      <c r="CB43" s="80">
        <v>0</v>
      </c>
      <c r="CC43" s="27">
        <v>13.13180893</v>
      </c>
      <c r="CD43" s="27">
        <v>1.46880807E-2</v>
      </c>
      <c r="CE43" s="27">
        <v>12.635538463</v>
      </c>
      <c r="CF43" s="27">
        <v>3.1324394200000001E-2</v>
      </c>
      <c r="CG43" s="80" t="s">
        <v>136</v>
      </c>
      <c r="CH43" s="80">
        <v>0</v>
      </c>
      <c r="CI43" s="80" t="s">
        <v>136</v>
      </c>
      <c r="CJ43" s="80">
        <v>0</v>
      </c>
      <c r="CK43" s="80" t="s">
        <v>136</v>
      </c>
      <c r="CL43" s="80">
        <v>0</v>
      </c>
      <c r="CM43" s="80" t="s">
        <v>136</v>
      </c>
      <c r="CN43" s="80">
        <v>0</v>
      </c>
      <c r="CO43" s="27">
        <v>0.13415535710000001</v>
      </c>
      <c r="CP43" s="27">
        <v>1.6862036E-3</v>
      </c>
      <c r="CQ43" s="27">
        <v>0.2132793389</v>
      </c>
      <c r="CR43" s="27">
        <v>1.939636E-3</v>
      </c>
      <c r="CS43" s="27">
        <v>3.4351370311</v>
      </c>
      <c r="CT43" s="27">
        <v>3.5884785299999999E-2</v>
      </c>
      <c r="CU43" s="27">
        <v>40.987766626000003</v>
      </c>
      <c r="CV43" s="27">
        <v>0.98540652819999996</v>
      </c>
      <c r="CW43" s="93" t="s">
        <v>136</v>
      </c>
      <c r="CX43" s="80">
        <v>0</v>
      </c>
      <c r="CY43" s="80" t="s">
        <v>136</v>
      </c>
      <c r="CZ43" s="94">
        <v>0</v>
      </c>
      <c r="DA43" s="27">
        <v>32.253880150999997</v>
      </c>
      <c r="DB43" s="27">
        <v>0.72765622699999999</v>
      </c>
      <c r="DC43" s="27">
        <v>38.511986592</v>
      </c>
      <c r="DD43" s="27">
        <v>1.570382003</v>
      </c>
      <c r="DE43" s="27">
        <v>19.985642272</v>
      </c>
      <c r="DF43" s="27">
        <v>0.85573002769999995</v>
      </c>
      <c r="DG43" s="27">
        <v>153.20490828999999</v>
      </c>
      <c r="DH43" s="27">
        <v>1.4798929998000001</v>
      </c>
      <c r="DI43" s="95">
        <v>2.0905507999999999E-3</v>
      </c>
      <c r="DJ43" s="96">
        <v>3.6858080000000001E-3</v>
      </c>
      <c r="DK43" s="96">
        <v>4.0912863000000001E-3</v>
      </c>
      <c r="DL43" s="96">
        <v>4.1600422999999997E-3</v>
      </c>
      <c r="DM43" s="96">
        <v>4.1735339999999996E-3</v>
      </c>
      <c r="DN43" s="96">
        <v>4.1805223000000004E-3</v>
      </c>
      <c r="DO43" s="96">
        <v>4.1857739999999997E-3</v>
      </c>
      <c r="DP43" s="96">
        <v>4.1893842000000001E-3</v>
      </c>
      <c r="DQ43" s="96">
        <v>4.1913530999999997E-3</v>
      </c>
      <c r="DR43" s="97">
        <v>4.1925872999999999E-3</v>
      </c>
      <c r="DS43" s="93">
        <v>85.511786252999997</v>
      </c>
      <c r="DT43" s="80">
        <v>0.59597544020000004</v>
      </c>
      <c r="DU43" s="80">
        <v>41.975800057000001</v>
      </c>
      <c r="DV43" s="80">
        <v>0.30613691160000001</v>
      </c>
      <c r="DW43" s="80">
        <v>20.490499614000001</v>
      </c>
      <c r="DX43" s="80">
        <v>0.15686218430000001</v>
      </c>
      <c r="DY43" s="80">
        <v>10.086110885</v>
      </c>
      <c r="DZ43" s="80">
        <v>8.23185632E-2</v>
      </c>
      <c r="EA43" s="80">
        <v>5.1631523244000004</v>
      </c>
      <c r="EB43" s="80">
        <v>4.5934045700000002E-2</v>
      </c>
      <c r="EC43" s="80">
        <v>2.7776493495999999</v>
      </c>
      <c r="ED43" s="80">
        <v>2.7678921299999999E-2</v>
      </c>
      <c r="EE43" s="80">
        <v>1.5904601363999999</v>
      </c>
      <c r="EF43" s="80">
        <v>1.8178157300000001E-2</v>
      </c>
      <c r="EG43" s="80">
        <v>0.97374718999999998</v>
      </c>
      <c r="EH43" s="80">
        <v>1.2937118500000001E-2</v>
      </c>
      <c r="EI43" s="80">
        <v>0.63935977479999995</v>
      </c>
      <c r="EJ43" s="80">
        <v>9.8418694999999994E-3</v>
      </c>
      <c r="EK43" s="80">
        <v>0.44573239380000002</v>
      </c>
      <c r="EL43" s="94">
        <v>7.8485848000000007E-3</v>
      </c>
    </row>
    <row r="44" spans="1:142" x14ac:dyDescent="0.2">
      <c r="A44" s="79">
        <v>3900</v>
      </c>
      <c r="B44" s="27">
        <v>9255</v>
      </c>
      <c r="C44" s="79">
        <v>2162.7402250999999</v>
      </c>
      <c r="D44" s="27">
        <v>3849.4666763999999</v>
      </c>
      <c r="E44" s="27">
        <v>77.435689811000003</v>
      </c>
      <c r="F44" s="27">
        <v>9.1587965800000004E-2</v>
      </c>
      <c r="G44" s="79">
        <v>4.5251742963000003</v>
      </c>
      <c r="H44" s="27">
        <v>2.2370665E-3</v>
      </c>
      <c r="I44" s="27">
        <v>171.12709225</v>
      </c>
      <c r="J44" s="27">
        <v>1.1274208083999999</v>
      </c>
      <c r="K44" s="27">
        <v>90.753889504</v>
      </c>
      <c r="L44" s="27">
        <v>0.56307856700000003</v>
      </c>
      <c r="M44" s="27">
        <v>29.126850055999999</v>
      </c>
      <c r="N44" s="27">
        <v>0.228479777</v>
      </c>
      <c r="O44" s="80" t="s">
        <v>136</v>
      </c>
      <c r="P44" s="80">
        <v>0</v>
      </c>
      <c r="Q44" s="27">
        <v>26.940770582999999</v>
      </c>
      <c r="R44" s="27">
        <v>4.7809589299999997E-2</v>
      </c>
      <c r="S44" s="80" t="s">
        <v>136</v>
      </c>
      <c r="T44" s="80">
        <v>0</v>
      </c>
      <c r="U44" s="80" t="s">
        <v>136</v>
      </c>
      <c r="V44" s="80">
        <v>0</v>
      </c>
      <c r="W44" s="27">
        <v>0.36035286760000002</v>
      </c>
      <c r="X44" s="27">
        <v>3.7509921999999999E-3</v>
      </c>
      <c r="Y44" s="27">
        <v>45.713325562000001</v>
      </c>
      <c r="Z44" s="27">
        <v>1.0500321453999999</v>
      </c>
      <c r="AA44" s="80" t="s">
        <v>136</v>
      </c>
      <c r="AB44" s="80">
        <v>0</v>
      </c>
      <c r="AC44" s="27">
        <v>5.9015520000000004E-4</v>
      </c>
      <c r="AD44" s="27">
        <v>3.8248549999999998E-6</v>
      </c>
      <c r="AE44" s="80" t="s">
        <v>136</v>
      </c>
      <c r="AF44" s="80">
        <v>0</v>
      </c>
      <c r="AG44" s="80" t="s">
        <v>136</v>
      </c>
      <c r="AH44" s="80">
        <v>0</v>
      </c>
      <c r="AI44" s="27">
        <f t="shared" si="4"/>
        <v>5.9015520000000004E-4</v>
      </c>
      <c r="AJ44" s="27">
        <f t="shared" si="5"/>
        <v>3.8248549999999998E-6</v>
      </c>
      <c r="AK44" s="27">
        <v>126.93020803</v>
      </c>
      <c r="AL44" s="27">
        <v>1.7081570424000001</v>
      </c>
      <c r="AM44" s="80" t="s">
        <v>136</v>
      </c>
      <c r="AN44" s="80">
        <v>0</v>
      </c>
      <c r="AO44" s="80" t="s">
        <v>136</v>
      </c>
      <c r="AP44" s="80">
        <v>0</v>
      </c>
      <c r="AQ44" s="80" t="s">
        <v>136</v>
      </c>
      <c r="AR44" s="80">
        <v>0</v>
      </c>
      <c r="AS44" s="27">
        <v>71.981873418999996</v>
      </c>
      <c r="AT44" s="27">
        <v>2.3282151849999999</v>
      </c>
      <c r="AU44" s="27">
        <v>61.853458431999996</v>
      </c>
      <c r="AV44" s="27">
        <v>0.51408852289999996</v>
      </c>
      <c r="AW44" s="27">
        <v>27.342865004</v>
      </c>
      <c r="AX44" s="27">
        <v>0.31403945420000001</v>
      </c>
      <c r="AY44" s="27">
        <v>8.2763506759999999</v>
      </c>
      <c r="AZ44" s="27">
        <v>7.0429711199999995E-2</v>
      </c>
      <c r="BA44" s="80">
        <f t="shared" si="6"/>
        <v>26.234242752</v>
      </c>
      <c r="BB44" s="80">
        <f t="shared" si="7"/>
        <v>0.12961935749999998</v>
      </c>
      <c r="BC44" s="27">
        <v>0</v>
      </c>
      <c r="BD44" s="80">
        <v>0</v>
      </c>
      <c r="BE44" s="27">
        <v>177.15558662999999</v>
      </c>
      <c r="BF44" s="27">
        <v>2.3705984546000001</v>
      </c>
      <c r="BG44" s="27">
        <v>4.5512770999999999E-3</v>
      </c>
      <c r="BH44" s="80">
        <v>0</v>
      </c>
      <c r="BI44" s="27">
        <v>120.83560802</v>
      </c>
      <c r="BJ44" s="27">
        <v>3.8099779246000001</v>
      </c>
      <c r="BK44" s="27">
        <v>193.11720779999999</v>
      </c>
      <c r="BL44" s="27">
        <v>1.2885427650000001</v>
      </c>
      <c r="BM44" s="27">
        <v>26.397093472000002</v>
      </c>
      <c r="BN44" s="27">
        <v>0.1212941645</v>
      </c>
      <c r="BO44" s="27">
        <v>0.25754978470000001</v>
      </c>
      <c r="BP44" s="27">
        <v>1.4197672E-3</v>
      </c>
      <c r="BQ44" s="27">
        <v>0</v>
      </c>
      <c r="BR44" s="92">
        <v>0</v>
      </c>
      <c r="BS44" s="80" t="s">
        <v>136</v>
      </c>
      <c r="BT44" s="80">
        <v>0</v>
      </c>
      <c r="BU44" s="27">
        <v>0.77227317500000003</v>
      </c>
      <c r="BV44" s="27">
        <v>1.10379924E-2</v>
      </c>
      <c r="BW44" s="27">
        <v>28.354576881</v>
      </c>
      <c r="BX44" s="27">
        <v>0.21744178459999999</v>
      </c>
      <c r="BY44" s="80" t="s">
        <v>136</v>
      </c>
      <c r="BZ44" s="80">
        <v>0</v>
      </c>
      <c r="CA44" s="80" t="s">
        <v>136</v>
      </c>
      <c r="CB44" s="80">
        <v>0</v>
      </c>
      <c r="CC44" s="27">
        <v>13.846188325</v>
      </c>
      <c r="CD44" s="27">
        <v>1.5330579299999999E-2</v>
      </c>
      <c r="CE44" s="27">
        <v>13.094582257000001</v>
      </c>
      <c r="CF44" s="27">
        <v>3.2479010000000003E-2</v>
      </c>
      <c r="CG44" s="80" t="s">
        <v>136</v>
      </c>
      <c r="CH44" s="80">
        <v>0</v>
      </c>
      <c r="CI44" s="80" t="s">
        <v>136</v>
      </c>
      <c r="CJ44" s="80">
        <v>0</v>
      </c>
      <c r="CK44" s="80" t="s">
        <v>136</v>
      </c>
      <c r="CL44" s="80">
        <v>0</v>
      </c>
      <c r="CM44" s="80" t="s">
        <v>136</v>
      </c>
      <c r="CN44" s="80">
        <v>0</v>
      </c>
      <c r="CO44" s="27">
        <v>0.1353440907</v>
      </c>
      <c r="CP44" s="27">
        <v>1.7091356000000001E-3</v>
      </c>
      <c r="CQ44" s="27">
        <v>0.22500877690000001</v>
      </c>
      <c r="CR44" s="27">
        <v>2.0418566000000001E-3</v>
      </c>
      <c r="CS44" s="27">
        <v>3.5639166414000001</v>
      </c>
      <c r="CT44" s="27">
        <v>3.6886150299999997E-2</v>
      </c>
      <c r="CU44" s="27">
        <v>42.149408921000003</v>
      </c>
      <c r="CV44" s="27">
        <v>1.0131459951999999</v>
      </c>
      <c r="CW44" s="93" t="s">
        <v>136</v>
      </c>
      <c r="CX44" s="80">
        <v>0</v>
      </c>
      <c r="CY44" s="80" t="s">
        <v>136</v>
      </c>
      <c r="CZ44" s="94">
        <v>0</v>
      </c>
      <c r="DA44" s="27">
        <v>32.809761938000001</v>
      </c>
      <c r="DB44" s="27">
        <v>0.73852251290000004</v>
      </c>
      <c r="DC44" s="27">
        <v>39.172111479999998</v>
      </c>
      <c r="DD44" s="27">
        <v>1.5896926721</v>
      </c>
      <c r="DE44" s="27">
        <v>21.02937558</v>
      </c>
      <c r="DF44" s="27">
        <v>0.87075179280000004</v>
      </c>
      <c r="DG44" s="27">
        <v>156.12621104999999</v>
      </c>
      <c r="DH44" s="27">
        <v>1.4998466616999999</v>
      </c>
      <c r="DI44" s="95">
        <v>2.2253652000000001E-3</v>
      </c>
      <c r="DJ44" s="96">
        <v>3.9421287000000003E-3</v>
      </c>
      <c r="DK44" s="96">
        <v>4.3839472000000001E-3</v>
      </c>
      <c r="DL44" s="96">
        <v>4.4634130999999999E-3</v>
      </c>
      <c r="DM44" s="96">
        <v>4.4805503999999999E-3</v>
      </c>
      <c r="DN44" s="96">
        <v>4.4912275999999998E-3</v>
      </c>
      <c r="DO44" s="96">
        <v>4.4982255000000004E-3</v>
      </c>
      <c r="DP44" s="96">
        <v>4.5035921000000003E-3</v>
      </c>
      <c r="DQ44" s="96">
        <v>4.5073274000000003E-3</v>
      </c>
      <c r="DR44" s="97">
        <v>4.5103382999999997E-3</v>
      </c>
      <c r="DS44" s="93">
        <v>86.669288390999995</v>
      </c>
      <c r="DT44" s="80">
        <v>0.60410825960000003</v>
      </c>
      <c r="DU44" s="80">
        <v>42.754592611</v>
      </c>
      <c r="DV44" s="80">
        <v>0.31184037240000001</v>
      </c>
      <c r="DW44" s="80">
        <v>20.990105682999999</v>
      </c>
      <c r="DX44" s="80">
        <v>0.1607219996</v>
      </c>
      <c r="DY44" s="80">
        <v>10.401660006</v>
      </c>
      <c r="DZ44" s="80">
        <v>8.4908070099999997E-2</v>
      </c>
      <c r="EA44" s="80">
        <v>5.3619712826999999</v>
      </c>
      <c r="EB44" s="80">
        <v>4.76985584E-2</v>
      </c>
      <c r="EC44" s="80">
        <v>2.9048139842</v>
      </c>
      <c r="ED44" s="80">
        <v>2.8932242399999999E-2</v>
      </c>
      <c r="EE44" s="80">
        <v>1.6751487361999999</v>
      </c>
      <c r="EF44" s="80">
        <v>1.9117812200000001E-2</v>
      </c>
      <c r="EG44" s="80">
        <v>1.0332059731000001</v>
      </c>
      <c r="EH44" s="80">
        <v>1.3678007000000001E-2</v>
      </c>
      <c r="EI44" s="80">
        <v>0.68208979960000005</v>
      </c>
      <c r="EJ44" s="80">
        <v>1.0442985E-2</v>
      </c>
      <c r="EK44" s="80">
        <v>0.47795441919999998</v>
      </c>
      <c r="EL44" s="94">
        <v>8.3531609999999996E-3</v>
      </c>
    </row>
    <row r="45" spans="1:142" x14ac:dyDescent="0.2">
      <c r="A45" s="79">
        <v>4000</v>
      </c>
      <c r="B45" s="27">
        <v>9053</v>
      </c>
      <c r="C45" s="79">
        <v>2197.9574041999999</v>
      </c>
      <c r="D45" s="27">
        <v>3949.4584844000001</v>
      </c>
      <c r="E45" s="27">
        <v>79.268202565999999</v>
      </c>
      <c r="F45" s="27">
        <v>9.2887803899999996E-2</v>
      </c>
      <c r="G45" s="79">
        <v>4.9668410016999998</v>
      </c>
      <c r="H45" s="27">
        <v>2.3990859999999999E-3</v>
      </c>
      <c r="I45" s="27">
        <v>172.54380577000001</v>
      </c>
      <c r="J45" s="27">
        <v>1.1373324437000001</v>
      </c>
      <c r="K45" s="27">
        <v>92.089319997000004</v>
      </c>
      <c r="L45" s="27">
        <v>0.57163848890000002</v>
      </c>
      <c r="M45" s="27">
        <v>29.961032144000001</v>
      </c>
      <c r="N45" s="27">
        <v>0.2346149636</v>
      </c>
      <c r="O45" s="80" t="s">
        <v>136</v>
      </c>
      <c r="P45" s="80">
        <v>0</v>
      </c>
      <c r="Q45" s="27">
        <v>28.142595597</v>
      </c>
      <c r="R45" s="27">
        <v>4.9653570899999999E-2</v>
      </c>
      <c r="S45" s="80" t="s">
        <v>136</v>
      </c>
      <c r="T45" s="80">
        <v>0</v>
      </c>
      <c r="U45" s="80" t="s">
        <v>136</v>
      </c>
      <c r="V45" s="80">
        <v>0</v>
      </c>
      <c r="W45" s="27">
        <v>0.36789974679999998</v>
      </c>
      <c r="X45" s="27">
        <v>3.7983897999999999E-3</v>
      </c>
      <c r="Y45" s="27">
        <v>47.091751557000002</v>
      </c>
      <c r="Z45" s="27">
        <v>1.0798393611999999</v>
      </c>
      <c r="AA45" s="80" t="s">
        <v>136</v>
      </c>
      <c r="AB45" s="80">
        <v>0</v>
      </c>
      <c r="AC45" s="27">
        <v>5.8519810000000002E-4</v>
      </c>
      <c r="AD45" s="27">
        <v>3.7927432000000001E-6</v>
      </c>
      <c r="AE45" s="80" t="s">
        <v>136</v>
      </c>
      <c r="AF45" s="80">
        <v>0</v>
      </c>
      <c r="AG45" s="80" t="s">
        <v>136</v>
      </c>
      <c r="AH45" s="80">
        <v>0</v>
      </c>
      <c r="AI45" s="27">
        <f t="shared" si="4"/>
        <v>5.8519810000000002E-4</v>
      </c>
      <c r="AJ45" s="27">
        <f t="shared" si="5"/>
        <v>3.7927432000000001E-6</v>
      </c>
      <c r="AK45" s="27">
        <v>128.85827771000001</v>
      </c>
      <c r="AL45" s="27">
        <v>1.7242056361</v>
      </c>
      <c r="AM45" s="80" t="s">
        <v>136</v>
      </c>
      <c r="AN45" s="80">
        <v>0</v>
      </c>
      <c r="AO45" s="80" t="s">
        <v>136</v>
      </c>
      <c r="AP45" s="80">
        <v>0</v>
      </c>
      <c r="AQ45" s="80" t="s">
        <v>136</v>
      </c>
      <c r="AR45" s="80">
        <v>0</v>
      </c>
      <c r="AS45" s="27">
        <v>73.184467906999998</v>
      </c>
      <c r="AT45" s="27">
        <v>2.3581273641</v>
      </c>
      <c r="AU45" s="27">
        <v>63.267600074000001</v>
      </c>
      <c r="AV45" s="27">
        <v>0.52266989060000002</v>
      </c>
      <c r="AW45" s="27">
        <v>27.944089355999999</v>
      </c>
      <c r="AX45" s="27">
        <v>0.31924366859999997</v>
      </c>
      <c r="AY45" s="27">
        <v>8.4040588889999999</v>
      </c>
      <c r="AZ45" s="27">
        <v>7.1341777300000006E-2</v>
      </c>
      <c r="BA45" s="80">
        <f t="shared" si="6"/>
        <v>26.919451829000003</v>
      </c>
      <c r="BB45" s="80">
        <f t="shared" si="7"/>
        <v>0.13208444470000003</v>
      </c>
      <c r="BC45" s="27">
        <v>0</v>
      </c>
      <c r="BD45" s="80">
        <v>0</v>
      </c>
      <c r="BE45" s="27">
        <v>181.43597614999999</v>
      </c>
      <c r="BF45" s="27">
        <v>2.4068884223000002</v>
      </c>
      <c r="BG45" s="27">
        <v>4.8984170000000004E-3</v>
      </c>
      <c r="BH45" s="80">
        <v>0</v>
      </c>
      <c r="BI45" s="27">
        <v>122.44550316</v>
      </c>
      <c r="BJ45" s="27">
        <v>3.8463403624999999</v>
      </c>
      <c r="BK45" s="27">
        <v>198.97015661</v>
      </c>
      <c r="BL45" s="27">
        <v>1.3249452153000001</v>
      </c>
      <c r="BM45" s="27">
        <v>27.148681209999999</v>
      </c>
      <c r="BN45" s="27">
        <v>0.1239842047</v>
      </c>
      <c r="BO45" s="27">
        <v>0.26732629670000002</v>
      </c>
      <c r="BP45" s="27">
        <v>1.4706262999999999E-3</v>
      </c>
      <c r="BQ45" s="27">
        <v>0</v>
      </c>
      <c r="BR45" s="92">
        <v>0</v>
      </c>
      <c r="BS45" s="80" t="s">
        <v>136</v>
      </c>
      <c r="BT45" s="80">
        <v>0</v>
      </c>
      <c r="BU45" s="27">
        <v>0.79745526570000003</v>
      </c>
      <c r="BV45" s="27">
        <v>1.13290261E-2</v>
      </c>
      <c r="BW45" s="27">
        <v>29.163576878000001</v>
      </c>
      <c r="BX45" s="27">
        <v>0.2232859375</v>
      </c>
      <c r="BY45" s="80" t="s">
        <v>136</v>
      </c>
      <c r="BZ45" s="80">
        <v>0</v>
      </c>
      <c r="CA45" s="80" t="s">
        <v>136</v>
      </c>
      <c r="CB45" s="80">
        <v>0</v>
      </c>
      <c r="CC45" s="27">
        <v>14.548476388999999</v>
      </c>
      <c r="CD45" s="27">
        <v>1.5966458499999999E-2</v>
      </c>
      <c r="CE45" s="27">
        <v>13.594119208</v>
      </c>
      <c r="CF45" s="27">
        <v>3.3687112399999997E-2</v>
      </c>
      <c r="CG45" s="80" t="s">
        <v>136</v>
      </c>
      <c r="CH45" s="80">
        <v>0</v>
      </c>
      <c r="CI45" s="80" t="s">
        <v>136</v>
      </c>
      <c r="CJ45" s="80">
        <v>0</v>
      </c>
      <c r="CK45" s="80" t="s">
        <v>136</v>
      </c>
      <c r="CL45" s="80">
        <v>0</v>
      </c>
      <c r="CM45" s="80" t="s">
        <v>136</v>
      </c>
      <c r="CN45" s="80">
        <v>0</v>
      </c>
      <c r="CO45" s="27">
        <v>0.1397443552</v>
      </c>
      <c r="CP45" s="27">
        <v>1.7275767E-3</v>
      </c>
      <c r="CQ45" s="27">
        <v>0.22815539160000001</v>
      </c>
      <c r="CR45" s="27">
        <v>2.0708130999999999E-3</v>
      </c>
      <c r="CS45" s="27">
        <v>3.7134849056000001</v>
      </c>
      <c r="CT45" s="27">
        <v>3.8330328499999997E-2</v>
      </c>
      <c r="CU45" s="27">
        <v>43.378266652000001</v>
      </c>
      <c r="CV45" s="27">
        <v>1.0415090327000001</v>
      </c>
      <c r="CW45" s="93" t="s">
        <v>136</v>
      </c>
      <c r="CX45" s="80">
        <v>0</v>
      </c>
      <c r="CY45" s="80" t="s">
        <v>136</v>
      </c>
      <c r="CZ45" s="94">
        <v>0</v>
      </c>
      <c r="DA45" s="27">
        <v>33.359513724999999</v>
      </c>
      <c r="DB45" s="27">
        <v>0.74951992560000003</v>
      </c>
      <c r="DC45" s="27">
        <v>39.824954181999999</v>
      </c>
      <c r="DD45" s="27">
        <v>1.6086074385</v>
      </c>
      <c r="DE45" s="27">
        <v>22.179237606000001</v>
      </c>
      <c r="DF45" s="27">
        <v>0.88637045540000003</v>
      </c>
      <c r="DG45" s="27">
        <v>159.25673853999999</v>
      </c>
      <c r="DH45" s="27">
        <v>1.5205179669</v>
      </c>
      <c r="DI45" s="95">
        <v>2.3869321000000001E-3</v>
      </c>
      <c r="DJ45" s="96">
        <v>4.2392087999999998E-3</v>
      </c>
      <c r="DK45" s="96">
        <v>4.7176605999999996E-3</v>
      </c>
      <c r="DL45" s="96">
        <v>4.8092559E-3</v>
      </c>
      <c r="DM45" s="96">
        <v>4.8276704000000002E-3</v>
      </c>
      <c r="DN45" s="96">
        <v>4.8390997999999998E-3</v>
      </c>
      <c r="DO45" s="96">
        <v>4.8460248000000003E-3</v>
      </c>
      <c r="DP45" s="96">
        <v>4.8513280000000002E-3</v>
      </c>
      <c r="DQ45" s="96">
        <v>4.8550095999999997E-3</v>
      </c>
      <c r="DR45" s="97">
        <v>4.8579762999999996E-3</v>
      </c>
      <c r="DS45" s="93">
        <v>87.790838467</v>
      </c>
      <c r="DT45" s="80">
        <v>0.61206937989999999</v>
      </c>
      <c r="DU45" s="80">
        <v>43.536433666000001</v>
      </c>
      <c r="DV45" s="80">
        <v>0.31757488239999998</v>
      </c>
      <c r="DW45" s="80">
        <v>21.493892340999999</v>
      </c>
      <c r="DX45" s="80">
        <v>0.1645947552</v>
      </c>
      <c r="DY45" s="80">
        <v>10.720819755999999</v>
      </c>
      <c r="DZ45" s="80">
        <v>8.7511781499999997E-2</v>
      </c>
      <c r="EA45" s="80">
        <v>5.5631409089000003</v>
      </c>
      <c r="EB45" s="80">
        <v>4.9467574700000003E-2</v>
      </c>
      <c r="EC45" s="80">
        <v>3.0327163555999999</v>
      </c>
      <c r="ED45" s="80">
        <v>3.01728068E-2</v>
      </c>
      <c r="EE45" s="80">
        <v>1.7615642456</v>
      </c>
      <c r="EF45" s="80">
        <v>2.0048046E-2</v>
      </c>
      <c r="EG45" s="80">
        <v>1.0954059017</v>
      </c>
      <c r="EH45" s="80">
        <v>1.44175226E-2</v>
      </c>
      <c r="EI45" s="80">
        <v>0.72870698820000002</v>
      </c>
      <c r="EJ45" s="80">
        <v>1.10551868E-2</v>
      </c>
      <c r="EK45" s="80">
        <v>0.51445872169999995</v>
      </c>
      <c r="EL45" s="94">
        <v>8.8784816999999995E-3</v>
      </c>
    </row>
    <row r="46" spans="1:142" x14ac:dyDescent="0.2">
      <c r="A46" s="79">
        <v>4100</v>
      </c>
      <c r="B46" s="27">
        <v>8746</v>
      </c>
      <c r="C46" s="79">
        <v>2232.6239667999998</v>
      </c>
      <c r="D46" s="27">
        <v>4049.8446926000001</v>
      </c>
      <c r="E46" s="27">
        <v>81.131189315</v>
      </c>
      <c r="F46" s="27">
        <v>9.41430937E-2</v>
      </c>
      <c r="G46" s="79">
        <v>5.2773555782999999</v>
      </c>
      <c r="H46" s="27">
        <v>2.5179537000000001E-3</v>
      </c>
      <c r="I46" s="27">
        <v>173.86522743</v>
      </c>
      <c r="J46" s="27">
        <v>1.1462493120999999</v>
      </c>
      <c r="K46" s="27">
        <v>93.420129814000006</v>
      </c>
      <c r="L46" s="27">
        <v>0.58030285540000004</v>
      </c>
      <c r="M46" s="27">
        <v>30.889505816</v>
      </c>
      <c r="N46" s="27">
        <v>0.2413430215</v>
      </c>
      <c r="O46" s="80" t="s">
        <v>136</v>
      </c>
      <c r="P46" s="80">
        <v>0</v>
      </c>
      <c r="Q46" s="27">
        <v>29.299019539</v>
      </c>
      <c r="R46" s="27">
        <v>5.1404515499999998E-2</v>
      </c>
      <c r="S46" s="80" t="s">
        <v>136</v>
      </c>
      <c r="T46" s="80">
        <v>0</v>
      </c>
      <c r="U46" s="80" t="s">
        <v>136</v>
      </c>
      <c r="V46" s="80">
        <v>0</v>
      </c>
      <c r="W46" s="27">
        <v>0.390299016</v>
      </c>
      <c r="X46" s="27">
        <v>3.995508E-3</v>
      </c>
      <c r="Y46" s="27">
        <v>48.438149467000002</v>
      </c>
      <c r="Z46" s="27">
        <v>1.1070709982</v>
      </c>
      <c r="AA46" s="80" t="s">
        <v>136</v>
      </c>
      <c r="AB46" s="80">
        <v>0</v>
      </c>
      <c r="AC46" s="27">
        <v>5.8074050000000001E-4</v>
      </c>
      <c r="AD46" s="27">
        <v>3.7639031999999998E-6</v>
      </c>
      <c r="AE46" s="80" t="s">
        <v>136</v>
      </c>
      <c r="AF46" s="80">
        <v>0</v>
      </c>
      <c r="AG46" s="80" t="s">
        <v>136</v>
      </c>
      <c r="AH46" s="80">
        <v>0</v>
      </c>
      <c r="AI46" s="27">
        <f t="shared" si="4"/>
        <v>5.8074050000000001E-4</v>
      </c>
      <c r="AJ46" s="27">
        <f t="shared" si="5"/>
        <v>3.7639031999999998E-6</v>
      </c>
      <c r="AK46" s="27">
        <v>130.71822270999999</v>
      </c>
      <c r="AL46" s="27">
        <v>1.7391665627999999</v>
      </c>
      <c r="AM46" s="80" t="s">
        <v>136</v>
      </c>
      <c r="AN46" s="80">
        <v>0</v>
      </c>
      <c r="AO46" s="80" t="s">
        <v>136</v>
      </c>
      <c r="AP46" s="80">
        <v>0</v>
      </c>
      <c r="AQ46" s="80" t="s">
        <v>136</v>
      </c>
      <c r="AR46" s="80">
        <v>0</v>
      </c>
      <c r="AS46" s="27">
        <v>74.394401071000004</v>
      </c>
      <c r="AT46" s="27">
        <v>2.3863987275</v>
      </c>
      <c r="AU46" s="27">
        <v>64.622803583999996</v>
      </c>
      <c r="AV46" s="27">
        <v>0.53103251139999996</v>
      </c>
      <c r="AW46" s="27">
        <v>28.518558171999999</v>
      </c>
      <c r="AX46" s="27">
        <v>0.3242957742</v>
      </c>
      <c r="AY46" s="27">
        <v>8.5640588262000001</v>
      </c>
      <c r="AZ46" s="27">
        <v>7.2294226000000003E-2</v>
      </c>
      <c r="BA46" s="80">
        <f t="shared" si="6"/>
        <v>27.540186585800001</v>
      </c>
      <c r="BB46" s="80">
        <f t="shared" si="7"/>
        <v>0.13444251119999995</v>
      </c>
      <c r="BC46" s="27">
        <v>0</v>
      </c>
      <c r="BD46" s="80">
        <v>0</v>
      </c>
      <c r="BE46" s="27">
        <v>185.61053480000001</v>
      </c>
      <c r="BF46" s="27">
        <v>2.4403981313999998</v>
      </c>
      <c r="BG46" s="27">
        <v>5.1644721999999999E-3</v>
      </c>
      <c r="BH46" s="80">
        <v>0</v>
      </c>
      <c r="BI46" s="27">
        <v>123.97949469</v>
      </c>
      <c r="BJ46" s="27">
        <v>3.8791779152000001</v>
      </c>
      <c r="BK46" s="27">
        <v>204.61234629</v>
      </c>
      <c r="BL46" s="27">
        <v>1.3586041632000001</v>
      </c>
      <c r="BM46" s="27">
        <v>27.820362335999999</v>
      </c>
      <c r="BN46" s="27">
        <v>0.1264339525</v>
      </c>
      <c r="BO46" s="27">
        <v>0.2801447393</v>
      </c>
      <c r="BP46" s="27">
        <v>1.4766628E-3</v>
      </c>
      <c r="BQ46" s="27">
        <v>0</v>
      </c>
      <c r="BR46" s="92">
        <v>0</v>
      </c>
      <c r="BS46" s="80" t="s">
        <v>136</v>
      </c>
      <c r="BT46" s="80">
        <v>0</v>
      </c>
      <c r="BU46" s="27">
        <v>0.82679119440000004</v>
      </c>
      <c r="BV46" s="27">
        <v>1.15371758E-2</v>
      </c>
      <c r="BW46" s="27">
        <v>30.062714621000001</v>
      </c>
      <c r="BX46" s="27">
        <v>0.22980584570000001</v>
      </c>
      <c r="BY46" s="80" t="s">
        <v>136</v>
      </c>
      <c r="BZ46" s="80">
        <v>0</v>
      </c>
      <c r="CA46" s="80" t="s">
        <v>136</v>
      </c>
      <c r="CB46" s="80">
        <v>0</v>
      </c>
      <c r="CC46" s="27">
        <v>15.261415033</v>
      </c>
      <c r="CD46" s="27">
        <v>1.6632872900000002E-2</v>
      </c>
      <c r="CE46" s="27">
        <v>14.037604505999999</v>
      </c>
      <c r="CF46" s="27">
        <v>3.47716426E-2</v>
      </c>
      <c r="CG46" s="80" t="s">
        <v>136</v>
      </c>
      <c r="CH46" s="80">
        <v>0</v>
      </c>
      <c r="CI46" s="80" t="s">
        <v>136</v>
      </c>
      <c r="CJ46" s="80">
        <v>0</v>
      </c>
      <c r="CK46" s="80" t="s">
        <v>136</v>
      </c>
      <c r="CL46" s="80">
        <v>0</v>
      </c>
      <c r="CM46" s="80" t="s">
        <v>136</v>
      </c>
      <c r="CN46" s="80">
        <v>0</v>
      </c>
      <c r="CO46" s="27">
        <v>0.14528568059999999</v>
      </c>
      <c r="CP46" s="27">
        <v>1.7795015999999999E-3</v>
      </c>
      <c r="CQ46" s="27">
        <v>0.2450133353</v>
      </c>
      <c r="CR46" s="27">
        <v>2.2160064000000001E-3</v>
      </c>
      <c r="CS46" s="27">
        <v>3.8753943293000002</v>
      </c>
      <c r="CT46" s="27">
        <v>3.95909251E-2</v>
      </c>
      <c r="CU46" s="27">
        <v>44.562755137000003</v>
      </c>
      <c r="CV46" s="27">
        <v>1.0674800731</v>
      </c>
      <c r="CW46" s="93" t="s">
        <v>136</v>
      </c>
      <c r="CX46" s="80">
        <v>0</v>
      </c>
      <c r="CY46" s="80" t="s">
        <v>136</v>
      </c>
      <c r="CZ46" s="94">
        <v>0</v>
      </c>
      <c r="DA46" s="27">
        <v>33.946831179</v>
      </c>
      <c r="DB46" s="27">
        <v>0.75989583729999999</v>
      </c>
      <c r="DC46" s="27">
        <v>40.447569891999997</v>
      </c>
      <c r="DD46" s="27">
        <v>1.6265028902000001</v>
      </c>
      <c r="DE46" s="27">
        <v>23.335479819</v>
      </c>
      <c r="DF46" s="27">
        <v>0.90097997929999996</v>
      </c>
      <c r="DG46" s="27">
        <v>162.27505497999999</v>
      </c>
      <c r="DH46" s="27">
        <v>1.5394181521000001</v>
      </c>
      <c r="DI46" s="95">
        <v>2.5053404000000001E-3</v>
      </c>
      <c r="DJ46" s="96">
        <v>4.4593666000000004E-3</v>
      </c>
      <c r="DK46" s="96">
        <v>4.9752907999999997E-3</v>
      </c>
      <c r="DL46" s="96">
        <v>5.0761877999999996E-3</v>
      </c>
      <c r="DM46" s="96">
        <v>5.0944642999999996E-3</v>
      </c>
      <c r="DN46" s="96">
        <v>5.1057984999999997E-3</v>
      </c>
      <c r="DO46" s="96">
        <v>5.1126599000000002E-3</v>
      </c>
      <c r="DP46" s="96">
        <v>5.1179077000000003E-3</v>
      </c>
      <c r="DQ46" s="96">
        <v>5.1215419000000002E-3</v>
      </c>
      <c r="DR46" s="97">
        <v>5.1244704999999996E-3</v>
      </c>
      <c r="DS46" s="93">
        <v>88.816044023000003</v>
      </c>
      <c r="DT46" s="80">
        <v>0.61913492910000001</v>
      </c>
      <c r="DU46" s="80">
        <v>44.239935062000001</v>
      </c>
      <c r="DV46" s="80">
        <v>0.32256034</v>
      </c>
      <c r="DW46" s="80">
        <v>21.936649649</v>
      </c>
      <c r="DX46" s="80">
        <v>0.1678561663</v>
      </c>
      <c r="DY46" s="80">
        <v>10.989443812999999</v>
      </c>
      <c r="DZ46" s="80">
        <v>8.95896043E-2</v>
      </c>
      <c r="EA46" s="80">
        <v>5.7265246071</v>
      </c>
      <c r="EB46" s="80">
        <v>5.0814081599999998E-2</v>
      </c>
      <c r="EC46" s="80">
        <v>3.1297732416000001</v>
      </c>
      <c r="ED46" s="80">
        <v>3.1049198699999999E-2</v>
      </c>
      <c r="EE46" s="80">
        <v>1.8224036245999999</v>
      </c>
      <c r="EF46" s="80">
        <v>2.06555673E-2</v>
      </c>
      <c r="EG46" s="80">
        <v>1.1342778767999999</v>
      </c>
      <c r="EH46" s="80">
        <v>1.4854570500000001E-2</v>
      </c>
      <c r="EI46" s="80">
        <v>0.7550574551</v>
      </c>
      <c r="EJ46" s="80">
        <v>1.1387908299999999E-2</v>
      </c>
      <c r="EK46" s="80">
        <v>0.53341797329999996</v>
      </c>
      <c r="EL46" s="94">
        <v>9.1445308999999995E-3</v>
      </c>
    </row>
    <row r="47" spans="1:142" x14ac:dyDescent="0.2">
      <c r="A47" s="79">
        <v>4200</v>
      </c>
      <c r="B47" s="27">
        <v>8613</v>
      </c>
      <c r="C47" s="79">
        <v>2266.8434069999998</v>
      </c>
      <c r="D47" s="27">
        <v>4150.1403159000001</v>
      </c>
      <c r="E47" s="27">
        <v>83.121012050999994</v>
      </c>
      <c r="F47" s="27">
        <v>9.5487686200000005E-2</v>
      </c>
      <c r="G47" s="79">
        <v>5.6571768651000003</v>
      </c>
      <c r="H47" s="27">
        <v>2.6572902000000002E-3</v>
      </c>
      <c r="I47" s="27">
        <v>175.19152943</v>
      </c>
      <c r="J47" s="27">
        <v>1.1553653735</v>
      </c>
      <c r="K47" s="27">
        <v>94.687852074000006</v>
      </c>
      <c r="L47" s="27">
        <v>0.58845144949999995</v>
      </c>
      <c r="M47" s="27">
        <v>31.685148143999999</v>
      </c>
      <c r="N47" s="27">
        <v>0.2473040957</v>
      </c>
      <c r="O47" s="80" t="s">
        <v>136</v>
      </c>
      <c r="P47" s="80">
        <v>0</v>
      </c>
      <c r="Q47" s="27">
        <v>30.533249719000001</v>
      </c>
      <c r="R47" s="27">
        <v>5.3234506700000003E-2</v>
      </c>
      <c r="S47" s="80" t="s">
        <v>136</v>
      </c>
      <c r="T47" s="80">
        <v>0</v>
      </c>
      <c r="U47" s="80" t="s">
        <v>136</v>
      </c>
      <c r="V47" s="80">
        <v>0</v>
      </c>
      <c r="W47" s="27">
        <v>0.40362259830000002</v>
      </c>
      <c r="X47" s="27">
        <v>4.1100164000000003E-3</v>
      </c>
      <c r="Y47" s="27">
        <v>49.672864423999997</v>
      </c>
      <c r="Z47" s="27">
        <v>1.1335952892000001</v>
      </c>
      <c r="AA47" s="80" t="s">
        <v>136</v>
      </c>
      <c r="AB47" s="80">
        <v>0</v>
      </c>
      <c r="AC47" s="27">
        <v>5.7647809999999999E-4</v>
      </c>
      <c r="AD47" s="27">
        <v>3.7363279000000001E-6</v>
      </c>
      <c r="AE47" s="80" t="s">
        <v>136</v>
      </c>
      <c r="AF47" s="80">
        <v>0</v>
      </c>
      <c r="AG47" s="80" t="s">
        <v>136</v>
      </c>
      <c r="AH47" s="80">
        <v>0</v>
      </c>
      <c r="AI47" s="27">
        <f t="shared" si="4"/>
        <v>5.7647809999999999E-4</v>
      </c>
      <c r="AJ47" s="27">
        <f t="shared" si="5"/>
        <v>3.7363279000000001E-6</v>
      </c>
      <c r="AK47" s="27">
        <v>132.55559511999999</v>
      </c>
      <c r="AL47" s="27">
        <v>1.7539186676</v>
      </c>
      <c r="AM47" s="80" t="s">
        <v>136</v>
      </c>
      <c r="AN47" s="80">
        <v>0</v>
      </c>
      <c r="AO47" s="80" t="s">
        <v>136</v>
      </c>
      <c r="AP47" s="80">
        <v>0</v>
      </c>
      <c r="AQ47" s="80" t="s">
        <v>136</v>
      </c>
      <c r="AR47" s="80">
        <v>0</v>
      </c>
      <c r="AS47" s="27">
        <v>75.548737963999997</v>
      </c>
      <c r="AT47" s="27">
        <v>2.4136336307000001</v>
      </c>
      <c r="AU47" s="27">
        <v>65.889463289000005</v>
      </c>
      <c r="AV47" s="27">
        <v>0.53897157839999998</v>
      </c>
      <c r="AW47" s="27">
        <v>29.041654818000001</v>
      </c>
      <c r="AX47" s="27">
        <v>0.3290960061</v>
      </c>
      <c r="AY47" s="27">
        <v>8.6946177432000002</v>
      </c>
      <c r="AZ47" s="27">
        <v>7.3140163199999997E-2</v>
      </c>
      <c r="BA47" s="80">
        <f t="shared" si="6"/>
        <v>28.153190727800002</v>
      </c>
      <c r="BB47" s="80">
        <f t="shared" si="7"/>
        <v>0.13673540909999998</v>
      </c>
      <c r="BC47" s="27">
        <v>0</v>
      </c>
      <c r="BD47" s="80">
        <v>0</v>
      </c>
      <c r="BE47" s="27">
        <v>189.70149963</v>
      </c>
      <c r="BF47" s="27">
        <v>2.4742855191999999</v>
      </c>
      <c r="BG47" s="27">
        <v>5.4644804999999996E-3</v>
      </c>
      <c r="BH47" s="80">
        <v>0</v>
      </c>
      <c r="BI47" s="27">
        <v>125.47221387</v>
      </c>
      <c r="BJ47" s="27">
        <v>3.9116772536000002</v>
      </c>
      <c r="BK47" s="27">
        <v>210.52351268000001</v>
      </c>
      <c r="BL47" s="27">
        <v>1.3943852203</v>
      </c>
      <c r="BM47" s="27">
        <v>28.547749357000001</v>
      </c>
      <c r="BN47" s="27">
        <v>0.12888029409999999</v>
      </c>
      <c r="BO47" s="27">
        <v>0.29592081640000001</v>
      </c>
      <c r="BP47" s="27">
        <v>1.5213544000000001E-3</v>
      </c>
      <c r="BQ47" s="27">
        <v>0</v>
      </c>
      <c r="BR47" s="92">
        <v>0</v>
      </c>
      <c r="BS47" s="80" t="s">
        <v>136</v>
      </c>
      <c r="BT47" s="80">
        <v>0</v>
      </c>
      <c r="BU47" s="27">
        <v>0.83103424749999999</v>
      </c>
      <c r="BV47" s="27">
        <v>1.15779665E-2</v>
      </c>
      <c r="BW47" s="27">
        <v>30.854113897000001</v>
      </c>
      <c r="BX47" s="27">
        <v>0.2357261292</v>
      </c>
      <c r="BY47" s="80" t="s">
        <v>136</v>
      </c>
      <c r="BZ47" s="80">
        <v>0</v>
      </c>
      <c r="CA47" s="80" t="s">
        <v>136</v>
      </c>
      <c r="CB47" s="80">
        <v>0</v>
      </c>
      <c r="CC47" s="27">
        <v>16.027448113999998</v>
      </c>
      <c r="CD47" s="27">
        <v>1.7331013900000001E-2</v>
      </c>
      <c r="CE47" s="27">
        <v>14.505801605</v>
      </c>
      <c r="CF47" s="27">
        <v>3.5903492799999999E-2</v>
      </c>
      <c r="CG47" s="80" t="s">
        <v>136</v>
      </c>
      <c r="CH47" s="80">
        <v>0</v>
      </c>
      <c r="CI47" s="80" t="s">
        <v>136</v>
      </c>
      <c r="CJ47" s="80">
        <v>0</v>
      </c>
      <c r="CK47" s="80" t="s">
        <v>136</v>
      </c>
      <c r="CL47" s="80">
        <v>0</v>
      </c>
      <c r="CM47" s="80" t="s">
        <v>136</v>
      </c>
      <c r="CN47" s="80">
        <v>0</v>
      </c>
      <c r="CO47" s="27">
        <v>0.15122306620000001</v>
      </c>
      <c r="CP47" s="27">
        <v>1.8279148E-3</v>
      </c>
      <c r="CQ47" s="27">
        <v>0.2523995322</v>
      </c>
      <c r="CR47" s="27">
        <v>2.2821016000000001E-3</v>
      </c>
      <c r="CS47" s="27">
        <v>4.0297107625999997</v>
      </c>
      <c r="CT47" s="27">
        <v>4.1206703099999999E-2</v>
      </c>
      <c r="CU47" s="27">
        <v>45.643153662000003</v>
      </c>
      <c r="CV47" s="27">
        <v>1.0923885861</v>
      </c>
      <c r="CW47" s="93" t="s">
        <v>136</v>
      </c>
      <c r="CX47" s="80">
        <v>0</v>
      </c>
      <c r="CY47" s="80" t="s">
        <v>136</v>
      </c>
      <c r="CZ47" s="94">
        <v>0</v>
      </c>
      <c r="DA47" s="27">
        <v>34.477645424999999</v>
      </c>
      <c r="DB47" s="27">
        <v>0.76980117329999997</v>
      </c>
      <c r="DC47" s="27">
        <v>41.071092538999999</v>
      </c>
      <c r="DD47" s="27">
        <v>1.6438324573</v>
      </c>
      <c r="DE47" s="27">
        <v>24.52204463</v>
      </c>
      <c r="DF47" s="27">
        <v>0.91597017270000003</v>
      </c>
      <c r="DG47" s="27">
        <v>165.17945499999999</v>
      </c>
      <c r="DH47" s="27">
        <v>1.5583153464999999</v>
      </c>
      <c r="DI47" s="95">
        <v>2.6429541999999999E-3</v>
      </c>
      <c r="DJ47" s="96">
        <v>4.7134428000000003E-3</v>
      </c>
      <c r="DK47" s="96">
        <v>5.2640033999999999E-3</v>
      </c>
      <c r="DL47" s="96">
        <v>5.3757917000000002E-3</v>
      </c>
      <c r="DM47" s="96">
        <v>5.3952169000000003E-3</v>
      </c>
      <c r="DN47" s="96">
        <v>5.4064559E-3</v>
      </c>
      <c r="DO47" s="96">
        <v>5.4132527000000001E-3</v>
      </c>
      <c r="DP47" s="96">
        <v>5.4184441999999998E-3</v>
      </c>
      <c r="DQ47" s="96">
        <v>5.4220305999999998E-3</v>
      </c>
      <c r="DR47" s="97">
        <v>5.4249201000000002E-3</v>
      </c>
      <c r="DS47" s="93">
        <v>89.861063818000005</v>
      </c>
      <c r="DT47" s="80">
        <v>0.6264063245</v>
      </c>
      <c r="DU47" s="80">
        <v>44.955155185999999</v>
      </c>
      <c r="DV47" s="80">
        <v>0.3276975245</v>
      </c>
      <c r="DW47" s="80">
        <v>22.396607847999999</v>
      </c>
      <c r="DX47" s="80">
        <v>0.17129027490000001</v>
      </c>
      <c r="DY47" s="80">
        <v>11.277540205999999</v>
      </c>
      <c r="DZ47" s="80">
        <v>9.18496434E-2</v>
      </c>
      <c r="EA47" s="80">
        <v>5.9080692008</v>
      </c>
      <c r="EB47" s="80">
        <v>5.2330516899999999E-2</v>
      </c>
      <c r="EC47" s="80">
        <v>3.2523108940999998</v>
      </c>
      <c r="ED47" s="80">
        <v>3.2136426400000001E-2</v>
      </c>
      <c r="EE47" s="80">
        <v>1.9065482899999999</v>
      </c>
      <c r="EF47" s="80">
        <v>2.1459282600000001E-2</v>
      </c>
      <c r="EG47" s="80">
        <v>1.192571013</v>
      </c>
      <c r="EH47" s="80">
        <v>1.54580432E-2</v>
      </c>
      <c r="EI47" s="80">
        <v>0.79644513559999996</v>
      </c>
      <c r="EJ47" s="80">
        <v>1.1852600499999999E-2</v>
      </c>
      <c r="EK47" s="80">
        <v>0.56296154990000002</v>
      </c>
      <c r="EL47" s="94">
        <v>9.5070298000000004E-3</v>
      </c>
    </row>
    <row r="48" spans="1:142" x14ac:dyDescent="0.2">
      <c r="A48" s="79">
        <v>4300</v>
      </c>
      <c r="B48" s="27">
        <v>8245</v>
      </c>
      <c r="C48" s="79">
        <v>2300.4398197999999</v>
      </c>
      <c r="D48" s="27">
        <v>4249.7327548000003</v>
      </c>
      <c r="E48" s="27">
        <v>85.019556969000007</v>
      </c>
      <c r="F48" s="27">
        <v>9.6743482000000006E-2</v>
      </c>
      <c r="G48" s="79">
        <v>6.0313687533999998</v>
      </c>
      <c r="H48" s="27">
        <v>2.7940904000000001E-3</v>
      </c>
      <c r="I48" s="27">
        <v>176.53400300000001</v>
      </c>
      <c r="J48" s="27">
        <v>1.1643110645000001</v>
      </c>
      <c r="K48" s="27">
        <v>95.962681238000002</v>
      </c>
      <c r="L48" s="27">
        <v>0.59662944870000001</v>
      </c>
      <c r="M48" s="27">
        <v>32.444855599999997</v>
      </c>
      <c r="N48" s="27">
        <v>0.2529744827</v>
      </c>
      <c r="O48" s="80" t="s">
        <v>136</v>
      </c>
      <c r="P48" s="80">
        <v>0</v>
      </c>
      <c r="Q48" s="27">
        <v>31.767221752000001</v>
      </c>
      <c r="R48" s="27">
        <v>5.5031831699999999E-2</v>
      </c>
      <c r="S48" s="80" t="s">
        <v>136</v>
      </c>
      <c r="T48" s="80">
        <v>0</v>
      </c>
      <c r="U48" s="80" t="s">
        <v>136</v>
      </c>
      <c r="V48" s="80">
        <v>0</v>
      </c>
      <c r="W48" s="27">
        <v>0.42308207590000002</v>
      </c>
      <c r="X48" s="27">
        <v>4.2590092000000003E-3</v>
      </c>
      <c r="Y48" s="27">
        <v>50.956425459000002</v>
      </c>
      <c r="Z48" s="27">
        <v>1.1613616994</v>
      </c>
      <c r="AA48" s="80" t="s">
        <v>136</v>
      </c>
      <c r="AB48" s="80">
        <v>0</v>
      </c>
      <c r="AC48" s="27">
        <v>5.7257140000000005E-4</v>
      </c>
      <c r="AD48" s="27">
        <v>3.7110239999999999E-6</v>
      </c>
      <c r="AE48" s="80" t="s">
        <v>136</v>
      </c>
      <c r="AF48" s="80">
        <v>0</v>
      </c>
      <c r="AG48" s="80" t="s">
        <v>136</v>
      </c>
      <c r="AH48" s="80">
        <v>0</v>
      </c>
      <c r="AI48" s="27">
        <f t="shared" si="4"/>
        <v>5.7257140000000005E-4</v>
      </c>
      <c r="AJ48" s="27">
        <f t="shared" si="5"/>
        <v>3.7110239999999999E-6</v>
      </c>
      <c r="AK48" s="27">
        <v>134.26283311</v>
      </c>
      <c r="AL48" s="27">
        <v>1.7684229274000001</v>
      </c>
      <c r="AM48" s="80" t="s">
        <v>136</v>
      </c>
      <c r="AN48" s="80">
        <v>0</v>
      </c>
      <c r="AO48" s="80" t="s">
        <v>136</v>
      </c>
      <c r="AP48" s="80">
        <v>0</v>
      </c>
      <c r="AQ48" s="80" t="s">
        <v>136</v>
      </c>
      <c r="AR48" s="80">
        <v>0</v>
      </c>
      <c r="AS48" s="27">
        <v>76.759771393999998</v>
      </c>
      <c r="AT48" s="27">
        <v>2.4417787921</v>
      </c>
      <c r="AU48" s="27">
        <v>67.185480917999996</v>
      </c>
      <c r="AV48" s="27">
        <v>0.54703944729999998</v>
      </c>
      <c r="AW48" s="27">
        <v>29.615584138999999</v>
      </c>
      <c r="AX48" s="27">
        <v>0.334075346</v>
      </c>
      <c r="AY48" s="27">
        <v>8.8044579717999998</v>
      </c>
      <c r="AZ48" s="27">
        <v>7.3903075799999995E-2</v>
      </c>
      <c r="BA48" s="80">
        <f t="shared" si="6"/>
        <v>28.765438807199999</v>
      </c>
      <c r="BB48" s="80">
        <f t="shared" si="7"/>
        <v>0.13906102549999999</v>
      </c>
      <c r="BC48" s="27">
        <v>0</v>
      </c>
      <c r="BD48" s="80">
        <v>0</v>
      </c>
      <c r="BE48" s="27">
        <v>193.80023485000001</v>
      </c>
      <c r="BF48" s="27">
        <v>2.5071848444999998</v>
      </c>
      <c r="BG48" s="27">
        <v>5.7591802000000001E-3</v>
      </c>
      <c r="BH48" s="80">
        <v>0</v>
      </c>
      <c r="BI48" s="27">
        <v>126.94142995</v>
      </c>
      <c r="BJ48" s="27">
        <v>3.9428900820999999</v>
      </c>
      <c r="BK48" s="27">
        <v>215.98748051000001</v>
      </c>
      <c r="BL48" s="27">
        <v>1.4267004084999999</v>
      </c>
      <c r="BM48" s="27">
        <v>29.283711011000001</v>
      </c>
      <c r="BN48" s="27">
        <v>0.13155967809999999</v>
      </c>
      <c r="BO48" s="27">
        <v>0.31061493039999999</v>
      </c>
      <c r="BP48" s="27">
        <v>1.5474122E-3</v>
      </c>
      <c r="BQ48" s="27">
        <v>0</v>
      </c>
      <c r="BR48" s="92">
        <v>0</v>
      </c>
      <c r="BS48" s="80" t="s">
        <v>136</v>
      </c>
      <c r="BT48" s="80">
        <v>0</v>
      </c>
      <c r="BU48" s="27">
        <v>0.83988864730000001</v>
      </c>
      <c r="BV48" s="27">
        <v>1.17276203E-2</v>
      </c>
      <c r="BW48" s="27">
        <v>31.604966952000002</v>
      </c>
      <c r="BX48" s="27">
        <v>0.24124686240000001</v>
      </c>
      <c r="BY48" s="80" t="s">
        <v>136</v>
      </c>
      <c r="BZ48" s="80">
        <v>0</v>
      </c>
      <c r="CA48" s="80" t="s">
        <v>136</v>
      </c>
      <c r="CB48" s="80">
        <v>0</v>
      </c>
      <c r="CC48" s="27">
        <v>16.754662557</v>
      </c>
      <c r="CD48" s="27">
        <v>1.7968286900000002E-2</v>
      </c>
      <c r="CE48" s="27">
        <v>15.012559196</v>
      </c>
      <c r="CF48" s="27">
        <v>3.7063544800000001E-2</v>
      </c>
      <c r="CG48" s="80" t="s">
        <v>136</v>
      </c>
      <c r="CH48" s="80">
        <v>0</v>
      </c>
      <c r="CI48" s="80" t="s">
        <v>136</v>
      </c>
      <c r="CJ48" s="80">
        <v>0</v>
      </c>
      <c r="CK48" s="80" t="s">
        <v>136</v>
      </c>
      <c r="CL48" s="80">
        <v>0</v>
      </c>
      <c r="CM48" s="80" t="s">
        <v>136</v>
      </c>
      <c r="CN48" s="80">
        <v>0</v>
      </c>
      <c r="CO48" s="27">
        <v>0.16764195409999999</v>
      </c>
      <c r="CP48" s="27">
        <v>1.9571664999999999E-3</v>
      </c>
      <c r="CQ48" s="27">
        <v>0.25544012179999998</v>
      </c>
      <c r="CR48" s="27">
        <v>2.3018426999999999E-3</v>
      </c>
      <c r="CS48" s="27">
        <v>4.1808557332999996</v>
      </c>
      <c r="CT48" s="27">
        <v>4.28539062E-2</v>
      </c>
      <c r="CU48" s="27">
        <v>46.775569724999997</v>
      </c>
      <c r="CV48" s="27">
        <v>1.1185077932</v>
      </c>
      <c r="CW48" s="93" t="s">
        <v>136</v>
      </c>
      <c r="CX48" s="80">
        <v>0</v>
      </c>
      <c r="CY48" s="80" t="s">
        <v>136</v>
      </c>
      <c r="CZ48" s="94">
        <v>0</v>
      </c>
      <c r="DA48" s="27">
        <v>35.063028262000003</v>
      </c>
      <c r="DB48" s="27">
        <v>0.78052608850000005</v>
      </c>
      <c r="DC48" s="27">
        <v>41.696743132000002</v>
      </c>
      <c r="DD48" s="27">
        <v>1.6612527036</v>
      </c>
      <c r="DE48" s="27">
        <v>25.716938545000001</v>
      </c>
      <c r="DF48" s="27">
        <v>0.93080776539999999</v>
      </c>
      <c r="DG48" s="27">
        <v>168.0832963</v>
      </c>
      <c r="DH48" s="27">
        <v>1.5763770791</v>
      </c>
      <c r="DI48" s="95">
        <v>2.7798669000000001E-3</v>
      </c>
      <c r="DJ48" s="96">
        <v>4.9632714999999997E-3</v>
      </c>
      <c r="DK48" s="96">
        <v>5.5455851E-3</v>
      </c>
      <c r="DL48" s="96">
        <v>5.6706535999999997E-3</v>
      </c>
      <c r="DM48" s="96">
        <v>5.6905660000000002E-3</v>
      </c>
      <c r="DN48" s="96">
        <v>5.7017187000000004E-3</v>
      </c>
      <c r="DO48" s="96">
        <v>5.7084579E-3</v>
      </c>
      <c r="DP48" s="96">
        <v>5.7135998999999996E-3</v>
      </c>
      <c r="DQ48" s="96">
        <v>5.7171445999999997E-3</v>
      </c>
      <c r="DR48" s="97">
        <v>5.7200007000000001E-3</v>
      </c>
      <c r="DS48" s="93">
        <v>90.916238418000006</v>
      </c>
      <c r="DT48" s="80">
        <v>0.63350725070000002</v>
      </c>
      <c r="DU48" s="80">
        <v>45.684359198000003</v>
      </c>
      <c r="DV48" s="80">
        <v>0.33273729540000002</v>
      </c>
      <c r="DW48" s="80">
        <v>22.863185785999999</v>
      </c>
      <c r="DX48" s="80">
        <v>0.1746262609</v>
      </c>
      <c r="DY48" s="80">
        <v>11.572289853999999</v>
      </c>
      <c r="DZ48" s="80">
        <v>9.4029250699999997E-2</v>
      </c>
      <c r="EA48" s="80">
        <v>6.0892298649000001</v>
      </c>
      <c r="EB48" s="80">
        <v>5.3725775400000002E-2</v>
      </c>
      <c r="EC48" s="80">
        <v>3.3632241433000001</v>
      </c>
      <c r="ED48" s="80">
        <v>3.3050771600000001E-2</v>
      </c>
      <c r="EE48" s="80">
        <v>1.9778010625</v>
      </c>
      <c r="EF48" s="80">
        <v>2.2090583800000001E-2</v>
      </c>
      <c r="EG48" s="80">
        <v>1.2388082454</v>
      </c>
      <c r="EH48" s="80">
        <v>1.5907489300000001E-2</v>
      </c>
      <c r="EI48" s="80">
        <v>0.82990577210000005</v>
      </c>
      <c r="EJ48" s="80">
        <v>1.22036764E-2</v>
      </c>
      <c r="EK48" s="80">
        <v>0.58730432860000004</v>
      </c>
      <c r="EL48" s="94">
        <v>9.7847253999999995E-3</v>
      </c>
    </row>
    <row r="49" spans="1:142" x14ac:dyDescent="0.2">
      <c r="A49" s="79">
        <v>4400</v>
      </c>
      <c r="B49" s="27">
        <v>8189</v>
      </c>
      <c r="C49" s="79">
        <v>2333.5165434</v>
      </c>
      <c r="D49" s="27">
        <v>4349.5593583</v>
      </c>
      <c r="E49" s="27">
        <v>86.934747580999996</v>
      </c>
      <c r="F49" s="27">
        <v>9.7979292300000007E-2</v>
      </c>
      <c r="G49" s="79">
        <v>6.4068051226999998</v>
      </c>
      <c r="H49" s="27">
        <v>2.9291001000000001E-3</v>
      </c>
      <c r="I49" s="27">
        <v>177.86443298</v>
      </c>
      <c r="J49" s="27">
        <v>1.1734268958</v>
      </c>
      <c r="K49" s="27">
        <v>97.160999529999998</v>
      </c>
      <c r="L49" s="27">
        <v>0.60434147760000001</v>
      </c>
      <c r="M49" s="27">
        <v>33.192782317999999</v>
      </c>
      <c r="N49" s="27">
        <v>0.25857481710000002</v>
      </c>
      <c r="O49" s="80" t="s">
        <v>136</v>
      </c>
      <c r="P49" s="80">
        <v>0</v>
      </c>
      <c r="Q49" s="27">
        <v>33.031882543000002</v>
      </c>
      <c r="R49" s="27">
        <v>5.6851993300000001E-2</v>
      </c>
      <c r="S49" s="80" t="s">
        <v>136</v>
      </c>
      <c r="T49" s="80">
        <v>0</v>
      </c>
      <c r="U49" s="80" t="s">
        <v>136</v>
      </c>
      <c r="V49" s="80">
        <v>0</v>
      </c>
      <c r="W49" s="27">
        <v>0.44754482979999999</v>
      </c>
      <c r="X49" s="27">
        <v>4.4157952999999998E-3</v>
      </c>
      <c r="Y49" s="27">
        <v>52.163842146999997</v>
      </c>
      <c r="Z49" s="27">
        <v>1.1867516986</v>
      </c>
      <c r="AA49" s="80" t="s">
        <v>136</v>
      </c>
      <c r="AB49" s="80">
        <v>0</v>
      </c>
      <c r="AC49" s="27">
        <v>5.6847080000000001E-4</v>
      </c>
      <c r="AD49" s="27">
        <v>3.6845060000000002E-6</v>
      </c>
      <c r="AE49" s="80" t="s">
        <v>136</v>
      </c>
      <c r="AF49" s="80">
        <v>0</v>
      </c>
      <c r="AG49" s="80" t="s">
        <v>136</v>
      </c>
      <c r="AH49" s="80">
        <v>0</v>
      </c>
      <c r="AI49" s="27">
        <f t="shared" si="4"/>
        <v>5.6847080000000001E-4</v>
      </c>
      <c r="AJ49" s="27">
        <f t="shared" si="5"/>
        <v>3.6845060000000002E-6</v>
      </c>
      <c r="AK49" s="27">
        <v>136.09302996</v>
      </c>
      <c r="AL49" s="27">
        <v>1.7825826652000001</v>
      </c>
      <c r="AM49" s="80" t="s">
        <v>136</v>
      </c>
      <c r="AN49" s="80">
        <v>0</v>
      </c>
      <c r="AO49" s="80" t="s">
        <v>136</v>
      </c>
      <c r="AP49" s="80">
        <v>0</v>
      </c>
      <c r="AQ49" s="80" t="s">
        <v>136</v>
      </c>
      <c r="AR49" s="80">
        <v>0</v>
      </c>
      <c r="AS49" s="27">
        <v>77.916983294000005</v>
      </c>
      <c r="AT49" s="27">
        <v>2.4681554957</v>
      </c>
      <c r="AU49" s="27">
        <v>68.553389639000002</v>
      </c>
      <c r="AV49" s="27">
        <v>0.55534546060000001</v>
      </c>
      <c r="AW49" s="27">
        <v>30.191390813999998</v>
      </c>
      <c r="AX49" s="27">
        <v>0.33918366890000001</v>
      </c>
      <c r="AY49" s="27">
        <v>8.9327136779000007</v>
      </c>
      <c r="AZ49" s="27">
        <v>7.4721513000000003E-2</v>
      </c>
      <c r="BA49" s="80">
        <f t="shared" si="6"/>
        <v>29.429285147100003</v>
      </c>
      <c r="BB49" s="80">
        <f t="shared" si="7"/>
        <v>0.14144027869999998</v>
      </c>
      <c r="BC49" s="27">
        <v>0</v>
      </c>
      <c r="BD49" s="80">
        <v>0</v>
      </c>
      <c r="BE49" s="27">
        <v>197.98858279000001</v>
      </c>
      <c r="BF49" s="27">
        <v>2.5406194323000002</v>
      </c>
      <c r="BG49" s="27">
        <v>6.0681260000000001E-3</v>
      </c>
      <c r="BH49" s="80">
        <v>0</v>
      </c>
      <c r="BI49" s="27">
        <v>128.45048313000001</v>
      </c>
      <c r="BJ49" s="27">
        <v>3.9754368315000002</v>
      </c>
      <c r="BK49" s="27">
        <v>221.54554329999999</v>
      </c>
      <c r="BL49" s="27">
        <v>1.4591521438999999</v>
      </c>
      <c r="BM49" s="27">
        <v>30.071310583999999</v>
      </c>
      <c r="BN49" s="27">
        <v>0.13437527799999999</v>
      </c>
      <c r="BO49" s="27">
        <v>0.32382937849999999</v>
      </c>
      <c r="BP49" s="27">
        <v>1.5962699999999999E-3</v>
      </c>
      <c r="BQ49" s="27">
        <v>0</v>
      </c>
      <c r="BR49" s="92">
        <v>0</v>
      </c>
      <c r="BS49" s="80" t="s">
        <v>136</v>
      </c>
      <c r="BT49" s="80">
        <v>0</v>
      </c>
      <c r="BU49" s="27">
        <v>0.85797805410000005</v>
      </c>
      <c r="BV49" s="27">
        <v>1.1955270800000001E-2</v>
      </c>
      <c r="BW49" s="27">
        <v>32.334804263999999</v>
      </c>
      <c r="BX49" s="27">
        <v>0.24661954620000001</v>
      </c>
      <c r="BY49" s="80" t="s">
        <v>136</v>
      </c>
      <c r="BZ49" s="80">
        <v>0</v>
      </c>
      <c r="CA49" s="80" t="s">
        <v>136</v>
      </c>
      <c r="CB49" s="80">
        <v>0</v>
      </c>
      <c r="CC49" s="27">
        <v>17.543724137000002</v>
      </c>
      <c r="CD49" s="27">
        <v>1.86375178E-2</v>
      </c>
      <c r="CE49" s="27">
        <v>15.488158406</v>
      </c>
      <c r="CF49" s="27">
        <v>3.8214475499999997E-2</v>
      </c>
      <c r="CG49" s="80" t="s">
        <v>136</v>
      </c>
      <c r="CH49" s="80">
        <v>0</v>
      </c>
      <c r="CI49" s="80" t="s">
        <v>136</v>
      </c>
      <c r="CJ49" s="80">
        <v>0</v>
      </c>
      <c r="CK49" s="80" t="s">
        <v>136</v>
      </c>
      <c r="CL49" s="80">
        <v>0</v>
      </c>
      <c r="CM49" s="80" t="s">
        <v>136</v>
      </c>
      <c r="CN49" s="80">
        <v>0</v>
      </c>
      <c r="CO49" s="27">
        <v>0.1811113818</v>
      </c>
      <c r="CP49" s="27">
        <v>2.0177922000000001E-3</v>
      </c>
      <c r="CQ49" s="27">
        <v>0.26643344790000001</v>
      </c>
      <c r="CR49" s="27">
        <v>2.3980031000000001E-3</v>
      </c>
      <c r="CS49" s="27">
        <v>4.3413395955</v>
      </c>
      <c r="CT49" s="27">
        <v>4.4529288299999997E-2</v>
      </c>
      <c r="CU49" s="27">
        <v>47.822502550999999</v>
      </c>
      <c r="CV49" s="27">
        <v>1.1422224104000001</v>
      </c>
      <c r="CW49" s="93" t="s">
        <v>136</v>
      </c>
      <c r="CX49" s="80">
        <v>0</v>
      </c>
      <c r="CY49" s="80" t="s">
        <v>136</v>
      </c>
      <c r="CZ49" s="94">
        <v>0</v>
      </c>
      <c r="DA49" s="27">
        <v>35.648197547999999</v>
      </c>
      <c r="DB49" s="27">
        <v>0.7909415756</v>
      </c>
      <c r="DC49" s="27">
        <v>42.268785745999999</v>
      </c>
      <c r="DD49" s="27">
        <v>1.6772139201</v>
      </c>
      <c r="DE49" s="27">
        <v>26.944913362000001</v>
      </c>
      <c r="DF49" s="27">
        <v>0.94577122719999995</v>
      </c>
      <c r="DG49" s="27">
        <v>171.04366942999999</v>
      </c>
      <c r="DH49" s="27">
        <v>1.5948482051999999</v>
      </c>
      <c r="DI49" s="95">
        <v>2.9138074000000002E-3</v>
      </c>
      <c r="DJ49" s="96">
        <v>5.2146420000000002E-3</v>
      </c>
      <c r="DK49" s="96">
        <v>5.8311750000000001E-3</v>
      </c>
      <c r="DL49" s="96">
        <v>5.9672685000000001E-3</v>
      </c>
      <c r="DM49" s="96">
        <v>5.9882855999999996E-3</v>
      </c>
      <c r="DN49" s="96">
        <v>5.9999778000000004E-3</v>
      </c>
      <c r="DO49" s="96">
        <v>6.0072846000000001E-3</v>
      </c>
      <c r="DP49" s="96">
        <v>6.0130024999999997E-3</v>
      </c>
      <c r="DQ49" s="96">
        <v>6.0171315E-3</v>
      </c>
      <c r="DR49" s="97">
        <v>6.0205798999999997E-3</v>
      </c>
      <c r="DS49" s="93">
        <v>91.971940094000004</v>
      </c>
      <c r="DT49" s="80">
        <v>0.64089035120000004</v>
      </c>
      <c r="DU49" s="80">
        <v>46.418561697999998</v>
      </c>
      <c r="DV49" s="80">
        <v>0.33810881390000003</v>
      </c>
      <c r="DW49" s="80">
        <v>23.335560094000002</v>
      </c>
      <c r="DX49" s="80">
        <v>0.17830793880000001</v>
      </c>
      <c r="DY49" s="80">
        <v>11.875426472999999</v>
      </c>
      <c r="DZ49" s="80">
        <v>9.6574179800000007E-2</v>
      </c>
      <c r="EA49" s="80">
        <v>6.2803177533000003</v>
      </c>
      <c r="EB49" s="80">
        <v>5.5497984299999997E-2</v>
      </c>
      <c r="EC49" s="80">
        <v>3.4884346729</v>
      </c>
      <c r="ED49" s="80">
        <v>3.43471204E-2</v>
      </c>
      <c r="EE49" s="80">
        <v>2.0657284776</v>
      </c>
      <c r="EF49" s="80">
        <v>2.3100556899999999E-2</v>
      </c>
      <c r="EG49" s="80">
        <v>1.3016148250999999</v>
      </c>
      <c r="EH49" s="80">
        <v>1.6717442799999999E-2</v>
      </c>
      <c r="EI49" s="80">
        <v>0.87621880529999996</v>
      </c>
      <c r="EJ49" s="80">
        <v>1.28760062E-2</v>
      </c>
      <c r="EK49" s="80">
        <v>0.62287025900000004</v>
      </c>
      <c r="EL49" s="94">
        <v>1.03606016E-2</v>
      </c>
    </row>
    <row r="50" spans="1:142" x14ac:dyDescent="0.2">
      <c r="A50" s="79">
        <v>4500</v>
      </c>
      <c r="B50" s="27">
        <v>7890</v>
      </c>
      <c r="C50" s="79">
        <v>2365.8828103000001</v>
      </c>
      <c r="D50" s="27">
        <v>4449.2447675000003</v>
      </c>
      <c r="E50" s="27">
        <v>88.629114448999999</v>
      </c>
      <c r="F50" s="27">
        <v>9.90764539E-2</v>
      </c>
      <c r="G50" s="79">
        <v>6.8258417566</v>
      </c>
      <c r="H50" s="27">
        <v>3.0756206E-3</v>
      </c>
      <c r="I50" s="27">
        <v>179.08232917999999</v>
      </c>
      <c r="J50" s="27">
        <v>1.181734721</v>
      </c>
      <c r="K50" s="27">
        <v>98.332287902000004</v>
      </c>
      <c r="L50" s="27">
        <v>0.6121639418</v>
      </c>
      <c r="M50" s="27">
        <v>33.906960259999998</v>
      </c>
      <c r="N50" s="27">
        <v>0.26392145109999998</v>
      </c>
      <c r="O50" s="80" t="s">
        <v>136</v>
      </c>
      <c r="P50" s="80">
        <v>0</v>
      </c>
      <c r="Q50" s="27">
        <v>34.229043472000001</v>
      </c>
      <c r="R50" s="27">
        <v>5.8640926400000001E-2</v>
      </c>
      <c r="S50" s="80" t="s">
        <v>136</v>
      </c>
      <c r="T50" s="80">
        <v>0</v>
      </c>
      <c r="U50" s="80" t="s">
        <v>136</v>
      </c>
      <c r="V50" s="80">
        <v>0</v>
      </c>
      <c r="W50" s="27">
        <v>0.46783013420000003</v>
      </c>
      <c r="X50" s="27">
        <v>4.5747215999999997E-3</v>
      </c>
      <c r="Y50" s="27">
        <v>53.425579786999997</v>
      </c>
      <c r="Z50" s="27">
        <v>1.2136311903999999</v>
      </c>
      <c r="AA50" s="80" t="s">
        <v>136</v>
      </c>
      <c r="AB50" s="80">
        <v>0</v>
      </c>
      <c r="AC50" s="27">
        <v>5.6447400000000003E-4</v>
      </c>
      <c r="AD50" s="27">
        <v>3.6586285000000001E-6</v>
      </c>
      <c r="AE50" s="80" t="s">
        <v>136</v>
      </c>
      <c r="AF50" s="80">
        <v>0</v>
      </c>
      <c r="AG50" s="80" t="s">
        <v>136</v>
      </c>
      <c r="AH50" s="80">
        <v>0</v>
      </c>
      <c r="AI50" s="27">
        <f t="shared" si="4"/>
        <v>5.6447400000000003E-4</v>
      </c>
      <c r="AJ50" s="27">
        <f t="shared" si="5"/>
        <v>3.6586285000000001E-6</v>
      </c>
      <c r="AK50" s="27">
        <v>137.81250560000001</v>
      </c>
      <c r="AL50" s="27">
        <v>1.7963110288999999</v>
      </c>
      <c r="AM50" s="80" t="s">
        <v>136</v>
      </c>
      <c r="AN50" s="80">
        <v>0</v>
      </c>
      <c r="AO50" s="80" t="s">
        <v>136</v>
      </c>
      <c r="AP50" s="80">
        <v>0</v>
      </c>
      <c r="AQ50" s="80" t="s">
        <v>136</v>
      </c>
      <c r="AR50" s="80">
        <v>0</v>
      </c>
      <c r="AS50" s="27">
        <v>79.023605361999998</v>
      </c>
      <c r="AT50" s="27">
        <v>2.4943022349000001</v>
      </c>
      <c r="AU50" s="27">
        <v>69.821955614999993</v>
      </c>
      <c r="AV50" s="27">
        <v>0.56293284570000002</v>
      </c>
      <c r="AW50" s="27">
        <v>30.716647353999999</v>
      </c>
      <c r="AX50" s="27">
        <v>0.34370006279999998</v>
      </c>
      <c r="AY50" s="27">
        <v>9.0597996270000003</v>
      </c>
      <c r="AZ50" s="27">
        <v>7.5519330499999995E-2</v>
      </c>
      <c r="BA50" s="80">
        <f t="shared" si="6"/>
        <v>30.045508633999994</v>
      </c>
      <c r="BB50" s="80">
        <f t="shared" si="7"/>
        <v>0.14371345240000005</v>
      </c>
      <c r="BC50" s="27">
        <v>0</v>
      </c>
      <c r="BD50" s="80">
        <v>0</v>
      </c>
      <c r="BE50" s="27">
        <v>202.26653590000001</v>
      </c>
      <c r="BF50" s="27">
        <v>2.5745332480999998</v>
      </c>
      <c r="BG50" s="27">
        <v>6.4044425000000004E-3</v>
      </c>
      <c r="BH50" s="80">
        <v>0</v>
      </c>
      <c r="BI50" s="27">
        <v>129.88620112999999</v>
      </c>
      <c r="BJ50" s="27">
        <v>4.0065636602000003</v>
      </c>
      <c r="BK50" s="27">
        <v>227.20906102999999</v>
      </c>
      <c r="BL50" s="27">
        <v>1.4920922380999999</v>
      </c>
      <c r="BM50" s="27">
        <v>30.767590995999999</v>
      </c>
      <c r="BN50" s="27">
        <v>0.1368697059</v>
      </c>
      <c r="BO50" s="27">
        <v>0.3633873386</v>
      </c>
      <c r="BP50" s="27">
        <v>1.6604765999999999E-3</v>
      </c>
      <c r="BQ50" s="27">
        <v>0</v>
      </c>
      <c r="BR50" s="92">
        <v>0</v>
      </c>
      <c r="BS50" s="80" t="s">
        <v>136</v>
      </c>
      <c r="BT50" s="80">
        <v>0</v>
      </c>
      <c r="BU50" s="27">
        <v>0.882433935</v>
      </c>
      <c r="BV50" s="27">
        <v>1.22685205E-2</v>
      </c>
      <c r="BW50" s="27">
        <v>33.024526324999997</v>
      </c>
      <c r="BX50" s="27">
        <v>0.25165293059999999</v>
      </c>
      <c r="BY50" s="80" t="s">
        <v>136</v>
      </c>
      <c r="BZ50" s="80">
        <v>0</v>
      </c>
      <c r="CA50" s="80" t="s">
        <v>136</v>
      </c>
      <c r="CB50" s="80">
        <v>0</v>
      </c>
      <c r="CC50" s="27">
        <v>18.230050515999999</v>
      </c>
      <c r="CD50" s="27">
        <v>1.92608365E-2</v>
      </c>
      <c r="CE50" s="27">
        <v>15.998992956</v>
      </c>
      <c r="CF50" s="27">
        <v>3.9380089899999998E-2</v>
      </c>
      <c r="CG50" s="80" t="s">
        <v>136</v>
      </c>
      <c r="CH50" s="80">
        <v>0</v>
      </c>
      <c r="CI50" s="80" t="s">
        <v>136</v>
      </c>
      <c r="CJ50" s="80">
        <v>0</v>
      </c>
      <c r="CK50" s="80" t="s">
        <v>136</v>
      </c>
      <c r="CL50" s="80">
        <v>0</v>
      </c>
      <c r="CM50" s="80" t="s">
        <v>136</v>
      </c>
      <c r="CN50" s="80">
        <v>0</v>
      </c>
      <c r="CO50" s="27">
        <v>0.19493681960000001</v>
      </c>
      <c r="CP50" s="27">
        <v>2.1278484E-3</v>
      </c>
      <c r="CQ50" s="27">
        <v>0.2728933147</v>
      </c>
      <c r="CR50" s="27">
        <v>2.4468732000000001E-3</v>
      </c>
      <c r="CS50" s="27">
        <v>4.4993587611999999</v>
      </c>
      <c r="CT50" s="27">
        <v>4.59101061E-2</v>
      </c>
      <c r="CU50" s="27">
        <v>48.926221024999997</v>
      </c>
      <c r="CV50" s="27">
        <v>1.1677210843000001</v>
      </c>
      <c r="CW50" s="93" t="s">
        <v>136</v>
      </c>
      <c r="CX50" s="80">
        <v>0</v>
      </c>
      <c r="CY50" s="80" t="s">
        <v>136</v>
      </c>
      <c r="CZ50" s="94">
        <v>0</v>
      </c>
      <c r="DA50" s="27">
        <v>36.201487075000003</v>
      </c>
      <c r="DB50" s="27">
        <v>0.80121425000000002</v>
      </c>
      <c r="DC50" s="27">
        <v>42.822118287000002</v>
      </c>
      <c r="DD50" s="27">
        <v>1.6930879849</v>
      </c>
      <c r="DE50" s="27">
        <v>28.200975998000001</v>
      </c>
      <c r="DF50" s="27">
        <v>0.96016769089999998</v>
      </c>
      <c r="DG50" s="27">
        <v>174.06555990000001</v>
      </c>
      <c r="DH50" s="27">
        <v>1.6143655572</v>
      </c>
      <c r="DI50" s="95">
        <v>3.0598954000000001E-3</v>
      </c>
      <c r="DJ50" s="96">
        <v>5.4831906E-3</v>
      </c>
      <c r="DK50" s="96">
        <v>6.1498667000000002E-3</v>
      </c>
      <c r="DL50" s="96">
        <v>6.3006138999999999E-3</v>
      </c>
      <c r="DM50" s="96">
        <v>6.3231362000000001E-3</v>
      </c>
      <c r="DN50" s="96">
        <v>6.3363969000000001E-3</v>
      </c>
      <c r="DO50" s="96">
        <v>6.3441951999999996E-3</v>
      </c>
      <c r="DP50" s="96">
        <v>6.3498597999999996E-3</v>
      </c>
      <c r="DQ50" s="96">
        <v>6.3539425999999998E-3</v>
      </c>
      <c r="DR50" s="97">
        <v>6.3573520000000001E-3</v>
      </c>
      <c r="DS50" s="93">
        <v>92.932043508000007</v>
      </c>
      <c r="DT50" s="80">
        <v>0.64754031899999998</v>
      </c>
      <c r="DU50" s="80">
        <v>47.078283087000003</v>
      </c>
      <c r="DV50" s="80">
        <v>0.3428289082</v>
      </c>
      <c r="DW50" s="80">
        <v>23.754026858</v>
      </c>
      <c r="DX50" s="80">
        <v>0.18144489010000001</v>
      </c>
      <c r="DY50" s="80">
        <v>12.136893223</v>
      </c>
      <c r="DZ50" s="80">
        <v>9.8648287200000004E-2</v>
      </c>
      <c r="EA50" s="80">
        <v>6.4414625805999997</v>
      </c>
      <c r="EB50" s="80">
        <v>5.6872173400000003E-2</v>
      </c>
      <c r="EC50" s="80">
        <v>3.5926999572999998</v>
      </c>
      <c r="ED50" s="80">
        <v>3.53133214E-2</v>
      </c>
      <c r="EE50" s="80">
        <v>2.1343848575000002</v>
      </c>
      <c r="EF50" s="80">
        <v>2.3808567900000001E-2</v>
      </c>
      <c r="EG50" s="80">
        <v>1.3490237386999999</v>
      </c>
      <c r="EH50" s="80">
        <v>1.7262395699999999E-2</v>
      </c>
      <c r="EI50" s="80">
        <v>0.90976308809999995</v>
      </c>
      <c r="EJ50" s="80">
        <v>1.33074952E-2</v>
      </c>
      <c r="EK50" s="80">
        <v>0.64764778629999997</v>
      </c>
      <c r="EL50" s="94">
        <v>1.07159864E-2</v>
      </c>
    </row>
    <row r="51" spans="1:142" x14ac:dyDescent="0.2">
      <c r="A51" s="79">
        <v>4600</v>
      </c>
      <c r="B51" s="27">
        <v>7948</v>
      </c>
      <c r="C51" s="79">
        <v>2397.8666483000002</v>
      </c>
      <c r="D51" s="27">
        <v>4550.0467645999997</v>
      </c>
      <c r="E51" s="27">
        <v>90.469523928000001</v>
      </c>
      <c r="F51" s="27">
        <v>0.1003007226</v>
      </c>
      <c r="G51" s="79">
        <v>7.2142927038</v>
      </c>
      <c r="H51" s="27">
        <v>3.2101943000000001E-3</v>
      </c>
      <c r="I51" s="27">
        <v>180.34392063000001</v>
      </c>
      <c r="J51" s="27">
        <v>1.1901729324000001</v>
      </c>
      <c r="K51" s="27">
        <v>99.514660140000004</v>
      </c>
      <c r="L51" s="27">
        <v>0.61996825119999999</v>
      </c>
      <c r="M51" s="27">
        <v>34.668946116999997</v>
      </c>
      <c r="N51" s="27">
        <v>0.2696684661</v>
      </c>
      <c r="O51" s="80" t="s">
        <v>136</v>
      </c>
      <c r="P51" s="80">
        <v>0</v>
      </c>
      <c r="Q51" s="27">
        <v>35.439475737000002</v>
      </c>
      <c r="R51" s="27">
        <v>6.0418863199999999E-2</v>
      </c>
      <c r="S51" s="80" t="s">
        <v>136</v>
      </c>
      <c r="T51" s="80">
        <v>0</v>
      </c>
      <c r="U51" s="80" t="s">
        <v>136</v>
      </c>
      <c r="V51" s="80">
        <v>0</v>
      </c>
      <c r="W51" s="27">
        <v>0.4924345074</v>
      </c>
      <c r="X51" s="27">
        <v>4.8402799999999998E-3</v>
      </c>
      <c r="Y51" s="27">
        <v>54.703801964999997</v>
      </c>
      <c r="Z51" s="27">
        <v>1.2402751384999999</v>
      </c>
      <c r="AA51" s="80" t="s">
        <v>136</v>
      </c>
      <c r="AB51" s="80">
        <v>0</v>
      </c>
      <c r="AC51" s="27">
        <v>5.6070239999999997E-4</v>
      </c>
      <c r="AD51" s="27">
        <v>3.6342472999999999E-6</v>
      </c>
      <c r="AE51" s="80" t="s">
        <v>136</v>
      </c>
      <c r="AF51" s="80">
        <v>0</v>
      </c>
      <c r="AG51" s="80" t="s">
        <v>136</v>
      </c>
      <c r="AH51" s="80">
        <v>0</v>
      </c>
      <c r="AI51" s="27">
        <f t="shared" si="4"/>
        <v>5.6070239999999997E-4</v>
      </c>
      <c r="AJ51" s="27">
        <f t="shared" si="5"/>
        <v>3.6342472999999999E-6</v>
      </c>
      <c r="AK51" s="27">
        <v>139.55126727000001</v>
      </c>
      <c r="AL51" s="27">
        <v>1.8103237129</v>
      </c>
      <c r="AM51" s="80" t="s">
        <v>136</v>
      </c>
      <c r="AN51" s="80">
        <v>0</v>
      </c>
      <c r="AO51" s="80" t="s">
        <v>136</v>
      </c>
      <c r="AP51" s="80">
        <v>0</v>
      </c>
      <c r="AQ51" s="80" t="s">
        <v>136</v>
      </c>
      <c r="AR51" s="80">
        <v>0</v>
      </c>
      <c r="AS51" s="27">
        <v>80.165982245999999</v>
      </c>
      <c r="AT51" s="27">
        <v>2.5213167729000001</v>
      </c>
      <c r="AU51" s="27">
        <v>71.066550594999995</v>
      </c>
      <c r="AV51" s="27">
        <v>0.57057106550000003</v>
      </c>
      <c r="AW51" s="27">
        <v>31.228031828999999</v>
      </c>
      <c r="AX51" s="27">
        <v>0.34830980700000003</v>
      </c>
      <c r="AY51" s="27">
        <v>9.1847727659</v>
      </c>
      <c r="AZ51" s="27">
        <v>7.6344938700000003E-2</v>
      </c>
      <c r="BA51" s="80">
        <f t="shared" si="6"/>
        <v>30.6537460001</v>
      </c>
      <c r="BB51" s="80">
        <f t="shared" si="7"/>
        <v>0.14591631979999997</v>
      </c>
      <c r="BC51" s="27">
        <v>0</v>
      </c>
      <c r="BD51" s="80">
        <v>0</v>
      </c>
      <c r="BE51" s="27">
        <v>206.41209473000001</v>
      </c>
      <c r="BF51" s="27">
        <v>2.6080679521999999</v>
      </c>
      <c r="BG51" s="27">
        <v>6.7136796000000004E-3</v>
      </c>
      <c r="BH51" s="80">
        <v>0</v>
      </c>
      <c r="BI51" s="27">
        <v>131.33606503999999</v>
      </c>
      <c r="BJ51" s="27">
        <v>4.0376863620999996</v>
      </c>
      <c r="BK51" s="27">
        <v>233.26294623000001</v>
      </c>
      <c r="BL51" s="27">
        <v>1.5279526751000001</v>
      </c>
      <c r="BM51" s="27">
        <v>31.507959147000001</v>
      </c>
      <c r="BN51" s="27">
        <v>0.13945195439999999</v>
      </c>
      <c r="BO51" s="27">
        <v>0.3763770192</v>
      </c>
      <c r="BP51" s="27">
        <v>1.7123478E-3</v>
      </c>
      <c r="BQ51" s="27">
        <v>0</v>
      </c>
      <c r="BR51" s="92">
        <v>0</v>
      </c>
      <c r="BS51" s="80" t="s">
        <v>136</v>
      </c>
      <c r="BT51" s="80">
        <v>0</v>
      </c>
      <c r="BU51" s="27">
        <v>0.90143209339999997</v>
      </c>
      <c r="BV51" s="27">
        <v>1.26237434E-2</v>
      </c>
      <c r="BW51" s="27">
        <v>33.767514022999997</v>
      </c>
      <c r="BX51" s="27">
        <v>0.25704472270000001</v>
      </c>
      <c r="BY51" s="80" t="s">
        <v>136</v>
      </c>
      <c r="BZ51" s="80">
        <v>0</v>
      </c>
      <c r="CA51" s="80" t="s">
        <v>136</v>
      </c>
      <c r="CB51" s="80">
        <v>0</v>
      </c>
      <c r="CC51" s="27">
        <v>18.959386631000001</v>
      </c>
      <c r="CD51" s="27">
        <v>1.9914207400000002E-2</v>
      </c>
      <c r="CE51" s="27">
        <v>16.480089106000001</v>
      </c>
      <c r="CF51" s="27">
        <v>4.0504655799999997E-2</v>
      </c>
      <c r="CG51" s="80" t="s">
        <v>136</v>
      </c>
      <c r="CH51" s="80">
        <v>0</v>
      </c>
      <c r="CI51" s="80" t="s">
        <v>136</v>
      </c>
      <c r="CJ51" s="80">
        <v>0</v>
      </c>
      <c r="CK51" s="80" t="s">
        <v>136</v>
      </c>
      <c r="CL51" s="80">
        <v>0</v>
      </c>
      <c r="CM51" s="80" t="s">
        <v>136</v>
      </c>
      <c r="CN51" s="80">
        <v>0</v>
      </c>
      <c r="CO51" s="27">
        <v>0.20512463319999999</v>
      </c>
      <c r="CP51" s="27">
        <v>2.2685617999999999E-3</v>
      </c>
      <c r="CQ51" s="27">
        <v>0.28730987419999998</v>
      </c>
      <c r="CR51" s="27">
        <v>2.5717181999999998E-3</v>
      </c>
      <c r="CS51" s="27">
        <v>4.6541991519000003</v>
      </c>
      <c r="CT51" s="27">
        <v>4.7423515200000002E-2</v>
      </c>
      <c r="CU51" s="27">
        <v>50.049602813</v>
      </c>
      <c r="CV51" s="27">
        <v>1.1928516231999999</v>
      </c>
      <c r="CW51" s="93" t="s">
        <v>136</v>
      </c>
      <c r="CX51" s="80">
        <v>0</v>
      </c>
      <c r="CY51" s="80" t="s">
        <v>136</v>
      </c>
      <c r="CZ51" s="94">
        <v>0</v>
      </c>
      <c r="DA51" s="27">
        <v>36.750071179000003</v>
      </c>
      <c r="DB51" s="27">
        <v>0.81153893580000003</v>
      </c>
      <c r="DC51" s="27">
        <v>43.415911067000003</v>
      </c>
      <c r="DD51" s="27">
        <v>1.7097778371000001</v>
      </c>
      <c r="DE51" s="27">
        <v>29.479238125999998</v>
      </c>
      <c r="DF51" s="27">
        <v>0.97521886710000005</v>
      </c>
      <c r="DG51" s="27">
        <v>176.93285660999999</v>
      </c>
      <c r="DH51" s="27">
        <v>1.6328490851999999</v>
      </c>
      <c r="DI51" s="95">
        <v>3.1900444000000001E-3</v>
      </c>
      <c r="DJ51" s="96">
        <v>5.7197617000000001E-3</v>
      </c>
      <c r="DK51" s="96">
        <v>6.4259273999999998E-3</v>
      </c>
      <c r="DL51" s="96">
        <v>6.5953668999999999E-3</v>
      </c>
      <c r="DM51" s="96">
        <v>6.6219659000000004E-3</v>
      </c>
      <c r="DN51" s="96">
        <v>6.6367225999999996E-3</v>
      </c>
      <c r="DO51" s="96">
        <v>6.6460488999999998E-3</v>
      </c>
      <c r="DP51" s="96">
        <v>6.6532520000000001E-3</v>
      </c>
      <c r="DQ51" s="96">
        <v>6.6588808999999997E-3</v>
      </c>
      <c r="DR51" s="97">
        <v>6.6638436999999998E-3</v>
      </c>
      <c r="DS51" s="93">
        <v>93.931568257999999</v>
      </c>
      <c r="DT51" s="80">
        <v>0.65430907559999996</v>
      </c>
      <c r="DU51" s="80">
        <v>47.763208159000001</v>
      </c>
      <c r="DV51" s="80">
        <v>0.34759839619999999</v>
      </c>
      <c r="DW51" s="80">
        <v>24.184472117999999</v>
      </c>
      <c r="DX51" s="80">
        <v>0.18457392550000001</v>
      </c>
      <c r="DY51" s="80">
        <v>12.401573748000001</v>
      </c>
      <c r="DZ51" s="80">
        <v>0.1006752081</v>
      </c>
      <c r="EA51" s="80">
        <v>6.6033045959000001</v>
      </c>
      <c r="EB51" s="80">
        <v>5.8192641000000003E-2</v>
      </c>
      <c r="EC51" s="80">
        <v>3.6923057630999998</v>
      </c>
      <c r="ED51" s="80">
        <v>3.6193708200000001E-2</v>
      </c>
      <c r="EE51" s="80">
        <v>2.1992266749999998</v>
      </c>
      <c r="EF51" s="80">
        <v>2.4437119300000001E-2</v>
      </c>
      <c r="EG51" s="80">
        <v>1.3918554609</v>
      </c>
      <c r="EH51" s="80">
        <v>1.7728418199999998E-2</v>
      </c>
      <c r="EI51" s="80">
        <v>0.93884741260000004</v>
      </c>
      <c r="EJ51" s="80">
        <v>1.3670708700000001E-2</v>
      </c>
      <c r="EK51" s="80">
        <v>0.66723927240000003</v>
      </c>
      <c r="EL51" s="94">
        <v>1.10046841E-2</v>
      </c>
    </row>
    <row r="52" spans="1:142" x14ac:dyDescent="0.2">
      <c r="A52" s="79">
        <v>4700</v>
      </c>
      <c r="B52" s="27">
        <v>7477</v>
      </c>
      <c r="C52" s="79">
        <v>2429.3372525</v>
      </c>
      <c r="D52" s="27">
        <v>4649.9303509000001</v>
      </c>
      <c r="E52" s="27">
        <v>92.289424424000003</v>
      </c>
      <c r="F52" s="27">
        <v>0.101351107</v>
      </c>
      <c r="G52" s="79">
        <v>7.6073132370999996</v>
      </c>
      <c r="H52" s="27">
        <v>3.3449336999999998E-3</v>
      </c>
      <c r="I52" s="27">
        <v>181.49671774999999</v>
      </c>
      <c r="J52" s="27">
        <v>1.1980380221</v>
      </c>
      <c r="K52" s="27">
        <v>100.68167721</v>
      </c>
      <c r="L52" s="27">
        <v>0.62735639850000002</v>
      </c>
      <c r="M52" s="27">
        <v>35.558244104000003</v>
      </c>
      <c r="N52" s="27">
        <v>0.27616083330000002</v>
      </c>
      <c r="O52" s="80" t="s">
        <v>136</v>
      </c>
      <c r="P52" s="80">
        <v>0</v>
      </c>
      <c r="Q52" s="27">
        <v>36.496934086000003</v>
      </c>
      <c r="R52" s="27">
        <v>6.2045141499999998E-2</v>
      </c>
      <c r="S52" s="80" t="s">
        <v>136</v>
      </c>
      <c r="T52" s="80">
        <v>0</v>
      </c>
      <c r="U52" s="80" t="s">
        <v>136</v>
      </c>
      <c r="V52" s="80">
        <v>0</v>
      </c>
      <c r="W52" s="27">
        <v>0.50816330759999995</v>
      </c>
      <c r="X52" s="27">
        <v>5.0262008999999996E-3</v>
      </c>
      <c r="Y52" s="27">
        <v>55.926350380999999</v>
      </c>
      <c r="Z52" s="27">
        <v>1.2654684935</v>
      </c>
      <c r="AA52" s="80" t="s">
        <v>136</v>
      </c>
      <c r="AB52" s="80">
        <v>0</v>
      </c>
      <c r="AC52" s="27">
        <v>5.5724419999999999E-4</v>
      </c>
      <c r="AD52" s="27">
        <v>3.6118557999999998E-6</v>
      </c>
      <c r="AE52" s="80" t="s">
        <v>136</v>
      </c>
      <c r="AF52" s="80">
        <v>0</v>
      </c>
      <c r="AG52" s="80" t="s">
        <v>136</v>
      </c>
      <c r="AH52" s="80">
        <v>0</v>
      </c>
      <c r="AI52" s="27">
        <f t="shared" si="4"/>
        <v>5.5724419999999999E-4</v>
      </c>
      <c r="AJ52" s="27">
        <f t="shared" si="5"/>
        <v>3.6118557999999998E-6</v>
      </c>
      <c r="AK52" s="27">
        <v>141.18576879</v>
      </c>
      <c r="AL52" s="27">
        <v>1.8229769602000001</v>
      </c>
      <c r="AM52" s="80" t="s">
        <v>136</v>
      </c>
      <c r="AN52" s="80">
        <v>0</v>
      </c>
      <c r="AO52" s="80" t="s">
        <v>136</v>
      </c>
      <c r="AP52" s="80">
        <v>0</v>
      </c>
      <c r="AQ52" s="80" t="s">
        <v>136</v>
      </c>
      <c r="AR52" s="80">
        <v>0</v>
      </c>
      <c r="AS52" s="27">
        <v>81.175687530000005</v>
      </c>
      <c r="AT52" s="27">
        <v>2.5456093110000002</v>
      </c>
      <c r="AU52" s="27">
        <v>72.231037119999996</v>
      </c>
      <c r="AV52" s="27">
        <v>0.57783860610000004</v>
      </c>
      <c r="AW52" s="27">
        <v>31.719223207999999</v>
      </c>
      <c r="AX52" s="27">
        <v>0.35278620430000002</v>
      </c>
      <c r="AY52" s="27">
        <v>9.2874506205999996</v>
      </c>
      <c r="AZ52" s="27">
        <v>7.7025097400000006E-2</v>
      </c>
      <c r="BA52" s="80">
        <f t="shared" si="6"/>
        <v>31.224363291399996</v>
      </c>
      <c r="BB52" s="80">
        <f t="shared" si="7"/>
        <v>0.1480273044</v>
      </c>
      <c r="BC52" s="27">
        <v>0</v>
      </c>
      <c r="BD52" s="80">
        <v>0</v>
      </c>
      <c r="BE52" s="27">
        <v>210.45948959</v>
      </c>
      <c r="BF52" s="27">
        <v>2.6383994586999999</v>
      </c>
      <c r="BG52" s="27">
        <v>7.0125055000000002E-3</v>
      </c>
      <c r="BH52" s="80">
        <v>0</v>
      </c>
      <c r="BI52" s="27">
        <v>132.6565014</v>
      </c>
      <c r="BJ52" s="27">
        <v>4.0660238564000002</v>
      </c>
      <c r="BK52" s="27">
        <v>238.85770360000001</v>
      </c>
      <c r="BL52" s="27">
        <v>1.5602736112</v>
      </c>
      <c r="BM52" s="27">
        <v>32.156158404999999</v>
      </c>
      <c r="BN52" s="27">
        <v>0.1416890958</v>
      </c>
      <c r="BO52" s="27">
        <v>0.39523940219999998</v>
      </c>
      <c r="BP52" s="27">
        <v>1.7330643E-3</v>
      </c>
      <c r="BQ52" s="27">
        <v>0</v>
      </c>
      <c r="BR52" s="92">
        <v>0</v>
      </c>
      <c r="BS52" s="80" t="s">
        <v>136</v>
      </c>
      <c r="BT52" s="80">
        <v>0</v>
      </c>
      <c r="BU52" s="27">
        <v>0.93207397299999994</v>
      </c>
      <c r="BV52" s="27">
        <v>1.2909271199999999E-2</v>
      </c>
      <c r="BW52" s="27">
        <v>34.626170131000002</v>
      </c>
      <c r="BX52" s="27">
        <v>0.2632515621</v>
      </c>
      <c r="BY52" s="80" t="s">
        <v>136</v>
      </c>
      <c r="BZ52" s="80">
        <v>0</v>
      </c>
      <c r="CA52" s="80" t="s">
        <v>136</v>
      </c>
      <c r="CB52" s="80">
        <v>0</v>
      </c>
      <c r="CC52" s="27">
        <v>19.562344867</v>
      </c>
      <c r="CD52" s="27">
        <v>2.04805851E-2</v>
      </c>
      <c r="CE52" s="27">
        <v>16.934589218999999</v>
      </c>
      <c r="CF52" s="27">
        <v>4.1564556400000001E-2</v>
      </c>
      <c r="CG52" s="80" t="s">
        <v>136</v>
      </c>
      <c r="CH52" s="80">
        <v>0</v>
      </c>
      <c r="CI52" s="80" t="s">
        <v>136</v>
      </c>
      <c r="CJ52" s="80">
        <v>0</v>
      </c>
      <c r="CK52" s="80" t="s">
        <v>136</v>
      </c>
      <c r="CL52" s="80">
        <v>0</v>
      </c>
      <c r="CM52" s="80" t="s">
        <v>136</v>
      </c>
      <c r="CN52" s="80">
        <v>0</v>
      </c>
      <c r="CO52" s="27">
        <v>0.2133340581</v>
      </c>
      <c r="CP52" s="27">
        <v>2.3895262E-3</v>
      </c>
      <c r="CQ52" s="27">
        <v>0.29482924960000001</v>
      </c>
      <c r="CR52" s="27">
        <v>2.6366747000000001E-3</v>
      </c>
      <c r="CS52" s="27">
        <v>4.8617094203000004</v>
      </c>
      <c r="CT52" s="27">
        <v>4.9061308200000001E-2</v>
      </c>
      <c r="CU52" s="27">
        <v>51.064640959999998</v>
      </c>
      <c r="CV52" s="27">
        <v>1.2164071852</v>
      </c>
      <c r="CW52" s="93" t="s">
        <v>136</v>
      </c>
      <c r="CX52" s="80">
        <v>0</v>
      </c>
      <c r="CY52" s="80" t="s">
        <v>136</v>
      </c>
      <c r="CZ52" s="94">
        <v>0</v>
      </c>
      <c r="DA52" s="27">
        <v>37.245068482999997</v>
      </c>
      <c r="DB52" s="27">
        <v>0.82103764030000004</v>
      </c>
      <c r="DC52" s="27">
        <v>43.930619045999997</v>
      </c>
      <c r="DD52" s="27">
        <v>1.7245716707000001</v>
      </c>
      <c r="DE52" s="27">
        <v>30.819491666000001</v>
      </c>
      <c r="DF52" s="27">
        <v>0.98942017289999995</v>
      </c>
      <c r="DG52" s="27">
        <v>179.63999792999999</v>
      </c>
      <c r="DH52" s="27">
        <v>1.6489792858000001</v>
      </c>
      <c r="DI52" s="95">
        <v>3.32432E-3</v>
      </c>
      <c r="DJ52" s="96">
        <v>5.9758093E-3</v>
      </c>
      <c r="DK52" s="96">
        <v>6.7122379000000001E-3</v>
      </c>
      <c r="DL52" s="96">
        <v>6.8927922999999997E-3</v>
      </c>
      <c r="DM52" s="96">
        <v>6.9209587999999999E-3</v>
      </c>
      <c r="DN52" s="96">
        <v>6.9362636999999996E-3</v>
      </c>
      <c r="DO52" s="96">
        <v>6.9455096000000001E-3</v>
      </c>
      <c r="DP52" s="96">
        <v>6.9526422000000003E-3</v>
      </c>
      <c r="DQ52" s="96">
        <v>6.9582070999999997E-3</v>
      </c>
      <c r="DR52" s="97">
        <v>6.9631127999999999E-3</v>
      </c>
      <c r="DS52" s="93">
        <v>94.858882194000003</v>
      </c>
      <c r="DT52" s="80">
        <v>0.66072820470000004</v>
      </c>
      <c r="DU52" s="80">
        <v>48.415450456999999</v>
      </c>
      <c r="DV52" s="80">
        <v>0.35228410640000002</v>
      </c>
      <c r="DW52" s="80">
        <v>24.613065936000002</v>
      </c>
      <c r="DX52" s="80">
        <v>0.1877818363</v>
      </c>
      <c r="DY52" s="80">
        <v>12.677572447999999</v>
      </c>
      <c r="DZ52" s="80">
        <v>0.10285280300000001</v>
      </c>
      <c r="EA52" s="80">
        <v>6.7789102967000003</v>
      </c>
      <c r="EB52" s="80">
        <v>5.96772847E-2</v>
      </c>
      <c r="EC52" s="80">
        <v>3.8085423342000002</v>
      </c>
      <c r="ED52" s="80">
        <v>3.7251658600000001E-2</v>
      </c>
      <c r="EE52" s="80">
        <v>2.2774313748999999</v>
      </c>
      <c r="EF52" s="80">
        <v>2.52115012E-2</v>
      </c>
      <c r="EG52" s="80">
        <v>1.4478755347000001</v>
      </c>
      <c r="EH52" s="80">
        <v>1.83332922E-2</v>
      </c>
      <c r="EI52" s="80">
        <v>0.98055265010000003</v>
      </c>
      <c r="EJ52" s="80">
        <v>1.4161085699999999E-2</v>
      </c>
      <c r="EK52" s="80">
        <v>0.69919645090000004</v>
      </c>
      <c r="EL52" s="94">
        <v>1.14168936E-2</v>
      </c>
    </row>
    <row r="53" spans="1:142" x14ac:dyDescent="0.2">
      <c r="A53" s="79">
        <v>4800</v>
      </c>
      <c r="B53" s="27">
        <v>7126</v>
      </c>
      <c r="C53" s="79">
        <v>2460.2208039000002</v>
      </c>
      <c r="D53" s="27">
        <v>4749.2588760999997</v>
      </c>
      <c r="E53" s="27">
        <v>93.977178570999996</v>
      </c>
      <c r="F53" s="27">
        <v>0.1024248735</v>
      </c>
      <c r="G53" s="79">
        <v>7.9759376714999997</v>
      </c>
      <c r="H53" s="27">
        <v>3.4702025000000001E-3</v>
      </c>
      <c r="I53" s="27">
        <v>182.57377887999999</v>
      </c>
      <c r="J53" s="27">
        <v>1.2053514022</v>
      </c>
      <c r="K53" s="27">
        <v>101.72117067000001</v>
      </c>
      <c r="L53" s="27">
        <v>0.63423698250000005</v>
      </c>
      <c r="M53" s="27">
        <v>36.287172810999998</v>
      </c>
      <c r="N53" s="27">
        <v>0.2816682398</v>
      </c>
      <c r="O53" s="80" t="s">
        <v>136</v>
      </c>
      <c r="P53" s="80">
        <v>0</v>
      </c>
      <c r="Q53" s="27">
        <v>37.576129428999998</v>
      </c>
      <c r="R53" s="27">
        <v>6.3597473500000001E-2</v>
      </c>
      <c r="S53" s="80" t="s">
        <v>136</v>
      </c>
      <c r="T53" s="80">
        <v>0</v>
      </c>
      <c r="U53" s="80" t="s">
        <v>136</v>
      </c>
      <c r="V53" s="80">
        <v>0</v>
      </c>
      <c r="W53" s="27">
        <v>0.52168972920000001</v>
      </c>
      <c r="X53" s="27">
        <v>5.0952793E-3</v>
      </c>
      <c r="Y53" s="27">
        <v>57.12188579</v>
      </c>
      <c r="Z53" s="27">
        <v>1.2903115898999999</v>
      </c>
      <c r="AA53" s="80" t="s">
        <v>136</v>
      </c>
      <c r="AB53" s="80">
        <v>0</v>
      </c>
      <c r="AC53" s="27">
        <v>6.9774279999999995E-4</v>
      </c>
      <c r="AD53" s="27">
        <v>4.1345805000000002E-6</v>
      </c>
      <c r="AE53" s="80" t="s">
        <v>136</v>
      </c>
      <c r="AF53" s="80">
        <v>0</v>
      </c>
      <c r="AG53" s="80" t="s">
        <v>136</v>
      </c>
      <c r="AH53" s="80">
        <v>0</v>
      </c>
      <c r="AI53" s="27">
        <f t="shared" si="4"/>
        <v>6.9774279999999995E-4</v>
      </c>
      <c r="AJ53" s="27">
        <f t="shared" si="5"/>
        <v>4.1345805000000002E-6</v>
      </c>
      <c r="AK53" s="27">
        <v>142.75568025000001</v>
      </c>
      <c r="AL53" s="27">
        <v>1.8355412005</v>
      </c>
      <c r="AM53" s="80" t="s">
        <v>136</v>
      </c>
      <c r="AN53" s="80">
        <v>0</v>
      </c>
      <c r="AO53" s="80" t="s">
        <v>136</v>
      </c>
      <c r="AP53" s="80">
        <v>0</v>
      </c>
      <c r="AQ53" s="80" t="s">
        <v>136</v>
      </c>
      <c r="AR53" s="80">
        <v>0</v>
      </c>
      <c r="AS53" s="27">
        <v>82.254342159999993</v>
      </c>
      <c r="AT53" s="27">
        <v>2.5702212059999998</v>
      </c>
      <c r="AU53" s="27">
        <v>73.398459845000005</v>
      </c>
      <c r="AV53" s="27">
        <v>0.58473506040000001</v>
      </c>
      <c r="AW53" s="27">
        <v>32.189382111999997</v>
      </c>
      <c r="AX53" s="27">
        <v>0.35692817970000001</v>
      </c>
      <c r="AY53" s="27">
        <v>9.4169625563999997</v>
      </c>
      <c r="AZ53" s="27">
        <v>7.7717988399999993E-2</v>
      </c>
      <c r="BA53" s="80">
        <f t="shared" si="6"/>
        <v>31.792115176600007</v>
      </c>
      <c r="BB53" s="80">
        <f t="shared" si="7"/>
        <v>0.1500888923</v>
      </c>
      <c r="BC53" s="27">
        <v>0</v>
      </c>
      <c r="BD53" s="80">
        <v>0</v>
      </c>
      <c r="BE53" s="27">
        <v>214.50023264999999</v>
      </c>
      <c r="BF53" s="27">
        <v>2.6691940448000002</v>
      </c>
      <c r="BG53" s="27">
        <v>7.3254032000000004E-3</v>
      </c>
      <c r="BH53" s="80">
        <v>0</v>
      </c>
      <c r="BI53" s="27">
        <v>133.97612638999999</v>
      </c>
      <c r="BJ53" s="27">
        <v>4.0930002702000001</v>
      </c>
      <c r="BK53" s="27">
        <v>244.27937134000001</v>
      </c>
      <c r="BL53" s="27">
        <v>1.5915591166</v>
      </c>
      <c r="BM53" s="27">
        <v>32.852122188999999</v>
      </c>
      <c r="BN53" s="27">
        <v>0.14416053440000001</v>
      </c>
      <c r="BO53" s="27">
        <v>0.40566529769999998</v>
      </c>
      <c r="BP53" s="27">
        <v>1.7642564E-3</v>
      </c>
      <c r="BQ53" s="27">
        <v>0</v>
      </c>
      <c r="BR53" s="92">
        <v>0</v>
      </c>
      <c r="BS53" s="80" t="s">
        <v>136</v>
      </c>
      <c r="BT53" s="80">
        <v>0</v>
      </c>
      <c r="BU53" s="27">
        <v>0.95085096920000001</v>
      </c>
      <c r="BV53" s="27">
        <v>1.31278425E-2</v>
      </c>
      <c r="BW53" s="27">
        <v>35.336321841999997</v>
      </c>
      <c r="BX53" s="27">
        <v>0.26854039730000001</v>
      </c>
      <c r="BY53" s="80" t="s">
        <v>136</v>
      </c>
      <c r="BZ53" s="80">
        <v>0</v>
      </c>
      <c r="CA53" s="80" t="s">
        <v>136</v>
      </c>
      <c r="CB53" s="80">
        <v>0</v>
      </c>
      <c r="CC53" s="27">
        <v>20.239704623000002</v>
      </c>
      <c r="CD53" s="27">
        <v>2.1065164899999999E-2</v>
      </c>
      <c r="CE53" s="27">
        <v>17.336424806</v>
      </c>
      <c r="CF53" s="27">
        <v>4.2532308499999998E-2</v>
      </c>
      <c r="CG53" s="80" t="s">
        <v>136</v>
      </c>
      <c r="CH53" s="80">
        <v>0</v>
      </c>
      <c r="CI53" s="80" t="s">
        <v>136</v>
      </c>
      <c r="CJ53" s="80">
        <v>0</v>
      </c>
      <c r="CK53" s="80" t="s">
        <v>136</v>
      </c>
      <c r="CL53" s="80">
        <v>0</v>
      </c>
      <c r="CM53" s="80" t="s">
        <v>136</v>
      </c>
      <c r="CN53" s="80">
        <v>0</v>
      </c>
      <c r="CO53" s="27">
        <v>0.22039068419999999</v>
      </c>
      <c r="CP53" s="27">
        <v>2.4010583999999999E-3</v>
      </c>
      <c r="CQ53" s="27">
        <v>0.30129904499999999</v>
      </c>
      <c r="CR53" s="27">
        <v>2.6942210000000001E-3</v>
      </c>
      <c r="CS53" s="27">
        <v>5.0119819449999996</v>
      </c>
      <c r="CT53" s="27">
        <v>5.0667424500000002E-2</v>
      </c>
      <c r="CU53" s="27">
        <v>52.109903844999998</v>
      </c>
      <c r="CV53" s="27">
        <v>1.2396441654000001</v>
      </c>
      <c r="CW53" s="93" t="s">
        <v>136</v>
      </c>
      <c r="CX53" s="80">
        <v>0</v>
      </c>
      <c r="CY53" s="80" t="s">
        <v>136</v>
      </c>
      <c r="CZ53" s="94">
        <v>0</v>
      </c>
      <c r="DA53" s="27">
        <v>37.776762802</v>
      </c>
      <c r="DB53" s="27">
        <v>0.83048969250000004</v>
      </c>
      <c r="DC53" s="27">
        <v>44.477579359000003</v>
      </c>
      <c r="DD53" s="27">
        <v>1.7397315135</v>
      </c>
      <c r="DE53" s="27">
        <v>32.131177297000001</v>
      </c>
      <c r="DF53" s="27">
        <v>1.0034781247</v>
      </c>
      <c r="DG53" s="27">
        <v>182.36905535</v>
      </c>
      <c r="DH53" s="27">
        <v>1.6657159201</v>
      </c>
      <c r="DI53" s="95">
        <v>3.4475151E-3</v>
      </c>
      <c r="DJ53" s="96">
        <v>6.2058924999999999E-3</v>
      </c>
      <c r="DK53" s="96">
        <v>6.9866095000000001E-3</v>
      </c>
      <c r="DL53" s="96">
        <v>7.1846532000000001E-3</v>
      </c>
      <c r="DM53" s="96">
        <v>7.2158941999999997E-3</v>
      </c>
      <c r="DN53" s="96">
        <v>7.2326502000000003E-3</v>
      </c>
      <c r="DO53" s="96">
        <v>7.2433821000000001E-3</v>
      </c>
      <c r="DP53" s="96">
        <v>7.2520099000000001E-3</v>
      </c>
      <c r="DQ53" s="96">
        <v>7.2590768E-3</v>
      </c>
      <c r="DR53" s="97">
        <v>7.2654909000000002E-3</v>
      </c>
      <c r="DS53" s="93">
        <v>95.714982509999999</v>
      </c>
      <c r="DT53" s="80">
        <v>0.66661905860000004</v>
      </c>
      <c r="DU53" s="80">
        <v>49.008330162999997</v>
      </c>
      <c r="DV53" s="80">
        <v>0.35651668559999999</v>
      </c>
      <c r="DW53" s="80">
        <v>24.990826524999999</v>
      </c>
      <c r="DX53" s="80">
        <v>0.19058429220000001</v>
      </c>
      <c r="DY53" s="80">
        <v>12.903862947</v>
      </c>
      <c r="DZ53" s="80">
        <v>0.1046357436</v>
      </c>
      <c r="EA53" s="80">
        <v>6.9074189903000001</v>
      </c>
      <c r="EB53" s="80">
        <v>6.0789146799999999E-2</v>
      </c>
      <c r="EC53" s="80">
        <v>3.8847544912999998</v>
      </c>
      <c r="ED53" s="80">
        <v>3.7995698299999998E-2</v>
      </c>
      <c r="EE53" s="80">
        <v>2.3261977283999999</v>
      </c>
      <c r="EF53" s="80">
        <v>2.5754997599999999E-2</v>
      </c>
      <c r="EG53" s="80">
        <v>1.4801753279000001</v>
      </c>
      <c r="EH53" s="80">
        <v>1.87533088E-2</v>
      </c>
      <c r="EI53" s="80">
        <v>1.0029475047</v>
      </c>
      <c r="EJ53" s="80">
        <v>1.4501917099999999E-2</v>
      </c>
      <c r="EK53" s="80">
        <v>0.71505391979999999</v>
      </c>
      <c r="EL53" s="94">
        <v>1.1702090199999999E-2</v>
      </c>
    </row>
    <row r="54" spans="1:142" x14ac:dyDescent="0.2">
      <c r="A54" s="79">
        <v>4900</v>
      </c>
      <c r="B54" s="27">
        <v>7206</v>
      </c>
      <c r="C54" s="79">
        <v>2490.8330096999998</v>
      </c>
      <c r="D54" s="27">
        <v>4849.2738304000004</v>
      </c>
      <c r="E54" s="27">
        <v>95.883767516000006</v>
      </c>
      <c r="F54" s="27">
        <v>0.1035018369</v>
      </c>
      <c r="G54" s="79">
        <v>8.4259506566999995</v>
      </c>
      <c r="H54" s="27">
        <v>3.6112340000000001E-3</v>
      </c>
      <c r="I54" s="27">
        <v>183.66459254</v>
      </c>
      <c r="J54" s="27">
        <v>1.2127886511999999</v>
      </c>
      <c r="K54" s="27">
        <v>102.86287873000001</v>
      </c>
      <c r="L54" s="27">
        <v>0.64138993840000003</v>
      </c>
      <c r="M54" s="27">
        <v>37.042383659999999</v>
      </c>
      <c r="N54" s="27">
        <v>0.28717977039999998</v>
      </c>
      <c r="O54" s="80" t="s">
        <v>136</v>
      </c>
      <c r="P54" s="80">
        <v>0</v>
      </c>
      <c r="Q54" s="27">
        <v>38.773566285000001</v>
      </c>
      <c r="R54" s="27">
        <v>6.5382350699999994E-2</v>
      </c>
      <c r="S54" s="80" t="s">
        <v>136</v>
      </c>
      <c r="T54" s="80">
        <v>0</v>
      </c>
      <c r="U54" s="80" t="s">
        <v>136</v>
      </c>
      <c r="V54" s="80">
        <v>0</v>
      </c>
      <c r="W54" s="27">
        <v>0.54886120689999995</v>
      </c>
      <c r="X54" s="27">
        <v>5.3890177000000001E-3</v>
      </c>
      <c r="Y54" s="27">
        <v>58.351283829000003</v>
      </c>
      <c r="Z54" s="27">
        <v>1.3156934519000001</v>
      </c>
      <c r="AA54" s="80" t="s">
        <v>136</v>
      </c>
      <c r="AB54" s="80">
        <v>0</v>
      </c>
      <c r="AC54" s="27">
        <v>8.3121430000000004E-4</v>
      </c>
      <c r="AD54" s="27">
        <v>4.6514583000000002E-6</v>
      </c>
      <c r="AE54" s="80" t="s">
        <v>136</v>
      </c>
      <c r="AF54" s="80">
        <v>0</v>
      </c>
      <c r="AG54" s="80" t="s">
        <v>136</v>
      </c>
      <c r="AH54" s="80">
        <v>0</v>
      </c>
      <c r="AI54" s="27">
        <f t="shared" si="4"/>
        <v>8.3121430000000004E-4</v>
      </c>
      <c r="AJ54" s="27">
        <f t="shared" si="5"/>
        <v>4.6514583000000002E-6</v>
      </c>
      <c r="AK54" s="27">
        <v>144.33593236999999</v>
      </c>
      <c r="AL54" s="27">
        <v>1.8478628724999999</v>
      </c>
      <c r="AM54" s="80" t="s">
        <v>136</v>
      </c>
      <c r="AN54" s="80">
        <v>0</v>
      </c>
      <c r="AO54" s="80" t="s">
        <v>136</v>
      </c>
      <c r="AP54" s="80">
        <v>0</v>
      </c>
      <c r="AQ54" s="80" t="s">
        <v>136</v>
      </c>
      <c r="AR54" s="80">
        <v>0</v>
      </c>
      <c r="AS54" s="27">
        <v>83.296346802000002</v>
      </c>
      <c r="AT54" s="27">
        <v>2.5944202772999998</v>
      </c>
      <c r="AU54" s="27">
        <v>74.614380589999996</v>
      </c>
      <c r="AV54" s="27">
        <v>0.59177698639999998</v>
      </c>
      <c r="AW54" s="27">
        <v>32.694391555999999</v>
      </c>
      <c r="AX54" s="27">
        <v>0.36122474170000002</v>
      </c>
      <c r="AY54" s="27">
        <v>9.5150963312000005</v>
      </c>
      <c r="AZ54" s="27">
        <v>7.8366520699999997E-2</v>
      </c>
      <c r="BA54" s="80">
        <f t="shared" si="6"/>
        <v>32.404892702799998</v>
      </c>
      <c r="BB54" s="80">
        <f t="shared" si="7"/>
        <v>0.15218572399999997</v>
      </c>
      <c r="BC54" s="27">
        <v>0</v>
      </c>
      <c r="BD54" s="80">
        <v>0</v>
      </c>
      <c r="BE54" s="27">
        <v>218.79211230000001</v>
      </c>
      <c r="BF54" s="27">
        <v>2.6999274233000001</v>
      </c>
      <c r="BG54" s="27">
        <v>7.6761985999999997E-3</v>
      </c>
      <c r="BH54" s="80">
        <v>0</v>
      </c>
      <c r="BI54" s="27">
        <v>135.20522152999999</v>
      </c>
      <c r="BJ54" s="27">
        <v>4.1191679630999998</v>
      </c>
      <c r="BK54" s="27">
        <v>249.48464761</v>
      </c>
      <c r="BL54" s="27">
        <v>1.621645692</v>
      </c>
      <c r="BM54" s="27">
        <v>33.499915713999997</v>
      </c>
      <c r="BN54" s="27">
        <v>0.14647537460000001</v>
      </c>
      <c r="BO54" s="27">
        <v>0.41617245899999999</v>
      </c>
      <c r="BP54" s="27">
        <v>1.7975172000000001E-3</v>
      </c>
      <c r="BQ54" s="27">
        <v>0</v>
      </c>
      <c r="BR54" s="92">
        <v>0</v>
      </c>
      <c r="BS54" s="80" t="s">
        <v>136</v>
      </c>
      <c r="BT54" s="80">
        <v>0</v>
      </c>
      <c r="BU54" s="27">
        <v>0.96752046670000003</v>
      </c>
      <c r="BV54" s="27">
        <v>1.3276279199999999E-2</v>
      </c>
      <c r="BW54" s="27">
        <v>36.074863192999999</v>
      </c>
      <c r="BX54" s="27">
        <v>0.27390349120000002</v>
      </c>
      <c r="BY54" s="80" t="s">
        <v>136</v>
      </c>
      <c r="BZ54" s="80">
        <v>0</v>
      </c>
      <c r="CA54" s="80" t="s">
        <v>136</v>
      </c>
      <c r="CB54" s="80">
        <v>0</v>
      </c>
      <c r="CC54" s="27">
        <v>20.976240150999999</v>
      </c>
      <c r="CD54" s="27">
        <v>2.1718358199999999E-2</v>
      </c>
      <c r="CE54" s="27">
        <v>17.797326133999999</v>
      </c>
      <c r="CF54" s="27">
        <v>4.3663992499999998E-2</v>
      </c>
      <c r="CG54" s="80" t="s">
        <v>136</v>
      </c>
      <c r="CH54" s="80">
        <v>0</v>
      </c>
      <c r="CI54" s="80" t="s">
        <v>136</v>
      </c>
      <c r="CJ54" s="80">
        <v>0</v>
      </c>
      <c r="CK54" s="80" t="s">
        <v>136</v>
      </c>
      <c r="CL54" s="80">
        <v>0</v>
      </c>
      <c r="CM54" s="80" t="s">
        <v>136</v>
      </c>
      <c r="CN54" s="80">
        <v>0</v>
      </c>
      <c r="CO54" s="27">
        <v>0.23773117699999999</v>
      </c>
      <c r="CP54" s="27">
        <v>2.5953133999999998E-3</v>
      </c>
      <c r="CQ54" s="27">
        <v>0.31113002979999999</v>
      </c>
      <c r="CR54" s="27">
        <v>2.7937042999999998E-3</v>
      </c>
      <c r="CS54" s="27">
        <v>5.1887977727000001</v>
      </c>
      <c r="CT54" s="27">
        <v>5.22197197E-2</v>
      </c>
      <c r="CU54" s="27">
        <v>53.162486057000002</v>
      </c>
      <c r="CV54" s="27">
        <v>1.2634737322</v>
      </c>
      <c r="CW54" s="93" t="s">
        <v>136</v>
      </c>
      <c r="CX54" s="80">
        <v>0</v>
      </c>
      <c r="CY54" s="80" t="s">
        <v>136</v>
      </c>
      <c r="CZ54" s="94">
        <v>0</v>
      </c>
      <c r="DA54" s="27">
        <v>38.281302906999997</v>
      </c>
      <c r="DB54" s="27">
        <v>0.83966274620000003</v>
      </c>
      <c r="DC54" s="27">
        <v>45.015043894999998</v>
      </c>
      <c r="DD54" s="27">
        <v>1.7547575311000001</v>
      </c>
      <c r="DE54" s="27">
        <v>33.544237451000001</v>
      </c>
      <c r="DF54" s="27">
        <v>1.0171382845000001</v>
      </c>
      <c r="DG54" s="27">
        <v>185.24787484999999</v>
      </c>
      <c r="DH54" s="27">
        <v>1.6827891387</v>
      </c>
      <c r="DI54" s="95">
        <v>3.5886978999999999E-3</v>
      </c>
      <c r="DJ54" s="96">
        <v>6.4733598E-3</v>
      </c>
      <c r="DK54" s="96">
        <v>7.3007065000000003E-3</v>
      </c>
      <c r="DL54" s="96">
        <v>7.5125992999999997E-3</v>
      </c>
      <c r="DM54" s="96">
        <v>7.5476001999999999E-3</v>
      </c>
      <c r="DN54" s="96">
        <v>7.5670516999999998E-3</v>
      </c>
      <c r="DO54" s="96">
        <v>7.5792604000000001E-3</v>
      </c>
      <c r="DP54" s="96">
        <v>7.5893738999999998E-3</v>
      </c>
      <c r="DQ54" s="96">
        <v>7.5979322999999996E-3</v>
      </c>
      <c r="DR54" s="97">
        <v>7.6058439999999996E-3</v>
      </c>
      <c r="DS54" s="93">
        <v>96.585989861000002</v>
      </c>
      <c r="DT54" s="80">
        <v>0.67265163429999997</v>
      </c>
      <c r="DU54" s="80">
        <v>49.614100948000001</v>
      </c>
      <c r="DV54" s="80">
        <v>0.36086555510000001</v>
      </c>
      <c r="DW54" s="80">
        <v>25.378796765000001</v>
      </c>
      <c r="DX54" s="80">
        <v>0.1935276393</v>
      </c>
      <c r="DY54" s="80">
        <v>13.143443286</v>
      </c>
      <c r="DZ54" s="80">
        <v>0.10658699990000001</v>
      </c>
      <c r="EA54" s="80">
        <v>7.0583108748000001</v>
      </c>
      <c r="EB54" s="80">
        <v>6.21279042E-2</v>
      </c>
      <c r="EC54" s="80">
        <v>3.9817243621</v>
      </c>
      <c r="ED54" s="80">
        <v>3.8944398099999999E-2</v>
      </c>
      <c r="EE54" s="80">
        <v>2.3888519597000002</v>
      </c>
      <c r="EF54" s="80">
        <v>2.64535589E-2</v>
      </c>
      <c r="EG54" s="80">
        <v>1.5225572661</v>
      </c>
      <c r="EH54" s="80">
        <v>1.9291650099999998E-2</v>
      </c>
      <c r="EI54" s="80">
        <v>1.0324249904</v>
      </c>
      <c r="EJ54" s="80">
        <v>1.4929654800000001E-2</v>
      </c>
      <c r="EK54" s="80">
        <v>0.7358919988</v>
      </c>
      <c r="EL54" s="94">
        <v>1.20493843E-2</v>
      </c>
    </row>
    <row r="55" spans="1:142" x14ac:dyDescent="0.2">
      <c r="A55" s="79">
        <v>5000</v>
      </c>
      <c r="B55" s="27">
        <v>7149</v>
      </c>
      <c r="C55" s="79">
        <v>2520.9485749</v>
      </c>
      <c r="D55" s="27">
        <v>4949.7801396000004</v>
      </c>
      <c r="E55" s="27">
        <v>97.747349065999998</v>
      </c>
      <c r="F55" s="27">
        <v>0.1046011229</v>
      </c>
      <c r="G55" s="79">
        <v>8.7715337493999996</v>
      </c>
      <c r="H55" s="27">
        <v>3.7250682999999999E-3</v>
      </c>
      <c r="I55" s="27">
        <v>184.71818658999999</v>
      </c>
      <c r="J55" s="27">
        <v>1.2198700258999999</v>
      </c>
      <c r="K55" s="27">
        <v>104.0053791</v>
      </c>
      <c r="L55" s="27">
        <v>0.64862288000000001</v>
      </c>
      <c r="M55" s="27">
        <v>37.845669710000003</v>
      </c>
      <c r="N55" s="27">
        <v>0.29325458199999999</v>
      </c>
      <c r="O55" s="80" t="s">
        <v>136</v>
      </c>
      <c r="P55" s="80">
        <v>0</v>
      </c>
      <c r="Q55" s="27">
        <v>40.01777843</v>
      </c>
      <c r="R55" s="27">
        <v>6.7139267500000002E-2</v>
      </c>
      <c r="S55" s="80" t="s">
        <v>136</v>
      </c>
      <c r="T55" s="80">
        <v>0</v>
      </c>
      <c r="U55" s="80" t="s">
        <v>136</v>
      </c>
      <c r="V55" s="80">
        <v>0</v>
      </c>
      <c r="W55" s="27">
        <v>0.57045352100000002</v>
      </c>
      <c r="X55" s="27">
        <v>5.6095095999999997E-3</v>
      </c>
      <c r="Y55" s="27">
        <v>59.666381583000003</v>
      </c>
      <c r="Z55" s="27">
        <v>1.3428822336999999</v>
      </c>
      <c r="AA55" s="80" t="s">
        <v>136</v>
      </c>
      <c r="AB55" s="80">
        <v>0</v>
      </c>
      <c r="AC55" s="27">
        <v>8.267862E-4</v>
      </c>
      <c r="AD55" s="27">
        <v>4.6263033999999997E-6</v>
      </c>
      <c r="AE55" s="80" t="s">
        <v>136</v>
      </c>
      <c r="AF55" s="80">
        <v>0</v>
      </c>
      <c r="AG55" s="80" t="s">
        <v>136</v>
      </c>
      <c r="AH55" s="80">
        <v>0</v>
      </c>
      <c r="AI55" s="27">
        <f t="shared" si="4"/>
        <v>8.267862E-4</v>
      </c>
      <c r="AJ55" s="27">
        <f t="shared" si="5"/>
        <v>4.6263033999999997E-6</v>
      </c>
      <c r="AK55" s="27">
        <v>145.89557586999999</v>
      </c>
      <c r="AL55" s="27">
        <v>1.8600510841</v>
      </c>
      <c r="AM55" s="80" t="s">
        <v>136</v>
      </c>
      <c r="AN55" s="80">
        <v>0</v>
      </c>
      <c r="AO55" s="80" t="s">
        <v>136</v>
      </c>
      <c r="AP55" s="80">
        <v>0</v>
      </c>
      <c r="AQ55" s="80" t="s">
        <v>136</v>
      </c>
      <c r="AR55" s="80">
        <v>0</v>
      </c>
      <c r="AS55" s="27">
        <v>84.328101820000001</v>
      </c>
      <c r="AT55" s="27">
        <v>2.6187357021</v>
      </c>
      <c r="AU55" s="27">
        <v>75.805674097999997</v>
      </c>
      <c r="AV55" s="27">
        <v>0.59875245489999995</v>
      </c>
      <c r="AW55" s="27">
        <v>33.158094759000001</v>
      </c>
      <c r="AX55" s="27">
        <v>0.36547900300000002</v>
      </c>
      <c r="AY55" s="27">
        <v>9.6184805930999993</v>
      </c>
      <c r="AZ55" s="27">
        <v>7.8946846299999998E-2</v>
      </c>
      <c r="BA55" s="80">
        <f t="shared" si="6"/>
        <v>33.029098745900001</v>
      </c>
      <c r="BB55" s="80">
        <f t="shared" si="7"/>
        <v>0.15432660559999994</v>
      </c>
      <c r="BC55" s="27">
        <v>0</v>
      </c>
      <c r="BD55" s="80">
        <v>0</v>
      </c>
      <c r="BE55" s="27">
        <v>223.14065228000001</v>
      </c>
      <c r="BF55" s="27">
        <v>2.7309421483</v>
      </c>
      <c r="BG55" s="27">
        <v>7.9417668999999993E-3</v>
      </c>
      <c r="BH55" s="80">
        <v>0</v>
      </c>
      <c r="BI55" s="27">
        <v>136.48813254000001</v>
      </c>
      <c r="BJ55" s="27">
        <v>4.1446650024</v>
      </c>
      <c r="BK55" s="27">
        <v>255.00854851</v>
      </c>
      <c r="BL55" s="27">
        <v>1.6540178214000001</v>
      </c>
      <c r="BM55" s="27">
        <v>34.121916231999997</v>
      </c>
      <c r="BN55" s="27">
        <v>0.148569011</v>
      </c>
      <c r="BO55" s="27">
        <v>0.43457165419999999</v>
      </c>
      <c r="BP55" s="27">
        <v>1.8265573E-3</v>
      </c>
      <c r="BQ55" s="27">
        <v>0</v>
      </c>
      <c r="BR55" s="92">
        <v>0</v>
      </c>
      <c r="BS55" s="80" t="s">
        <v>136</v>
      </c>
      <c r="BT55" s="80">
        <v>0</v>
      </c>
      <c r="BU55" s="27">
        <v>0.99746659969999996</v>
      </c>
      <c r="BV55" s="27">
        <v>1.3679742700000001E-2</v>
      </c>
      <c r="BW55" s="27">
        <v>36.848203110999997</v>
      </c>
      <c r="BX55" s="27">
        <v>0.27957483929999999</v>
      </c>
      <c r="BY55" s="80" t="s">
        <v>136</v>
      </c>
      <c r="BZ55" s="80">
        <v>0</v>
      </c>
      <c r="CA55" s="80" t="s">
        <v>136</v>
      </c>
      <c r="CB55" s="80">
        <v>0</v>
      </c>
      <c r="CC55" s="27">
        <v>21.739580567000001</v>
      </c>
      <c r="CD55" s="27">
        <v>2.2365723000000001E-2</v>
      </c>
      <c r="CE55" s="27">
        <v>18.278197862999999</v>
      </c>
      <c r="CF55" s="27">
        <v>4.4773544499999998E-2</v>
      </c>
      <c r="CG55" s="80" t="s">
        <v>136</v>
      </c>
      <c r="CH55" s="80">
        <v>0</v>
      </c>
      <c r="CI55" s="80" t="s">
        <v>136</v>
      </c>
      <c r="CJ55" s="80">
        <v>0</v>
      </c>
      <c r="CK55" s="80" t="s">
        <v>136</v>
      </c>
      <c r="CL55" s="80">
        <v>0</v>
      </c>
      <c r="CM55" s="80" t="s">
        <v>136</v>
      </c>
      <c r="CN55" s="80">
        <v>0</v>
      </c>
      <c r="CO55" s="27">
        <v>0.24932718179999999</v>
      </c>
      <c r="CP55" s="27">
        <v>2.719515E-3</v>
      </c>
      <c r="CQ55" s="27">
        <v>0.3211263392</v>
      </c>
      <c r="CR55" s="27">
        <v>2.8899946000000001E-3</v>
      </c>
      <c r="CS55" s="27">
        <v>5.3899485487999996</v>
      </c>
      <c r="CT55" s="27">
        <v>5.39316876E-2</v>
      </c>
      <c r="CU55" s="27">
        <v>54.276433034</v>
      </c>
      <c r="CV55" s="27">
        <v>1.2889505460999999</v>
      </c>
      <c r="CW55" s="93" t="s">
        <v>136</v>
      </c>
      <c r="CX55" s="80">
        <v>0</v>
      </c>
      <c r="CY55" s="80" t="s">
        <v>136</v>
      </c>
      <c r="CZ55" s="94">
        <v>0</v>
      </c>
      <c r="DA55" s="27">
        <v>38.798471089000003</v>
      </c>
      <c r="DB55" s="27">
        <v>0.84904269139999999</v>
      </c>
      <c r="DC55" s="27">
        <v>45.529630730999997</v>
      </c>
      <c r="DD55" s="27">
        <v>1.7696930108</v>
      </c>
      <c r="DE55" s="27">
        <v>34.948103113000002</v>
      </c>
      <c r="DF55" s="27">
        <v>1.0309079138999999</v>
      </c>
      <c r="DG55" s="27">
        <v>188.19254917000001</v>
      </c>
      <c r="DH55" s="27">
        <v>1.7000342344999999</v>
      </c>
      <c r="DI55" s="95">
        <v>3.7021427000000001E-3</v>
      </c>
      <c r="DJ55" s="96">
        <v>6.6827242000000002E-3</v>
      </c>
      <c r="DK55" s="96">
        <v>7.5495487000000003E-3</v>
      </c>
      <c r="DL55" s="96">
        <v>7.7747665000000004E-3</v>
      </c>
      <c r="DM55" s="96">
        <v>7.8140954000000002E-3</v>
      </c>
      <c r="DN55" s="96">
        <v>7.8334171999999997E-3</v>
      </c>
      <c r="DO55" s="96">
        <v>7.8455383999999993E-3</v>
      </c>
      <c r="DP55" s="96">
        <v>7.8555740000000006E-3</v>
      </c>
      <c r="DQ55" s="96">
        <v>7.8640615999999997E-3</v>
      </c>
      <c r="DR55" s="97">
        <v>7.8719085999999997E-3</v>
      </c>
      <c r="DS55" s="93">
        <v>97.420876913000001</v>
      </c>
      <c r="DT55" s="80">
        <v>0.67837838289999997</v>
      </c>
      <c r="DU55" s="80">
        <v>50.190812315000002</v>
      </c>
      <c r="DV55" s="80">
        <v>0.36497544900000001</v>
      </c>
      <c r="DW55" s="80">
        <v>25.751118400999999</v>
      </c>
      <c r="DX55" s="80">
        <v>0.1962953452</v>
      </c>
      <c r="DY55" s="80">
        <v>13.372293119</v>
      </c>
      <c r="DZ55" s="80">
        <v>0.1083935538</v>
      </c>
      <c r="EA55" s="80">
        <v>7.1994321254000004</v>
      </c>
      <c r="EB55" s="80">
        <v>6.3337637399999994E-2</v>
      </c>
      <c r="EC55" s="80">
        <v>4.0704042921000001</v>
      </c>
      <c r="ED55" s="80">
        <v>3.9786833600000002E-2</v>
      </c>
      <c r="EE55" s="80">
        <v>2.4459183494999999</v>
      </c>
      <c r="EF55" s="80">
        <v>2.7066136899999999E-2</v>
      </c>
      <c r="EG55" s="80">
        <v>1.5618591476000001</v>
      </c>
      <c r="EH55" s="80">
        <v>1.9765776700000001E-2</v>
      </c>
      <c r="EI55" s="80">
        <v>1.0610614711999999</v>
      </c>
      <c r="EJ55" s="80">
        <v>1.53124113E-2</v>
      </c>
      <c r="EK55" s="80">
        <v>0.75783613640000003</v>
      </c>
      <c r="EL55" s="94">
        <v>1.2371169499999999E-2</v>
      </c>
    </row>
    <row r="56" spans="1:142" x14ac:dyDescent="0.2">
      <c r="A56" s="79">
        <v>5100</v>
      </c>
      <c r="B56" s="27">
        <v>6763</v>
      </c>
      <c r="C56" s="79">
        <v>2550.4216971999999</v>
      </c>
      <c r="D56" s="27">
        <v>5049.9749576000004</v>
      </c>
      <c r="E56" s="27">
        <v>99.381632972999995</v>
      </c>
      <c r="F56" s="27">
        <v>0.10558289830000001</v>
      </c>
      <c r="G56" s="79">
        <v>9.1418434523999998</v>
      </c>
      <c r="H56" s="27">
        <v>3.8392350999999999E-3</v>
      </c>
      <c r="I56" s="27">
        <v>185.72305510000001</v>
      </c>
      <c r="J56" s="27">
        <v>1.2267383458000001</v>
      </c>
      <c r="K56" s="27">
        <v>105.15859931</v>
      </c>
      <c r="L56" s="27">
        <v>0.65635846909999995</v>
      </c>
      <c r="M56" s="27">
        <v>38.571000892999997</v>
      </c>
      <c r="N56" s="27">
        <v>0.29859294419999999</v>
      </c>
      <c r="O56" s="80" t="s">
        <v>136</v>
      </c>
      <c r="P56" s="80">
        <v>0</v>
      </c>
      <c r="Q56" s="27">
        <v>41.386211433</v>
      </c>
      <c r="R56" s="27">
        <v>6.9034471700000002E-2</v>
      </c>
      <c r="S56" s="80" t="s">
        <v>136</v>
      </c>
      <c r="T56" s="80">
        <v>0</v>
      </c>
      <c r="U56" s="80" t="s">
        <v>136</v>
      </c>
      <c r="V56" s="80">
        <v>0</v>
      </c>
      <c r="W56" s="27">
        <v>0.57786678209999998</v>
      </c>
      <c r="X56" s="27">
        <v>5.6568853999999997E-3</v>
      </c>
      <c r="Y56" s="27">
        <v>60.848212218</v>
      </c>
      <c r="Z56" s="27">
        <v>1.3672321883</v>
      </c>
      <c r="AA56" s="80" t="s">
        <v>136</v>
      </c>
      <c r="AB56" s="80">
        <v>0</v>
      </c>
      <c r="AC56" s="27">
        <v>8.2262359999999996E-4</v>
      </c>
      <c r="AD56" s="27">
        <v>4.6024663999999996E-6</v>
      </c>
      <c r="AE56" s="80" t="s">
        <v>136</v>
      </c>
      <c r="AF56" s="80">
        <v>0</v>
      </c>
      <c r="AG56" s="80" t="s">
        <v>136</v>
      </c>
      <c r="AH56" s="80">
        <v>0</v>
      </c>
      <c r="AI56" s="27">
        <f t="shared" si="4"/>
        <v>8.2262359999999996E-4</v>
      </c>
      <c r="AJ56" s="27">
        <f t="shared" si="5"/>
        <v>4.6024663999999996E-6</v>
      </c>
      <c r="AK56" s="27">
        <v>147.32643942999999</v>
      </c>
      <c r="AL56" s="27">
        <v>1.8718247859999999</v>
      </c>
      <c r="AM56" s="80" t="s">
        <v>136</v>
      </c>
      <c r="AN56" s="80">
        <v>0</v>
      </c>
      <c r="AO56" s="80" t="s">
        <v>136</v>
      </c>
      <c r="AP56" s="80">
        <v>0</v>
      </c>
      <c r="AQ56" s="80" t="s">
        <v>136</v>
      </c>
      <c r="AR56" s="80">
        <v>0</v>
      </c>
      <c r="AS56" s="27">
        <v>85.368681717000001</v>
      </c>
      <c r="AT56" s="27">
        <v>2.6432706669999999</v>
      </c>
      <c r="AU56" s="27">
        <v>76.978707760000006</v>
      </c>
      <c r="AV56" s="27">
        <v>0.60581363089999996</v>
      </c>
      <c r="AW56" s="27">
        <v>33.634668486999999</v>
      </c>
      <c r="AX56" s="27">
        <v>0.36973803170000002</v>
      </c>
      <c r="AY56" s="27">
        <v>9.7227515956000001</v>
      </c>
      <c r="AZ56" s="27">
        <v>7.9616704499999996E-2</v>
      </c>
      <c r="BA56" s="80">
        <f t="shared" si="6"/>
        <v>33.621287677400005</v>
      </c>
      <c r="BB56" s="80">
        <f t="shared" si="7"/>
        <v>0.15645889469999996</v>
      </c>
      <c r="BC56" s="27">
        <v>0</v>
      </c>
      <c r="BD56" s="80">
        <v>0</v>
      </c>
      <c r="BE56" s="27">
        <v>227.12779699999999</v>
      </c>
      <c r="BF56" s="27">
        <v>2.7594413085</v>
      </c>
      <c r="BG56" s="27">
        <v>8.2033043000000003E-3</v>
      </c>
      <c r="BH56" s="80">
        <v>0</v>
      </c>
      <c r="BI56" s="27">
        <v>137.65919385000001</v>
      </c>
      <c r="BJ56" s="27">
        <v>4.1695296199999996</v>
      </c>
      <c r="BK56" s="27">
        <v>260.30060615999997</v>
      </c>
      <c r="BL56" s="27">
        <v>1.6849799661</v>
      </c>
      <c r="BM56" s="27">
        <v>34.784825708</v>
      </c>
      <c r="BN56" s="27">
        <v>0.15085427160000001</v>
      </c>
      <c r="BO56" s="27">
        <v>0.45571541939999999</v>
      </c>
      <c r="BP56" s="27">
        <v>1.8697544000000001E-3</v>
      </c>
      <c r="BQ56" s="27">
        <v>0</v>
      </c>
      <c r="BR56" s="92">
        <v>0</v>
      </c>
      <c r="BS56" s="80" t="s">
        <v>136</v>
      </c>
      <c r="BT56" s="80">
        <v>0</v>
      </c>
      <c r="BU56" s="27">
        <v>1.0151466596000001</v>
      </c>
      <c r="BV56" s="27">
        <v>1.39018978E-2</v>
      </c>
      <c r="BW56" s="27">
        <v>37.555854234000002</v>
      </c>
      <c r="BX56" s="27">
        <v>0.28469104639999998</v>
      </c>
      <c r="BY56" s="80" t="s">
        <v>136</v>
      </c>
      <c r="BZ56" s="80">
        <v>0</v>
      </c>
      <c r="CA56" s="80" t="s">
        <v>136</v>
      </c>
      <c r="CB56" s="80">
        <v>0</v>
      </c>
      <c r="CC56" s="27">
        <v>22.586370532</v>
      </c>
      <c r="CD56" s="27">
        <v>2.30601917E-2</v>
      </c>
      <c r="CE56" s="27">
        <v>18.799840901</v>
      </c>
      <c r="CF56" s="27">
        <v>4.5974279999999999E-2</v>
      </c>
      <c r="CG56" s="80" t="s">
        <v>136</v>
      </c>
      <c r="CH56" s="80">
        <v>0</v>
      </c>
      <c r="CI56" s="80" t="s">
        <v>136</v>
      </c>
      <c r="CJ56" s="80">
        <v>0</v>
      </c>
      <c r="CK56" s="80" t="s">
        <v>136</v>
      </c>
      <c r="CL56" s="80">
        <v>0</v>
      </c>
      <c r="CM56" s="80" t="s">
        <v>136</v>
      </c>
      <c r="CN56" s="80">
        <v>0</v>
      </c>
      <c r="CO56" s="27">
        <v>0.25415650010000002</v>
      </c>
      <c r="CP56" s="27">
        <v>2.7506516E-3</v>
      </c>
      <c r="CQ56" s="27">
        <v>0.32371028200000002</v>
      </c>
      <c r="CR56" s="27">
        <v>2.9062338000000001E-3</v>
      </c>
      <c r="CS56" s="27">
        <v>5.5637754107999999</v>
      </c>
      <c r="CT56" s="27">
        <v>5.5391233599999999E-2</v>
      </c>
      <c r="CU56" s="27">
        <v>55.284436806999999</v>
      </c>
      <c r="CV56" s="27">
        <v>1.3118409547000001</v>
      </c>
      <c r="CW56" s="93" t="s">
        <v>136</v>
      </c>
      <c r="CX56" s="80">
        <v>0</v>
      </c>
      <c r="CY56" s="80" t="s">
        <v>136</v>
      </c>
      <c r="CZ56" s="94">
        <v>0</v>
      </c>
      <c r="DA56" s="27">
        <v>39.328607708</v>
      </c>
      <c r="DB56" s="27">
        <v>0.85877621250000002</v>
      </c>
      <c r="DC56" s="27">
        <v>46.040074009000001</v>
      </c>
      <c r="DD56" s="27">
        <v>1.7844944545000001</v>
      </c>
      <c r="DE56" s="27">
        <v>36.244422081000003</v>
      </c>
      <c r="DF56" s="27">
        <v>1.0444468306000001</v>
      </c>
      <c r="DG56" s="27">
        <v>190.88337491999999</v>
      </c>
      <c r="DH56" s="27">
        <v>1.7149944778999999</v>
      </c>
      <c r="DI56" s="95">
        <v>3.8143711E-3</v>
      </c>
      <c r="DJ56" s="96">
        <v>6.8946214000000002E-3</v>
      </c>
      <c r="DK56" s="96">
        <v>7.7973901E-3</v>
      </c>
      <c r="DL56" s="96">
        <v>8.0368262999999992E-3</v>
      </c>
      <c r="DM56" s="96">
        <v>8.0764804000000006E-3</v>
      </c>
      <c r="DN56" s="96">
        <v>8.095685E-3</v>
      </c>
      <c r="DO56" s="96">
        <v>8.1077280999999994E-3</v>
      </c>
      <c r="DP56" s="96">
        <v>8.1176935000000002E-3</v>
      </c>
      <c r="DQ56" s="96">
        <v>8.1261166000000003E-3</v>
      </c>
      <c r="DR56" s="97">
        <v>8.1339047999999994E-3</v>
      </c>
      <c r="DS56" s="93">
        <v>98.226201943999996</v>
      </c>
      <c r="DT56" s="80">
        <v>0.68397980290000004</v>
      </c>
      <c r="DU56" s="80">
        <v>50.743868698</v>
      </c>
      <c r="DV56" s="80">
        <v>0.36898414509999999</v>
      </c>
      <c r="DW56" s="80">
        <v>26.100201106</v>
      </c>
      <c r="DX56" s="80">
        <v>0.19895862619999999</v>
      </c>
      <c r="DY56" s="80">
        <v>13.591202558999999</v>
      </c>
      <c r="DZ56" s="80">
        <v>0.11015485630000001</v>
      </c>
      <c r="EA56" s="80">
        <v>7.3362817604000004</v>
      </c>
      <c r="EB56" s="80">
        <v>6.4513281300000003E-2</v>
      </c>
      <c r="EC56" s="80">
        <v>4.1598114347999999</v>
      </c>
      <c r="ED56" s="80">
        <v>4.0614118300000002E-2</v>
      </c>
      <c r="EE56" s="80">
        <v>2.5082803776999998</v>
      </c>
      <c r="EF56" s="80">
        <v>2.7689596800000001E-2</v>
      </c>
      <c r="EG56" s="80">
        <v>1.6074780687000001</v>
      </c>
      <c r="EH56" s="80">
        <v>2.0256599699999999E-2</v>
      </c>
      <c r="EI56" s="80">
        <v>1.095639655</v>
      </c>
      <c r="EJ56" s="80">
        <v>1.5711303100000001E-2</v>
      </c>
      <c r="EK56" s="80">
        <v>0.78415972300000003</v>
      </c>
      <c r="EL56" s="94">
        <v>1.26978738E-2</v>
      </c>
    </row>
    <row r="57" spans="1:142" x14ac:dyDescent="0.2">
      <c r="A57" s="79">
        <v>5200</v>
      </c>
      <c r="B57" s="27">
        <v>6800</v>
      </c>
      <c r="C57" s="79">
        <v>2579.6483091</v>
      </c>
      <c r="D57" s="27">
        <v>5149.9576890999997</v>
      </c>
      <c r="E57" s="27">
        <v>101.23616633</v>
      </c>
      <c r="F57" s="27">
        <v>0.1066874895</v>
      </c>
      <c r="G57" s="79">
        <v>9.5382316203999995</v>
      </c>
      <c r="H57" s="27">
        <v>3.9613206000000001E-3</v>
      </c>
      <c r="I57" s="27">
        <v>186.76346258000001</v>
      </c>
      <c r="J57" s="27">
        <v>1.233773845</v>
      </c>
      <c r="K57" s="27">
        <v>106.28413894000001</v>
      </c>
      <c r="L57" s="27">
        <v>0.66370594390000004</v>
      </c>
      <c r="M57" s="27">
        <v>39.316575767000003</v>
      </c>
      <c r="N57" s="27">
        <v>0.30386142220000001</v>
      </c>
      <c r="O57" s="80" t="s">
        <v>136</v>
      </c>
      <c r="P57" s="80">
        <v>0</v>
      </c>
      <c r="Q57" s="27">
        <v>42.576774208000003</v>
      </c>
      <c r="R57" s="27">
        <v>7.0776454000000003E-2</v>
      </c>
      <c r="S57" s="80" t="s">
        <v>136</v>
      </c>
      <c r="T57" s="80">
        <v>0</v>
      </c>
      <c r="U57" s="80" t="s">
        <v>136</v>
      </c>
      <c r="V57" s="80">
        <v>0</v>
      </c>
      <c r="W57" s="27">
        <v>0.6114677771</v>
      </c>
      <c r="X57" s="27">
        <v>5.9680797999999997E-3</v>
      </c>
      <c r="Y57" s="27">
        <v>62.070943489000001</v>
      </c>
      <c r="Z57" s="27">
        <v>1.3930525798</v>
      </c>
      <c r="AA57" s="80" t="s">
        <v>136</v>
      </c>
      <c r="AB57" s="80">
        <v>0</v>
      </c>
      <c r="AC57" s="27">
        <v>8.1857580000000004E-4</v>
      </c>
      <c r="AD57" s="27">
        <v>4.5792062999999997E-6</v>
      </c>
      <c r="AE57" s="80" t="s">
        <v>136</v>
      </c>
      <c r="AF57" s="80">
        <v>0</v>
      </c>
      <c r="AG57" s="80" t="s">
        <v>136</v>
      </c>
      <c r="AH57" s="80">
        <v>0</v>
      </c>
      <c r="AI57" s="27">
        <f t="shared" si="4"/>
        <v>8.1857580000000004E-4</v>
      </c>
      <c r="AJ57" s="27">
        <f t="shared" si="5"/>
        <v>4.5792062999999997E-6</v>
      </c>
      <c r="AK57" s="27">
        <v>148.74303259000001</v>
      </c>
      <c r="AL57" s="27">
        <v>1.8827903708</v>
      </c>
      <c r="AM57" s="80" t="s">
        <v>136</v>
      </c>
      <c r="AN57" s="80">
        <v>0</v>
      </c>
      <c r="AO57" s="80" t="s">
        <v>136</v>
      </c>
      <c r="AP57" s="80">
        <v>0</v>
      </c>
      <c r="AQ57" s="80" t="s">
        <v>136</v>
      </c>
      <c r="AR57" s="80">
        <v>0</v>
      </c>
      <c r="AS57" s="27">
        <v>86.353244747000005</v>
      </c>
      <c r="AT57" s="27">
        <v>2.6648721194</v>
      </c>
      <c r="AU57" s="27">
        <v>78.13209852</v>
      </c>
      <c r="AV57" s="27">
        <v>0.61288109580000005</v>
      </c>
      <c r="AW57" s="27">
        <v>34.107133717000004</v>
      </c>
      <c r="AX57" s="27">
        <v>0.37397823810000003</v>
      </c>
      <c r="AY57" s="27">
        <v>9.8332156779000002</v>
      </c>
      <c r="AZ57" s="27">
        <v>8.0333602099999998E-2</v>
      </c>
      <c r="BA57" s="80">
        <f t="shared" si="6"/>
        <v>34.191749125099996</v>
      </c>
      <c r="BB57" s="80">
        <f t="shared" si="7"/>
        <v>0.15856925560000001</v>
      </c>
      <c r="BC57" s="27">
        <v>0</v>
      </c>
      <c r="BD57" s="80">
        <v>0</v>
      </c>
      <c r="BE57" s="27">
        <v>231.36517839999999</v>
      </c>
      <c r="BF57" s="27">
        <v>2.7896214195</v>
      </c>
      <c r="BG57" s="27">
        <v>8.4720967000000008E-3</v>
      </c>
      <c r="BH57" s="80">
        <v>0</v>
      </c>
      <c r="BI57" s="27">
        <v>138.85003169999999</v>
      </c>
      <c r="BJ57" s="27">
        <v>4.1943173157000002</v>
      </c>
      <c r="BK57" s="27">
        <v>265.86541333000002</v>
      </c>
      <c r="BL57" s="27">
        <v>1.7164121823</v>
      </c>
      <c r="BM57" s="27">
        <v>35.421185635999997</v>
      </c>
      <c r="BN57" s="27">
        <v>0.1529439652</v>
      </c>
      <c r="BO57" s="27">
        <v>0.47295868289999998</v>
      </c>
      <c r="BP57" s="27">
        <v>1.8994087E-3</v>
      </c>
      <c r="BQ57" s="27">
        <v>0</v>
      </c>
      <c r="BR57" s="92">
        <v>0</v>
      </c>
      <c r="BS57" s="80" t="s">
        <v>136</v>
      </c>
      <c r="BT57" s="80">
        <v>0</v>
      </c>
      <c r="BU57" s="27">
        <v>1.0349289072000001</v>
      </c>
      <c r="BV57" s="27">
        <v>1.40615755E-2</v>
      </c>
      <c r="BW57" s="27">
        <v>38.281646860000002</v>
      </c>
      <c r="BX57" s="27">
        <v>0.28979984660000002</v>
      </c>
      <c r="BY57" s="80" t="s">
        <v>136</v>
      </c>
      <c r="BZ57" s="80">
        <v>0</v>
      </c>
      <c r="CA57" s="80" t="s">
        <v>136</v>
      </c>
      <c r="CB57" s="80">
        <v>0</v>
      </c>
      <c r="CC57" s="27">
        <v>23.33478955</v>
      </c>
      <c r="CD57" s="27">
        <v>2.3718584899999999E-2</v>
      </c>
      <c r="CE57" s="27">
        <v>19.241984658</v>
      </c>
      <c r="CF57" s="27">
        <v>4.7057869099999997E-2</v>
      </c>
      <c r="CG57" s="80" t="s">
        <v>136</v>
      </c>
      <c r="CH57" s="80">
        <v>0</v>
      </c>
      <c r="CI57" s="80" t="s">
        <v>136</v>
      </c>
      <c r="CJ57" s="80">
        <v>0</v>
      </c>
      <c r="CK57" s="80" t="s">
        <v>136</v>
      </c>
      <c r="CL57" s="80">
        <v>0</v>
      </c>
      <c r="CM57" s="80" t="s">
        <v>136</v>
      </c>
      <c r="CN57" s="80">
        <v>0</v>
      </c>
      <c r="CO57" s="27">
        <v>0.26227384450000002</v>
      </c>
      <c r="CP57" s="27">
        <v>2.8720130000000001E-3</v>
      </c>
      <c r="CQ57" s="27">
        <v>0.34919393250000003</v>
      </c>
      <c r="CR57" s="27">
        <v>3.0960668E-3</v>
      </c>
      <c r="CS57" s="27">
        <v>5.7358419432999996</v>
      </c>
      <c r="CT57" s="27">
        <v>5.7094514899999997E-2</v>
      </c>
      <c r="CU57" s="27">
        <v>56.335101545999997</v>
      </c>
      <c r="CV57" s="27">
        <v>1.3359580649</v>
      </c>
      <c r="CW57" s="93" t="s">
        <v>136</v>
      </c>
      <c r="CX57" s="80">
        <v>0</v>
      </c>
      <c r="CY57" s="80" t="s">
        <v>136</v>
      </c>
      <c r="CZ57" s="94">
        <v>0</v>
      </c>
      <c r="DA57" s="27">
        <v>39.829023476000003</v>
      </c>
      <c r="DB57" s="27">
        <v>0.86801590660000005</v>
      </c>
      <c r="DC57" s="27">
        <v>46.524221271000002</v>
      </c>
      <c r="DD57" s="27">
        <v>1.7968562128000001</v>
      </c>
      <c r="DE57" s="27">
        <v>37.721115482000002</v>
      </c>
      <c r="DF57" s="27">
        <v>1.05818995</v>
      </c>
      <c r="DG57" s="27">
        <v>193.64406292000001</v>
      </c>
      <c r="DH57" s="27">
        <v>1.7314314694999999</v>
      </c>
      <c r="DI57" s="95">
        <v>3.9338254000000003E-3</v>
      </c>
      <c r="DJ57" s="96">
        <v>7.1179970999999996E-3</v>
      </c>
      <c r="DK57" s="96">
        <v>8.0547651999999994E-3</v>
      </c>
      <c r="DL57" s="96">
        <v>8.3052591999999998E-3</v>
      </c>
      <c r="DM57" s="96">
        <v>8.3461192999999996E-3</v>
      </c>
      <c r="DN57" s="96">
        <v>8.3652065999999994E-3</v>
      </c>
      <c r="DO57" s="96">
        <v>8.3771707000000004E-3</v>
      </c>
      <c r="DP57" s="96">
        <v>8.3870657999999994E-3</v>
      </c>
      <c r="DQ57" s="96">
        <v>8.3954249999999998E-3</v>
      </c>
      <c r="DR57" s="97">
        <v>8.4031551000000003E-3</v>
      </c>
      <c r="DS57" s="93">
        <v>99.058373908999997</v>
      </c>
      <c r="DT57" s="80">
        <v>0.68966274029999997</v>
      </c>
      <c r="DU57" s="80">
        <v>51.332175685999999</v>
      </c>
      <c r="DV57" s="80">
        <v>0.373117007</v>
      </c>
      <c r="DW57" s="80">
        <v>26.487059782999999</v>
      </c>
      <c r="DX57" s="80">
        <v>0.2017810042</v>
      </c>
      <c r="DY57" s="80">
        <v>13.841640708</v>
      </c>
      <c r="DZ57" s="80">
        <v>0.1120575066</v>
      </c>
      <c r="EA57" s="80">
        <v>7.4943142655999999</v>
      </c>
      <c r="EB57" s="80">
        <v>6.5785304399999994E-2</v>
      </c>
      <c r="EC57" s="80">
        <v>4.2607484782</v>
      </c>
      <c r="ED57" s="80">
        <v>4.14825729E-2</v>
      </c>
      <c r="EE57" s="80">
        <v>2.5746626860999999</v>
      </c>
      <c r="EF57" s="80">
        <v>2.8305431200000002E-2</v>
      </c>
      <c r="EG57" s="80">
        <v>1.6507830534000001</v>
      </c>
      <c r="EH57" s="80">
        <v>2.0697756500000001E-2</v>
      </c>
      <c r="EI57" s="80">
        <v>1.1246988937</v>
      </c>
      <c r="EJ57" s="80">
        <v>1.60400253E-2</v>
      </c>
      <c r="EK57" s="80">
        <v>0.80400436490000005</v>
      </c>
      <c r="EL57" s="94">
        <v>1.29516302E-2</v>
      </c>
    </row>
    <row r="58" spans="1:142" x14ac:dyDescent="0.2">
      <c r="A58" s="79">
        <v>5300</v>
      </c>
      <c r="B58" s="27">
        <v>6431</v>
      </c>
      <c r="C58" s="79">
        <v>2608.2551524999999</v>
      </c>
      <c r="D58" s="27">
        <v>5250.1140722999999</v>
      </c>
      <c r="E58" s="27">
        <v>102.86365326000001</v>
      </c>
      <c r="F58" s="27">
        <v>0.1077099148</v>
      </c>
      <c r="G58" s="79">
        <v>9.9613717957999999</v>
      </c>
      <c r="H58" s="27">
        <v>4.0853662000000001E-3</v>
      </c>
      <c r="I58" s="27">
        <v>187.73348723000001</v>
      </c>
      <c r="J58" s="27">
        <v>1.2404584224999999</v>
      </c>
      <c r="K58" s="27">
        <v>107.3311676</v>
      </c>
      <c r="L58" s="27">
        <v>0.67029695140000001</v>
      </c>
      <c r="M58" s="27">
        <v>40.044727717000001</v>
      </c>
      <c r="N58" s="27">
        <v>0.3092212533</v>
      </c>
      <c r="O58" s="80" t="s">
        <v>136</v>
      </c>
      <c r="P58" s="80">
        <v>0</v>
      </c>
      <c r="Q58" s="27">
        <v>43.747792928000003</v>
      </c>
      <c r="R58" s="27">
        <v>7.2465611299999996E-2</v>
      </c>
      <c r="S58" s="80" t="s">
        <v>136</v>
      </c>
      <c r="T58" s="80">
        <v>0</v>
      </c>
      <c r="U58" s="80" t="s">
        <v>136</v>
      </c>
      <c r="V58" s="80">
        <v>0</v>
      </c>
      <c r="W58" s="27">
        <v>0.63503027170000004</v>
      </c>
      <c r="X58" s="27">
        <v>6.1696670000000002E-3</v>
      </c>
      <c r="Y58" s="27">
        <v>63.267748517000001</v>
      </c>
      <c r="Z58" s="27">
        <v>1.4179042182999999</v>
      </c>
      <c r="AA58" s="80" t="s">
        <v>136</v>
      </c>
      <c r="AB58" s="80">
        <v>0</v>
      </c>
      <c r="AC58" s="27">
        <v>1.1222948999999999E-3</v>
      </c>
      <c r="AD58" s="27">
        <v>6.9266226999999996E-6</v>
      </c>
      <c r="AE58" s="80" t="s">
        <v>136</v>
      </c>
      <c r="AF58" s="80">
        <v>0</v>
      </c>
      <c r="AG58" s="80" t="s">
        <v>136</v>
      </c>
      <c r="AH58" s="80">
        <v>0</v>
      </c>
      <c r="AI58" s="27">
        <f t="shared" si="4"/>
        <v>1.1222948999999999E-3</v>
      </c>
      <c r="AJ58" s="27">
        <f t="shared" si="5"/>
        <v>6.9266226999999996E-6</v>
      </c>
      <c r="AK58" s="27">
        <v>150.22634020999999</v>
      </c>
      <c r="AL58" s="27">
        <v>1.8936270012</v>
      </c>
      <c r="AM58" s="80" t="s">
        <v>136</v>
      </c>
      <c r="AN58" s="80">
        <v>0</v>
      </c>
      <c r="AO58" s="80" t="s">
        <v>136</v>
      </c>
      <c r="AP58" s="80">
        <v>0</v>
      </c>
      <c r="AQ58" s="80" t="s">
        <v>136</v>
      </c>
      <c r="AR58" s="80">
        <v>0</v>
      </c>
      <c r="AS58" s="27">
        <v>87.298948917000004</v>
      </c>
      <c r="AT58" s="27">
        <v>2.6861216213999999</v>
      </c>
      <c r="AU58" s="27">
        <v>79.204173865000001</v>
      </c>
      <c r="AV58" s="27">
        <v>0.61914286919999995</v>
      </c>
      <c r="AW58" s="27">
        <v>34.531447329999999</v>
      </c>
      <c r="AX58" s="27">
        <v>0.37776643310000002</v>
      </c>
      <c r="AY58" s="27">
        <v>9.9125748973000007</v>
      </c>
      <c r="AZ58" s="27">
        <v>8.0896190600000001E-2</v>
      </c>
      <c r="BA58" s="80">
        <f t="shared" si="6"/>
        <v>34.760151637700005</v>
      </c>
      <c r="BB58" s="80">
        <f t="shared" si="7"/>
        <v>0.16048024549999995</v>
      </c>
      <c r="BC58" s="27">
        <v>0</v>
      </c>
      <c r="BD58" s="80">
        <v>0</v>
      </c>
      <c r="BE58" s="27">
        <v>235.45735045999999</v>
      </c>
      <c r="BF58" s="27">
        <v>2.8182200800000001</v>
      </c>
      <c r="BG58" s="27">
        <v>8.7578774000000009E-3</v>
      </c>
      <c r="BH58" s="80">
        <v>0</v>
      </c>
      <c r="BI58" s="27">
        <v>140.02166758999999</v>
      </c>
      <c r="BJ58" s="27">
        <v>4.2171219065000001</v>
      </c>
      <c r="BK58" s="27">
        <v>271.07192895999998</v>
      </c>
      <c r="BL58" s="27">
        <v>1.7454343966000001</v>
      </c>
      <c r="BM58" s="27">
        <v>36.065813517000002</v>
      </c>
      <c r="BN58" s="27">
        <v>0.15510232390000001</v>
      </c>
      <c r="BO58" s="27">
        <v>0.4926250398</v>
      </c>
      <c r="BP58" s="27">
        <v>1.9347326E-3</v>
      </c>
      <c r="BQ58" s="27">
        <v>0</v>
      </c>
      <c r="BR58" s="92">
        <v>0</v>
      </c>
      <c r="BS58" s="80" t="s">
        <v>136</v>
      </c>
      <c r="BT58" s="80">
        <v>0</v>
      </c>
      <c r="BU58" s="27">
        <v>1.0516373941999999</v>
      </c>
      <c r="BV58" s="27">
        <v>1.4335213899999999E-2</v>
      </c>
      <c r="BW58" s="27">
        <v>38.993090322</v>
      </c>
      <c r="BX58" s="27">
        <v>0.29488603949999997</v>
      </c>
      <c r="BY58" s="80" t="s">
        <v>136</v>
      </c>
      <c r="BZ58" s="80">
        <v>0</v>
      </c>
      <c r="CA58" s="80" t="s">
        <v>136</v>
      </c>
      <c r="CB58" s="80">
        <v>0</v>
      </c>
      <c r="CC58" s="27">
        <v>24.086760025</v>
      </c>
      <c r="CD58" s="27">
        <v>2.43606647E-2</v>
      </c>
      <c r="CE58" s="27">
        <v>19.661032902999999</v>
      </c>
      <c r="CF58" s="27">
        <v>4.8104946599999997E-2</v>
      </c>
      <c r="CG58" s="80" t="s">
        <v>136</v>
      </c>
      <c r="CH58" s="80">
        <v>0</v>
      </c>
      <c r="CI58" s="80" t="s">
        <v>136</v>
      </c>
      <c r="CJ58" s="80">
        <v>0</v>
      </c>
      <c r="CK58" s="80" t="s">
        <v>136</v>
      </c>
      <c r="CL58" s="80">
        <v>0</v>
      </c>
      <c r="CM58" s="80" t="s">
        <v>136</v>
      </c>
      <c r="CN58" s="80">
        <v>0</v>
      </c>
      <c r="CO58" s="27">
        <v>0.26783748489999998</v>
      </c>
      <c r="CP58" s="27">
        <v>2.9168447999999999E-3</v>
      </c>
      <c r="CQ58" s="27">
        <v>0.3671927868</v>
      </c>
      <c r="CR58" s="27">
        <v>3.2528220999999999E-3</v>
      </c>
      <c r="CS58" s="27">
        <v>5.8911289446000001</v>
      </c>
      <c r="CT58" s="27">
        <v>5.8497707699999998E-2</v>
      </c>
      <c r="CU58" s="27">
        <v>57.376619572999999</v>
      </c>
      <c r="CV58" s="27">
        <v>1.3594065106</v>
      </c>
      <c r="CW58" s="93" t="s">
        <v>136</v>
      </c>
      <c r="CX58" s="80">
        <v>0</v>
      </c>
      <c r="CY58" s="80" t="s">
        <v>136</v>
      </c>
      <c r="CZ58" s="94">
        <v>0</v>
      </c>
      <c r="DA58" s="27">
        <v>40.327907138</v>
      </c>
      <c r="DB58" s="27">
        <v>0.87706878190000004</v>
      </c>
      <c r="DC58" s="27">
        <v>46.97104178</v>
      </c>
      <c r="DD58" s="27">
        <v>1.8090528395000001</v>
      </c>
      <c r="DE58" s="27">
        <v>39.169020568999997</v>
      </c>
      <c r="DF58" s="27">
        <v>1.0717588787000001</v>
      </c>
      <c r="DG58" s="27">
        <v>196.28832989</v>
      </c>
      <c r="DH58" s="27">
        <v>1.7464612013</v>
      </c>
      <c r="DI58" s="95">
        <v>4.0574330999999996E-3</v>
      </c>
      <c r="DJ58" s="96">
        <v>7.3431941000000004E-3</v>
      </c>
      <c r="DK58" s="96">
        <v>8.3224955000000007E-3</v>
      </c>
      <c r="DL58" s="96">
        <v>8.5890949000000001E-3</v>
      </c>
      <c r="DM58" s="96">
        <v>8.6327017000000002E-3</v>
      </c>
      <c r="DN58" s="96">
        <v>8.6516786000000005E-3</v>
      </c>
      <c r="DO58" s="96">
        <v>8.6635691000000008E-3</v>
      </c>
      <c r="DP58" s="96">
        <v>8.6733980000000006E-3</v>
      </c>
      <c r="DQ58" s="96">
        <v>8.6816963999999993E-3</v>
      </c>
      <c r="DR58" s="97">
        <v>8.6893709999999996E-3</v>
      </c>
      <c r="DS58" s="93">
        <v>99.846210580000005</v>
      </c>
      <c r="DT58" s="80">
        <v>0.69515729859999997</v>
      </c>
      <c r="DU58" s="80">
        <v>51.895096361999997</v>
      </c>
      <c r="DV58" s="80">
        <v>0.37714555259999999</v>
      </c>
      <c r="DW58" s="80">
        <v>26.863472591000001</v>
      </c>
      <c r="DX58" s="80">
        <v>0.20457760850000001</v>
      </c>
      <c r="DY58" s="80">
        <v>14.081081662000001</v>
      </c>
      <c r="DZ58" s="80">
        <v>0.11392398719999999</v>
      </c>
      <c r="EA58" s="80">
        <v>7.6462791620999999</v>
      </c>
      <c r="EB58" s="80">
        <v>6.7055874200000004E-2</v>
      </c>
      <c r="EC58" s="80">
        <v>4.3615433106000001</v>
      </c>
      <c r="ED58" s="80">
        <v>4.2392682500000001E-2</v>
      </c>
      <c r="EE58" s="80">
        <v>2.6434817572</v>
      </c>
      <c r="EF58" s="80">
        <v>2.89831176E-2</v>
      </c>
      <c r="EG58" s="80">
        <v>1.6981640954999999</v>
      </c>
      <c r="EH58" s="80">
        <v>2.1215261400000001E-2</v>
      </c>
      <c r="EI58" s="80">
        <v>1.1585264904000001</v>
      </c>
      <c r="EJ58" s="80">
        <v>1.6452824500000001E-2</v>
      </c>
      <c r="EK58" s="80">
        <v>0.82817034950000001</v>
      </c>
      <c r="EL58" s="94">
        <v>1.32875679E-2</v>
      </c>
    </row>
    <row r="59" spans="1:142" x14ac:dyDescent="0.2">
      <c r="A59" s="79">
        <v>5400</v>
      </c>
      <c r="B59" s="27">
        <v>6361</v>
      </c>
      <c r="C59" s="79">
        <v>2636.5032676000001</v>
      </c>
      <c r="D59" s="27">
        <v>5349.6385902000002</v>
      </c>
      <c r="E59" s="27">
        <v>104.55053832999999</v>
      </c>
      <c r="F59" s="27">
        <v>0.1086557869</v>
      </c>
      <c r="G59" s="79">
        <v>10.273725600000001</v>
      </c>
      <c r="H59" s="27">
        <v>4.1861123000000002E-3</v>
      </c>
      <c r="I59" s="27">
        <v>188.72907778999999</v>
      </c>
      <c r="J59" s="27">
        <v>1.2471856216999999</v>
      </c>
      <c r="K59" s="27">
        <v>108.37486244999999</v>
      </c>
      <c r="L59" s="27">
        <v>0.67711578569999997</v>
      </c>
      <c r="M59" s="27">
        <v>40.699826248000001</v>
      </c>
      <c r="N59" s="27">
        <v>0.31411692720000001</v>
      </c>
      <c r="O59" s="80" t="s">
        <v>136</v>
      </c>
      <c r="P59" s="80">
        <v>0</v>
      </c>
      <c r="Q59" s="27">
        <v>44.844634204999998</v>
      </c>
      <c r="R59" s="27">
        <v>7.4068199000000001E-2</v>
      </c>
      <c r="S59" s="80" t="s">
        <v>136</v>
      </c>
      <c r="T59" s="80">
        <v>0</v>
      </c>
      <c r="U59" s="80" t="s">
        <v>136</v>
      </c>
      <c r="V59" s="80">
        <v>0</v>
      </c>
      <c r="W59" s="27">
        <v>0.65923731720000001</v>
      </c>
      <c r="X59" s="27">
        <v>6.3187306999999996E-3</v>
      </c>
      <c r="Y59" s="27">
        <v>64.372725869999996</v>
      </c>
      <c r="Z59" s="27">
        <v>1.4403198421000001</v>
      </c>
      <c r="AA59" s="80" t="s">
        <v>136</v>
      </c>
      <c r="AB59" s="80">
        <v>0</v>
      </c>
      <c r="AC59" s="27">
        <v>1.1846175E-3</v>
      </c>
      <c r="AD59" s="27">
        <v>7.4202241000000003E-6</v>
      </c>
      <c r="AE59" s="80" t="s">
        <v>136</v>
      </c>
      <c r="AF59" s="80">
        <v>0</v>
      </c>
      <c r="AG59" s="80" t="s">
        <v>136</v>
      </c>
      <c r="AH59" s="80">
        <v>0</v>
      </c>
      <c r="AI59" s="27">
        <f t="shared" si="4"/>
        <v>1.1846175E-3</v>
      </c>
      <c r="AJ59" s="27">
        <f t="shared" si="5"/>
        <v>7.4202241000000003E-6</v>
      </c>
      <c r="AK59" s="27">
        <v>151.53233703000001</v>
      </c>
      <c r="AL59" s="27">
        <v>1.904162253</v>
      </c>
      <c r="AM59" s="80" t="s">
        <v>136</v>
      </c>
      <c r="AN59" s="80">
        <v>0</v>
      </c>
      <c r="AO59" s="80" t="s">
        <v>136</v>
      </c>
      <c r="AP59" s="80">
        <v>0</v>
      </c>
      <c r="AQ59" s="80" t="s">
        <v>136</v>
      </c>
      <c r="AR59" s="80">
        <v>0</v>
      </c>
      <c r="AS59" s="27">
        <v>88.265025207999997</v>
      </c>
      <c r="AT59" s="27">
        <v>2.7076952047999998</v>
      </c>
      <c r="AU59" s="27">
        <v>80.293835403000003</v>
      </c>
      <c r="AV59" s="27">
        <v>0.62555192790000003</v>
      </c>
      <c r="AW59" s="27">
        <v>34.988326727</v>
      </c>
      <c r="AX59" s="27">
        <v>0.38165526189999999</v>
      </c>
      <c r="AY59" s="27">
        <v>10.00202548</v>
      </c>
      <c r="AZ59" s="27">
        <v>8.1530986400000005E-2</v>
      </c>
      <c r="BA59" s="80">
        <f t="shared" si="6"/>
        <v>35.303483196000002</v>
      </c>
      <c r="BB59" s="80">
        <f t="shared" si="7"/>
        <v>0.16236567960000003</v>
      </c>
      <c r="BC59" s="27">
        <v>0</v>
      </c>
      <c r="BD59" s="80">
        <v>0</v>
      </c>
      <c r="BE59" s="27">
        <v>239.83077037000001</v>
      </c>
      <c r="BF59" s="27">
        <v>2.8463232975000001</v>
      </c>
      <c r="BG59" s="27">
        <v>8.9922981000000006E-3</v>
      </c>
      <c r="BH59" s="80">
        <v>0</v>
      </c>
      <c r="BI59" s="27">
        <v>141.15405222000001</v>
      </c>
      <c r="BJ59" s="27">
        <v>4.2401167397000004</v>
      </c>
      <c r="BK59" s="27">
        <v>276.31671477999998</v>
      </c>
      <c r="BL59" s="27">
        <v>1.7754858458</v>
      </c>
      <c r="BM59" s="27">
        <v>36.701344008</v>
      </c>
      <c r="BN59" s="27">
        <v>0.1571811541</v>
      </c>
      <c r="BO59" s="27">
        <v>0.51220437139999997</v>
      </c>
      <c r="BP59" s="27">
        <v>1.9607905999999998E-3</v>
      </c>
      <c r="BQ59" s="27">
        <v>0</v>
      </c>
      <c r="BR59" s="92">
        <v>0</v>
      </c>
      <c r="BS59" s="80" t="s">
        <v>136</v>
      </c>
      <c r="BT59" s="80">
        <v>0</v>
      </c>
      <c r="BU59" s="27">
        <v>1.0589803424999999</v>
      </c>
      <c r="BV59" s="27">
        <v>1.44757654E-2</v>
      </c>
      <c r="BW59" s="27">
        <v>39.640845904999999</v>
      </c>
      <c r="BX59" s="27">
        <v>0.2996411618</v>
      </c>
      <c r="BY59" s="80" t="s">
        <v>136</v>
      </c>
      <c r="BZ59" s="80">
        <v>0</v>
      </c>
      <c r="CA59" s="80" t="s">
        <v>136</v>
      </c>
      <c r="CB59" s="80">
        <v>0</v>
      </c>
      <c r="CC59" s="27">
        <v>24.798473627</v>
      </c>
      <c r="CD59" s="27">
        <v>2.4980894199999999E-2</v>
      </c>
      <c r="CE59" s="27">
        <v>20.046160578999999</v>
      </c>
      <c r="CF59" s="27">
        <v>4.9087304800000002E-2</v>
      </c>
      <c r="CG59" s="80" t="s">
        <v>136</v>
      </c>
      <c r="CH59" s="80">
        <v>0</v>
      </c>
      <c r="CI59" s="80" t="s">
        <v>136</v>
      </c>
      <c r="CJ59" s="80">
        <v>0</v>
      </c>
      <c r="CK59" s="80" t="s">
        <v>136</v>
      </c>
      <c r="CL59" s="80">
        <v>0</v>
      </c>
      <c r="CM59" s="80" t="s">
        <v>136</v>
      </c>
      <c r="CN59" s="80">
        <v>0</v>
      </c>
      <c r="CO59" s="27">
        <v>0.27313449639999998</v>
      </c>
      <c r="CP59" s="27">
        <v>2.9294783999999998E-3</v>
      </c>
      <c r="CQ59" s="27">
        <v>0.38610282080000002</v>
      </c>
      <c r="CR59" s="27">
        <v>3.3892523999999999E-3</v>
      </c>
      <c r="CS59" s="27">
        <v>6.0722684938000002</v>
      </c>
      <c r="CT59" s="27">
        <v>6.0090699099999999E-2</v>
      </c>
      <c r="CU59" s="27">
        <v>58.300457377000001</v>
      </c>
      <c r="CV59" s="27">
        <v>1.380229143</v>
      </c>
      <c r="CW59" s="93" t="s">
        <v>136</v>
      </c>
      <c r="CX59" s="80">
        <v>0</v>
      </c>
      <c r="CY59" s="80" t="s">
        <v>136</v>
      </c>
      <c r="CZ59" s="94">
        <v>0</v>
      </c>
      <c r="DA59" s="27">
        <v>40.786668487</v>
      </c>
      <c r="DB59" s="27">
        <v>0.88537057860000001</v>
      </c>
      <c r="DC59" s="27">
        <v>47.478356722000001</v>
      </c>
      <c r="DD59" s="27">
        <v>1.8223246260999999</v>
      </c>
      <c r="DE59" s="27">
        <v>40.795993465999999</v>
      </c>
      <c r="DF59" s="27">
        <v>1.0851984418</v>
      </c>
      <c r="DG59" s="27">
        <v>199.0347769</v>
      </c>
      <c r="DH59" s="27">
        <v>1.7611248557000001</v>
      </c>
      <c r="DI59" s="95">
        <v>4.1569290999999998E-3</v>
      </c>
      <c r="DJ59" s="96">
        <v>7.5279409000000002E-3</v>
      </c>
      <c r="DK59" s="96">
        <v>8.5399316999999995E-3</v>
      </c>
      <c r="DL59" s="96">
        <v>8.8146123999999996E-3</v>
      </c>
      <c r="DM59" s="96">
        <v>8.8605798000000006E-3</v>
      </c>
      <c r="DN59" s="96">
        <v>8.8802628000000002E-3</v>
      </c>
      <c r="DO59" s="96">
        <v>8.8928956000000007E-3</v>
      </c>
      <c r="DP59" s="96">
        <v>8.9034743999999999E-3</v>
      </c>
      <c r="DQ59" s="96">
        <v>8.9125279999999994E-3</v>
      </c>
      <c r="DR59" s="97">
        <v>8.9209627999999996E-3</v>
      </c>
      <c r="DS59" s="93">
        <v>100.65927012</v>
      </c>
      <c r="DT59" s="80">
        <v>0.70069206520000005</v>
      </c>
      <c r="DU59" s="80">
        <v>52.476284548999999</v>
      </c>
      <c r="DV59" s="80">
        <v>0.3811965289</v>
      </c>
      <c r="DW59" s="80">
        <v>27.248691323999999</v>
      </c>
      <c r="DX59" s="80">
        <v>0.20735546839999999</v>
      </c>
      <c r="DY59" s="80">
        <v>14.327937050999999</v>
      </c>
      <c r="DZ59" s="80">
        <v>0.1157897229</v>
      </c>
      <c r="EA59" s="80">
        <v>7.8014556870999998</v>
      </c>
      <c r="EB59" s="80">
        <v>6.8301746499999996E-2</v>
      </c>
      <c r="EC59" s="80">
        <v>4.4617071846999998</v>
      </c>
      <c r="ED59" s="80">
        <v>4.3249223599999997E-2</v>
      </c>
      <c r="EE59" s="80">
        <v>2.7097336175</v>
      </c>
      <c r="EF59" s="80">
        <v>2.9589710299999999E-2</v>
      </c>
      <c r="EG59" s="80">
        <v>1.7438191319</v>
      </c>
      <c r="EH59" s="80">
        <v>2.1663575099999999E-2</v>
      </c>
      <c r="EI59" s="80">
        <v>1.1906571508999999</v>
      </c>
      <c r="EJ59" s="80">
        <v>1.6791843099999999E-2</v>
      </c>
      <c r="EK59" s="80">
        <v>0.85247876389999999</v>
      </c>
      <c r="EL59" s="94">
        <v>1.35576789E-2</v>
      </c>
    </row>
    <row r="60" spans="1:142" x14ac:dyDescent="0.2">
      <c r="A60" s="79">
        <v>5500</v>
      </c>
      <c r="B60" s="27">
        <v>6259</v>
      </c>
      <c r="C60" s="79">
        <v>2664.2180720000001</v>
      </c>
      <c r="D60" s="27">
        <v>5449.8635181</v>
      </c>
      <c r="E60" s="27">
        <v>106.08061456999999</v>
      </c>
      <c r="F60" s="27">
        <v>0.1095596652</v>
      </c>
      <c r="G60" s="79">
        <v>10.627195234</v>
      </c>
      <c r="H60" s="27">
        <v>4.2934697000000001E-3</v>
      </c>
      <c r="I60" s="27">
        <v>189.68233308999999</v>
      </c>
      <c r="J60" s="27">
        <v>1.2539088044</v>
      </c>
      <c r="K60" s="27">
        <v>109.39379295000001</v>
      </c>
      <c r="L60" s="27">
        <v>0.68390092849999995</v>
      </c>
      <c r="M60" s="27">
        <v>41.338248290999999</v>
      </c>
      <c r="N60" s="27">
        <v>0.31878088609999999</v>
      </c>
      <c r="O60" s="80" t="s">
        <v>136</v>
      </c>
      <c r="P60" s="80">
        <v>0</v>
      </c>
      <c r="Q60" s="27">
        <v>46.115095072000003</v>
      </c>
      <c r="R60" s="27">
        <v>7.5803300899999995E-2</v>
      </c>
      <c r="S60" s="80" t="s">
        <v>136</v>
      </c>
      <c r="T60" s="80">
        <v>0</v>
      </c>
      <c r="U60" s="80" t="s">
        <v>136</v>
      </c>
      <c r="V60" s="80">
        <v>0</v>
      </c>
      <c r="W60" s="27">
        <v>0.66968943839999995</v>
      </c>
      <c r="X60" s="27">
        <v>6.4179520000000002E-3</v>
      </c>
      <c r="Y60" s="27">
        <v>65.492655361000004</v>
      </c>
      <c r="Z60" s="27">
        <v>1.4636671134999999</v>
      </c>
      <c r="AA60" s="80" t="s">
        <v>136</v>
      </c>
      <c r="AB60" s="80">
        <v>0</v>
      </c>
      <c r="AC60" s="27">
        <v>1.1791344E-3</v>
      </c>
      <c r="AD60" s="27">
        <v>7.3852206000000002E-6</v>
      </c>
      <c r="AE60" s="80" t="s">
        <v>136</v>
      </c>
      <c r="AF60" s="80">
        <v>0</v>
      </c>
      <c r="AG60" s="80" t="s">
        <v>136</v>
      </c>
      <c r="AH60" s="80">
        <v>0</v>
      </c>
      <c r="AI60" s="27">
        <f t="shared" si="4"/>
        <v>1.1791344E-3</v>
      </c>
      <c r="AJ60" s="27">
        <f t="shared" si="5"/>
        <v>7.3852206000000002E-6</v>
      </c>
      <c r="AK60" s="27">
        <v>152.93339685000001</v>
      </c>
      <c r="AL60" s="27">
        <v>1.9151408931</v>
      </c>
      <c r="AM60" s="80" t="s">
        <v>136</v>
      </c>
      <c r="AN60" s="80">
        <v>0</v>
      </c>
      <c r="AO60" s="80" t="s">
        <v>136</v>
      </c>
      <c r="AP60" s="80">
        <v>0</v>
      </c>
      <c r="AQ60" s="80" t="s">
        <v>136</v>
      </c>
      <c r="AR60" s="80">
        <v>0</v>
      </c>
      <c r="AS60" s="27">
        <v>89.248045189999999</v>
      </c>
      <c r="AT60" s="27">
        <v>2.7296974415999999</v>
      </c>
      <c r="AU60" s="27">
        <v>81.391863381999997</v>
      </c>
      <c r="AV60" s="27">
        <v>0.63213899569999998</v>
      </c>
      <c r="AW60" s="27">
        <v>35.442108411</v>
      </c>
      <c r="AX60" s="27">
        <v>0.38561777069999997</v>
      </c>
      <c r="AY60" s="27">
        <v>10.091691852</v>
      </c>
      <c r="AZ60" s="27">
        <v>8.2134045399999994E-2</v>
      </c>
      <c r="BA60" s="80">
        <f t="shared" si="6"/>
        <v>35.858063118999993</v>
      </c>
      <c r="BB60" s="80">
        <f t="shared" si="7"/>
        <v>0.16438717960000004</v>
      </c>
      <c r="BC60" s="27">
        <v>0</v>
      </c>
      <c r="BD60" s="80">
        <v>0</v>
      </c>
      <c r="BE60" s="27">
        <v>244.20333994999999</v>
      </c>
      <c r="BF60" s="27">
        <v>2.8752206238000002</v>
      </c>
      <c r="BG60" s="27">
        <v>9.2253829000000006E-3</v>
      </c>
      <c r="BH60" s="80">
        <v>0</v>
      </c>
      <c r="BI60" s="27">
        <v>142.21754315000001</v>
      </c>
      <c r="BJ60" s="27">
        <v>4.2626456890000002</v>
      </c>
      <c r="BK60" s="27">
        <v>281.26993963000001</v>
      </c>
      <c r="BL60" s="27">
        <v>1.8037375957999999</v>
      </c>
      <c r="BM60" s="27">
        <v>37.327066565000003</v>
      </c>
      <c r="BN60" s="27">
        <v>0.15930375699999999</v>
      </c>
      <c r="BO60" s="27">
        <v>0.52242585399999997</v>
      </c>
      <c r="BP60" s="27">
        <v>1.9798671999999998E-3</v>
      </c>
      <c r="BQ60" s="27">
        <v>0</v>
      </c>
      <c r="BR60" s="92">
        <v>0</v>
      </c>
      <c r="BS60" s="80" t="s">
        <v>136</v>
      </c>
      <c r="BT60" s="80">
        <v>0</v>
      </c>
      <c r="BU60" s="27">
        <v>1.0718269345</v>
      </c>
      <c r="BV60" s="27">
        <v>1.46267025E-2</v>
      </c>
      <c r="BW60" s="27">
        <v>40.266421356000002</v>
      </c>
      <c r="BX60" s="27">
        <v>0.30415418360000002</v>
      </c>
      <c r="BY60" s="80" t="s">
        <v>136</v>
      </c>
      <c r="BZ60" s="80">
        <v>0</v>
      </c>
      <c r="CA60" s="80" t="s">
        <v>136</v>
      </c>
      <c r="CB60" s="80">
        <v>0</v>
      </c>
      <c r="CC60" s="27">
        <v>25.587728926</v>
      </c>
      <c r="CD60" s="27">
        <v>2.5611806599999998E-2</v>
      </c>
      <c r="CE60" s="27">
        <v>20.527366145999999</v>
      </c>
      <c r="CF60" s="27">
        <v>5.01914943E-2</v>
      </c>
      <c r="CG60" s="80" t="s">
        <v>136</v>
      </c>
      <c r="CH60" s="80">
        <v>0</v>
      </c>
      <c r="CI60" s="80" t="s">
        <v>136</v>
      </c>
      <c r="CJ60" s="80">
        <v>0</v>
      </c>
      <c r="CK60" s="80" t="s">
        <v>136</v>
      </c>
      <c r="CL60" s="80">
        <v>0</v>
      </c>
      <c r="CM60" s="80" t="s">
        <v>136</v>
      </c>
      <c r="CN60" s="80">
        <v>0</v>
      </c>
      <c r="CO60" s="27">
        <v>0.2785424588</v>
      </c>
      <c r="CP60" s="27">
        <v>2.9793598999999999E-3</v>
      </c>
      <c r="CQ60" s="27">
        <v>0.39114697949999999</v>
      </c>
      <c r="CR60" s="27">
        <v>3.4385920999999999E-3</v>
      </c>
      <c r="CS60" s="27">
        <v>6.2407949168999997</v>
      </c>
      <c r="CT60" s="27">
        <v>6.1418407699999997E-2</v>
      </c>
      <c r="CU60" s="27">
        <v>59.251860444000002</v>
      </c>
      <c r="CV60" s="27">
        <v>1.4022487058999999</v>
      </c>
      <c r="CW60" s="93" t="s">
        <v>136</v>
      </c>
      <c r="CX60" s="80">
        <v>0</v>
      </c>
      <c r="CY60" s="80" t="s">
        <v>136</v>
      </c>
      <c r="CZ60" s="94">
        <v>0</v>
      </c>
      <c r="DA60" s="27">
        <v>41.298844248999998</v>
      </c>
      <c r="DB60" s="27">
        <v>0.89472392300000003</v>
      </c>
      <c r="DC60" s="27">
        <v>47.949200941999997</v>
      </c>
      <c r="DD60" s="27">
        <v>1.8349735186</v>
      </c>
      <c r="DE60" s="27">
        <v>42.383451293</v>
      </c>
      <c r="DF60" s="27">
        <v>1.0987979835999999</v>
      </c>
      <c r="DG60" s="27">
        <v>201.81988866</v>
      </c>
      <c r="DH60" s="27">
        <v>1.7764226402000001</v>
      </c>
      <c r="DI60" s="95">
        <v>4.2633259E-3</v>
      </c>
      <c r="DJ60" s="96">
        <v>7.7155369999999997E-3</v>
      </c>
      <c r="DK60" s="96">
        <v>8.7597734999999999E-3</v>
      </c>
      <c r="DL60" s="96">
        <v>9.0463208999999999E-3</v>
      </c>
      <c r="DM60" s="96">
        <v>9.0932071999999999E-3</v>
      </c>
      <c r="DN60" s="96">
        <v>9.1133983000000005E-3</v>
      </c>
      <c r="DO60" s="96">
        <v>9.1265736E-3</v>
      </c>
      <c r="DP60" s="96">
        <v>9.1370876999999993E-3</v>
      </c>
      <c r="DQ60" s="96">
        <v>9.1460812999999992E-3</v>
      </c>
      <c r="DR60" s="97">
        <v>9.1544612999999997E-3</v>
      </c>
      <c r="DS60" s="93">
        <v>101.44077909000001</v>
      </c>
      <c r="DT60" s="80">
        <v>0.70626435440000002</v>
      </c>
      <c r="DU60" s="80">
        <v>53.032715521</v>
      </c>
      <c r="DV60" s="80">
        <v>0.3853165475</v>
      </c>
      <c r="DW60" s="80">
        <v>27.617468551999998</v>
      </c>
      <c r="DX60" s="80">
        <v>0.21021980379999999</v>
      </c>
      <c r="DY60" s="80">
        <v>14.568291044</v>
      </c>
      <c r="DZ60" s="80">
        <v>0.1177688824</v>
      </c>
      <c r="EA60" s="80">
        <v>7.9578334098000001</v>
      </c>
      <c r="EB60" s="80">
        <v>6.9684022299999995E-2</v>
      </c>
      <c r="EC60" s="80">
        <v>4.5661553067999998</v>
      </c>
      <c r="ED60" s="80">
        <v>4.4248187000000001E-2</v>
      </c>
      <c r="EE60" s="80">
        <v>2.7805853983</v>
      </c>
      <c r="EF60" s="80">
        <v>3.0330818999999998E-2</v>
      </c>
      <c r="EG60" s="80">
        <v>1.7960833946000001</v>
      </c>
      <c r="EH60" s="80">
        <v>2.2252384699999999E-2</v>
      </c>
      <c r="EI60" s="80">
        <v>1.2296846739</v>
      </c>
      <c r="EJ60" s="80">
        <v>1.7268966399999999E-2</v>
      </c>
      <c r="EK60" s="80">
        <v>0.88259585350000003</v>
      </c>
      <c r="EL60" s="94">
        <v>1.39527874E-2</v>
      </c>
    </row>
    <row r="61" spans="1:142" x14ac:dyDescent="0.2">
      <c r="A61" s="79">
        <v>5600</v>
      </c>
      <c r="B61" s="27">
        <v>6111</v>
      </c>
      <c r="C61" s="79">
        <v>2691.5700952000002</v>
      </c>
      <c r="D61" s="27">
        <v>5550.3558100999999</v>
      </c>
      <c r="E61" s="27">
        <v>107.63832034000001</v>
      </c>
      <c r="F61" s="27">
        <v>0.110472906</v>
      </c>
      <c r="G61" s="79">
        <v>10.948201190000001</v>
      </c>
      <c r="H61" s="27">
        <v>4.3853403999999999E-3</v>
      </c>
      <c r="I61" s="27">
        <v>190.63690041000001</v>
      </c>
      <c r="J61" s="27">
        <v>1.2604352781999999</v>
      </c>
      <c r="K61" s="27">
        <v>110.36240540999999</v>
      </c>
      <c r="L61" s="27">
        <v>0.69005936509999999</v>
      </c>
      <c r="M61" s="27">
        <v>42.042719603999998</v>
      </c>
      <c r="N61" s="27">
        <v>0.32387761409999999</v>
      </c>
      <c r="O61" s="80" t="s">
        <v>136</v>
      </c>
      <c r="P61" s="80">
        <v>0</v>
      </c>
      <c r="Q61" s="27">
        <v>47.241501540999998</v>
      </c>
      <c r="R61" s="27">
        <v>7.7397052399999999E-2</v>
      </c>
      <c r="S61" s="80" t="s">
        <v>136</v>
      </c>
      <c r="T61" s="80">
        <v>0</v>
      </c>
      <c r="U61" s="80" t="s">
        <v>136</v>
      </c>
      <c r="V61" s="80">
        <v>0</v>
      </c>
      <c r="W61" s="27">
        <v>0.67988322280000002</v>
      </c>
      <c r="X61" s="27">
        <v>6.5745066000000001E-3</v>
      </c>
      <c r="Y61" s="27">
        <v>66.526894088999995</v>
      </c>
      <c r="Z61" s="27">
        <v>1.4839319504999999</v>
      </c>
      <c r="AA61" s="80" t="s">
        <v>136</v>
      </c>
      <c r="AB61" s="80">
        <v>0</v>
      </c>
      <c r="AC61" s="27">
        <v>1.1739297E-3</v>
      </c>
      <c r="AD61" s="27">
        <v>7.3518427999999999E-6</v>
      </c>
      <c r="AE61" s="80" t="s">
        <v>136</v>
      </c>
      <c r="AF61" s="80">
        <v>0</v>
      </c>
      <c r="AG61" s="80" t="s">
        <v>136</v>
      </c>
      <c r="AH61" s="80">
        <v>0</v>
      </c>
      <c r="AI61" s="27">
        <f t="shared" si="4"/>
        <v>1.1739297E-3</v>
      </c>
      <c r="AJ61" s="27">
        <f t="shared" si="5"/>
        <v>7.3518427999999999E-6</v>
      </c>
      <c r="AK61" s="27">
        <v>154.25390161999999</v>
      </c>
      <c r="AL61" s="27">
        <v>1.9255112057999999</v>
      </c>
      <c r="AM61" s="80" t="s">
        <v>136</v>
      </c>
      <c r="AN61" s="80">
        <v>0</v>
      </c>
      <c r="AO61" s="80" t="s">
        <v>136</v>
      </c>
      <c r="AP61" s="80">
        <v>0</v>
      </c>
      <c r="AQ61" s="80" t="s">
        <v>136</v>
      </c>
      <c r="AR61" s="80">
        <v>0</v>
      </c>
      <c r="AS61" s="27">
        <v>90.241650208999999</v>
      </c>
      <c r="AT61" s="27">
        <v>2.7510188935</v>
      </c>
      <c r="AU61" s="27">
        <v>82.429682639000006</v>
      </c>
      <c r="AV61" s="27">
        <v>0.63810814969999996</v>
      </c>
      <c r="AW61" s="27">
        <v>35.881894549999998</v>
      </c>
      <c r="AX61" s="27">
        <v>0.38928707610000002</v>
      </c>
      <c r="AY61" s="27">
        <v>10.18237079</v>
      </c>
      <c r="AZ61" s="27">
        <v>8.2706591499999996E-2</v>
      </c>
      <c r="BA61" s="80">
        <f t="shared" si="6"/>
        <v>36.365417299000008</v>
      </c>
      <c r="BB61" s="80">
        <f t="shared" si="7"/>
        <v>0.16611448209999996</v>
      </c>
      <c r="BC61" s="27">
        <v>0</v>
      </c>
      <c r="BD61" s="80">
        <v>0</v>
      </c>
      <c r="BE61" s="27">
        <v>248.38047211</v>
      </c>
      <c r="BF61" s="27">
        <v>2.9019059280000001</v>
      </c>
      <c r="BG61" s="27">
        <v>9.4428484000000004E-3</v>
      </c>
      <c r="BH61" s="80">
        <v>0</v>
      </c>
      <c r="BI61" s="27">
        <v>143.38379739999999</v>
      </c>
      <c r="BJ61" s="27">
        <v>4.2858781949999996</v>
      </c>
      <c r="BK61" s="27">
        <v>286.45660034000002</v>
      </c>
      <c r="BL61" s="27">
        <v>1.8329943193</v>
      </c>
      <c r="BM61" s="27">
        <v>38.080510271999998</v>
      </c>
      <c r="BN61" s="27">
        <v>0.16164955659999999</v>
      </c>
      <c r="BO61" s="27">
        <v>0.57144672230000004</v>
      </c>
      <c r="BP61" s="27">
        <v>2.0258797999999998E-3</v>
      </c>
      <c r="BQ61" s="27">
        <v>0</v>
      </c>
      <c r="BR61" s="92">
        <v>0</v>
      </c>
      <c r="BS61" s="80" t="s">
        <v>136</v>
      </c>
      <c r="BT61" s="80">
        <v>0</v>
      </c>
      <c r="BU61" s="27">
        <v>1.0915340657999999</v>
      </c>
      <c r="BV61" s="27">
        <v>1.4932826999999999E-2</v>
      </c>
      <c r="BW61" s="27">
        <v>40.951185537999997</v>
      </c>
      <c r="BX61" s="27">
        <v>0.30894478710000001</v>
      </c>
      <c r="BY61" s="80" t="s">
        <v>136</v>
      </c>
      <c r="BZ61" s="80">
        <v>0</v>
      </c>
      <c r="CA61" s="80" t="s">
        <v>136</v>
      </c>
      <c r="CB61" s="80">
        <v>0</v>
      </c>
      <c r="CC61" s="27">
        <v>26.274151270000001</v>
      </c>
      <c r="CD61" s="27">
        <v>2.6191390700000001E-2</v>
      </c>
      <c r="CE61" s="27">
        <v>20.967350271000001</v>
      </c>
      <c r="CF61" s="27">
        <v>5.1205661700000002E-2</v>
      </c>
      <c r="CG61" s="80" t="s">
        <v>136</v>
      </c>
      <c r="CH61" s="80">
        <v>0</v>
      </c>
      <c r="CI61" s="80" t="s">
        <v>136</v>
      </c>
      <c r="CJ61" s="80">
        <v>0</v>
      </c>
      <c r="CK61" s="80" t="s">
        <v>136</v>
      </c>
      <c r="CL61" s="80">
        <v>0</v>
      </c>
      <c r="CM61" s="80" t="s">
        <v>136</v>
      </c>
      <c r="CN61" s="80">
        <v>0</v>
      </c>
      <c r="CO61" s="27">
        <v>0.28353107129999999</v>
      </c>
      <c r="CP61" s="27">
        <v>3.0821733999999998E-3</v>
      </c>
      <c r="CQ61" s="27">
        <v>0.39635215150000003</v>
      </c>
      <c r="CR61" s="27">
        <v>3.4923330999999998E-3</v>
      </c>
      <c r="CS61" s="27">
        <v>6.3851416884000001</v>
      </c>
      <c r="CT61" s="27">
        <v>6.2667936399999999E-2</v>
      </c>
      <c r="CU61" s="27">
        <v>60.141752400999998</v>
      </c>
      <c r="CV61" s="27">
        <v>1.4212640140999999</v>
      </c>
      <c r="CW61" s="93" t="s">
        <v>136</v>
      </c>
      <c r="CX61" s="80">
        <v>0</v>
      </c>
      <c r="CY61" s="80" t="s">
        <v>136</v>
      </c>
      <c r="CZ61" s="94">
        <v>0</v>
      </c>
      <c r="DA61" s="27">
        <v>41.795391393000003</v>
      </c>
      <c r="DB61" s="27">
        <v>0.9027855024</v>
      </c>
      <c r="DC61" s="27">
        <v>48.446258815999997</v>
      </c>
      <c r="DD61" s="27">
        <v>1.8482333912</v>
      </c>
      <c r="DE61" s="27">
        <v>43.902873339999999</v>
      </c>
      <c r="DF61" s="27">
        <v>1.1114985462</v>
      </c>
      <c r="DG61" s="27">
        <v>204.47759876999999</v>
      </c>
      <c r="DH61" s="27">
        <v>1.7904073817999999</v>
      </c>
      <c r="DI61" s="95">
        <v>4.3541810000000004E-3</v>
      </c>
      <c r="DJ61" s="96">
        <v>7.8833588999999999E-3</v>
      </c>
      <c r="DK61" s="96">
        <v>8.9601592999999993E-3</v>
      </c>
      <c r="DL61" s="96">
        <v>9.2612489999999992E-3</v>
      </c>
      <c r="DM61" s="96">
        <v>9.3114413000000007E-3</v>
      </c>
      <c r="DN61" s="96">
        <v>9.3315246999999997E-3</v>
      </c>
      <c r="DO61" s="96">
        <v>9.3446251000000001E-3</v>
      </c>
      <c r="DP61" s="96">
        <v>9.3550752999999997E-3</v>
      </c>
      <c r="DQ61" s="96">
        <v>9.3640097999999998E-3</v>
      </c>
      <c r="DR61" s="97">
        <v>9.3723351999999999E-3</v>
      </c>
      <c r="DS61" s="93">
        <v>102.21928831</v>
      </c>
      <c r="DT61" s="80">
        <v>0.71166143599999998</v>
      </c>
      <c r="DU61" s="80">
        <v>53.585959353</v>
      </c>
      <c r="DV61" s="80">
        <v>0.3892608025</v>
      </c>
      <c r="DW61" s="80">
        <v>27.987945058000001</v>
      </c>
      <c r="DX61" s="80">
        <v>0.21294959860000001</v>
      </c>
      <c r="DY61" s="80">
        <v>14.810879587000001</v>
      </c>
      <c r="DZ61" s="80">
        <v>0.1196285146</v>
      </c>
      <c r="EA61" s="80">
        <v>8.1163456418000006</v>
      </c>
      <c r="EB61" s="80">
        <v>7.0954085900000005E-2</v>
      </c>
      <c r="EC61" s="80">
        <v>4.6697748509999997</v>
      </c>
      <c r="ED61" s="80">
        <v>4.5123695599999999E-2</v>
      </c>
      <c r="EE61" s="80">
        <v>2.8496553039000001</v>
      </c>
      <c r="EF61" s="80">
        <v>3.0947698700000002E-2</v>
      </c>
      <c r="EG61" s="80">
        <v>1.8417834960999999</v>
      </c>
      <c r="EH61" s="80">
        <v>2.2691796199999999E-2</v>
      </c>
      <c r="EI61" s="80">
        <v>1.2613685047000001</v>
      </c>
      <c r="EJ61" s="80">
        <v>1.7598466900000002E-2</v>
      </c>
      <c r="EK61" s="80">
        <v>0.90507877140000004</v>
      </c>
      <c r="EL61" s="94">
        <v>1.42055393E-2</v>
      </c>
    </row>
    <row r="62" spans="1:142" x14ac:dyDescent="0.2">
      <c r="A62" s="79">
        <v>5700</v>
      </c>
      <c r="B62" s="27">
        <v>6049</v>
      </c>
      <c r="C62" s="79">
        <v>2718.578849</v>
      </c>
      <c r="D62" s="27">
        <v>5650.0707818000001</v>
      </c>
      <c r="E62" s="27">
        <v>109.24819277</v>
      </c>
      <c r="F62" s="27">
        <v>0.1113559547</v>
      </c>
      <c r="G62" s="79">
        <v>11.294933496000001</v>
      </c>
      <c r="H62" s="27">
        <v>4.4902357999999998E-3</v>
      </c>
      <c r="I62" s="27">
        <v>191.53425240999999</v>
      </c>
      <c r="J62" s="27">
        <v>1.2665314279</v>
      </c>
      <c r="K62" s="27">
        <v>111.33729544000001</v>
      </c>
      <c r="L62" s="27">
        <v>0.69675513860000005</v>
      </c>
      <c r="M62" s="27">
        <v>42.715137916000003</v>
      </c>
      <c r="N62" s="27">
        <v>0.3286793516</v>
      </c>
      <c r="O62" s="80" t="s">
        <v>136</v>
      </c>
      <c r="P62" s="80">
        <v>0</v>
      </c>
      <c r="Q62" s="27">
        <v>48.396570584000003</v>
      </c>
      <c r="R62" s="27">
        <v>7.9032845500000004E-2</v>
      </c>
      <c r="S62" s="80" t="s">
        <v>136</v>
      </c>
      <c r="T62" s="80">
        <v>0</v>
      </c>
      <c r="U62" s="80" t="s">
        <v>136</v>
      </c>
      <c r="V62" s="80">
        <v>0</v>
      </c>
      <c r="W62" s="27">
        <v>0.69034516589999995</v>
      </c>
      <c r="X62" s="27">
        <v>6.6418985E-3</v>
      </c>
      <c r="Y62" s="27">
        <v>67.708981859000005</v>
      </c>
      <c r="Z62" s="27">
        <v>1.5080561217999999</v>
      </c>
      <c r="AA62" s="80" t="s">
        <v>136</v>
      </c>
      <c r="AB62" s="80">
        <v>0</v>
      </c>
      <c r="AC62" s="27">
        <v>1.4022325E-3</v>
      </c>
      <c r="AD62" s="27">
        <v>7.8443243999999992E-6</v>
      </c>
      <c r="AE62" s="80" t="s">
        <v>136</v>
      </c>
      <c r="AF62" s="80">
        <v>0</v>
      </c>
      <c r="AG62" s="80" t="s">
        <v>136</v>
      </c>
      <c r="AH62" s="80">
        <v>0</v>
      </c>
      <c r="AI62" s="27">
        <f t="shared" si="4"/>
        <v>1.4022325E-3</v>
      </c>
      <c r="AJ62" s="27">
        <f t="shared" si="5"/>
        <v>7.8443243999999992E-6</v>
      </c>
      <c r="AK62" s="27">
        <v>155.63559918000001</v>
      </c>
      <c r="AL62" s="27">
        <v>1.9356091206999999</v>
      </c>
      <c r="AM62" s="80" t="s">
        <v>136</v>
      </c>
      <c r="AN62" s="80">
        <v>0</v>
      </c>
      <c r="AO62" s="80" t="s">
        <v>136</v>
      </c>
      <c r="AP62" s="80">
        <v>0</v>
      </c>
      <c r="AQ62" s="80" t="s">
        <v>136</v>
      </c>
      <c r="AR62" s="80">
        <v>0</v>
      </c>
      <c r="AS62" s="27">
        <v>91.189536423999996</v>
      </c>
      <c r="AT62" s="27">
        <v>2.7719151502999999</v>
      </c>
      <c r="AU62" s="27">
        <v>83.526115849999996</v>
      </c>
      <c r="AV62" s="27">
        <v>0.64458390030000001</v>
      </c>
      <c r="AW62" s="27">
        <v>36.332150487</v>
      </c>
      <c r="AX62" s="27">
        <v>0.39321487820000001</v>
      </c>
      <c r="AY62" s="27">
        <v>10.290465274000001</v>
      </c>
      <c r="AZ62" s="27">
        <v>8.3348660399999996E-2</v>
      </c>
      <c r="BA62" s="80">
        <f t="shared" si="6"/>
        <v>36.903500088999998</v>
      </c>
      <c r="BB62" s="80">
        <f t="shared" si="7"/>
        <v>0.16802036170000001</v>
      </c>
      <c r="BC62" s="27">
        <v>0</v>
      </c>
      <c r="BD62" s="80">
        <v>0</v>
      </c>
      <c r="BE62" s="27">
        <v>252.83737730999999</v>
      </c>
      <c r="BF62" s="27">
        <v>2.9302904217000001</v>
      </c>
      <c r="BG62" s="27">
        <v>9.6883509999999996E-3</v>
      </c>
      <c r="BH62" s="80">
        <v>0</v>
      </c>
      <c r="BI62" s="27">
        <v>144.39761501999999</v>
      </c>
      <c r="BJ62" s="27">
        <v>4.3064740733000004</v>
      </c>
      <c r="BK62" s="27">
        <v>291.62304954000001</v>
      </c>
      <c r="BL62" s="27">
        <v>1.8620725298</v>
      </c>
      <c r="BM62" s="27">
        <v>38.658781771999998</v>
      </c>
      <c r="BN62" s="27">
        <v>0.16376182989999999</v>
      </c>
      <c r="BO62" s="27">
        <v>0.61383290700000004</v>
      </c>
      <c r="BP62" s="27">
        <v>2.0929240999999999E-3</v>
      </c>
      <c r="BQ62" s="27">
        <v>0</v>
      </c>
      <c r="BR62" s="92">
        <v>0</v>
      </c>
      <c r="BS62" s="80" t="s">
        <v>136</v>
      </c>
      <c r="BT62" s="80">
        <v>0</v>
      </c>
      <c r="BU62" s="27">
        <v>1.1010949217999999</v>
      </c>
      <c r="BV62" s="27">
        <v>1.50246116E-2</v>
      </c>
      <c r="BW62" s="27">
        <v>41.614042994000002</v>
      </c>
      <c r="BX62" s="27">
        <v>0.31365473999999999</v>
      </c>
      <c r="BY62" s="80" t="s">
        <v>136</v>
      </c>
      <c r="BZ62" s="80">
        <v>0</v>
      </c>
      <c r="CA62" s="80" t="s">
        <v>136</v>
      </c>
      <c r="CB62" s="80">
        <v>0</v>
      </c>
      <c r="CC62" s="27">
        <v>27.014420144999999</v>
      </c>
      <c r="CD62" s="27">
        <v>2.6825938899999999E-2</v>
      </c>
      <c r="CE62" s="27">
        <v>21.382150439</v>
      </c>
      <c r="CF62" s="27">
        <v>5.2206906499999997E-2</v>
      </c>
      <c r="CG62" s="80" t="s">
        <v>136</v>
      </c>
      <c r="CH62" s="80">
        <v>0</v>
      </c>
      <c r="CI62" s="80" t="s">
        <v>136</v>
      </c>
      <c r="CJ62" s="80">
        <v>0</v>
      </c>
      <c r="CK62" s="80" t="s">
        <v>136</v>
      </c>
      <c r="CL62" s="80">
        <v>0</v>
      </c>
      <c r="CM62" s="80" t="s">
        <v>136</v>
      </c>
      <c r="CN62" s="80">
        <v>0</v>
      </c>
      <c r="CO62" s="27">
        <v>0.28878839750000002</v>
      </c>
      <c r="CP62" s="27">
        <v>3.1089276999999998E-3</v>
      </c>
      <c r="CQ62" s="27">
        <v>0.40155676839999999</v>
      </c>
      <c r="CR62" s="27">
        <v>3.5329708000000001E-3</v>
      </c>
      <c r="CS62" s="27">
        <v>6.5018040372000003</v>
      </c>
      <c r="CT62" s="27">
        <v>6.3621784299999998E-2</v>
      </c>
      <c r="CU62" s="27">
        <v>61.207177821999998</v>
      </c>
      <c r="CV62" s="27">
        <v>1.4444343374999999</v>
      </c>
      <c r="CW62" s="93" t="s">
        <v>136</v>
      </c>
      <c r="CX62" s="80">
        <v>0</v>
      </c>
      <c r="CY62" s="80" t="s">
        <v>136</v>
      </c>
      <c r="CZ62" s="94">
        <v>0</v>
      </c>
      <c r="DA62" s="27">
        <v>42.260240625999998</v>
      </c>
      <c r="DB62" s="27">
        <v>0.91103850620000004</v>
      </c>
      <c r="DC62" s="27">
        <v>48.929295797999998</v>
      </c>
      <c r="DD62" s="27">
        <v>1.8608766441</v>
      </c>
      <c r="DE62" s="27">
        <v>45.607373578000001</v>
      </c>
      <c r="DF62" s="27">
        <v>1.1251848502999999</v>
      </c>
      <c r="DG62" s="27">
        <v>207.23000372999999</v>
      </c>
      <c r="DH62" s="27">
        <v>1.8051055713999999</v>
      </c>
      <c r="DI62" s="95">
        <v>4.4552384000000004E-3</v>
      </c>
      <c r="DJ62" s="96">
        <v>8.0665128999999995E-3</v>
      </c>
      <c r="DK62" s="96">
        <v>9.1780637000000009E-3</v>
      </c>
      <c r="DL62" s="96">
        <v>9.4930012000000001E-3</v>
      </c>
      <c r="DM62" s="96">
        <v>9.5470378999999994E-3</v>
      </c>
      <c r="DN62" s="96">
        <v>9.5705637999999992E-3</v>
      </c>
      <c r="DO62" s="96">
        <v>9.5859533E-3</v>
      </c>
      <c r="DP62" s="96">
        <v>9.5987046000000006E-3</v>
      </c>
      <c r="DQ62" s="96">
        <v>9.6099451999999991E-3</v>
      </c>
      <c r="DR62" s="97">
        <v>9.6182187000000002E-3</v>
      </c>
      <c r="DS62" s="93">
        <v>102.94766550999999</v>
      </c>
      <c r="DT62" s="80">
        <v>0.71669057849999995</v>
      </c>
      <c r="DU62" s="80">
        <v>54.109249411999997</v>
      </c>
      <c r="DV62" s="80">
        <v>0.39300143809999999</v>
      </c>
      <c r="DW62" s="80">
        <v>28.342725943000001</v>
      </c>
      <c r="DX62" s="80">
        <v>0.2155900177</v>
      </c>
      <c r="DY62" s="80">
        <v>15.048560324</v>
      </c>
      <c r="DZ62" s="80">
        <v>0.12148267259999999</v>
      </c>
      <c r="EA62" s="80">
        <v>8.2739627848000001</v>
      </c>
      <c r="EB62" s="80">
        <v>7.22569827E-2</v>
      </c>
      <c r="EC62" s="80">
        <v>4.7720559999000001</v>
      </c>
      <c r="ED62" s="80">
        <v>4.6039144599999998E-2</v>
      </c>
      <c r="EE62" s="80">
        <v>2.9178582042999999</v>
      </c>
      <c r="EF62" s="80">
        <v>3.1610680299999999E-2</v>
      </c>
      <c r="EG62" s="80">
        <v>1.8894296974</v>
      </c>
      <c r="EH62" s="80">
        <v>2.3196081699999999E-2</v>
      </c>
      <c r="EI62" s="80">
        <v>1.2957670304</v>
      </c>
      <c r="EJ62" s="80">
        <v>1.7996875999999998E-2</v>
      </c>
      <c r="EK62" s="80">
        <v>0.93077255530000003</v>
      </c>
      <c r="EL62" s="94">
        <v>1.4529959199999999E-2</v>
      </c>
    </row>
    <row r="63" spans="1:142" x14ac:dyDescent="0.2">
      <c r="A63" s="79">
        <v>5800</v>
      </c>
      <c r="B63" s="27">
        <v>5816</v>
      </c>
      <c r="C63" s="79">
        <v>2745.10716</v>
      </c>
      <c r="D63" s="27">
        <v>5750.0162872000001</v>
      </c>
      <c r="E63" s="27">
        <v>110.73807839</v>
      </c>
      <c r="F63" s="27">
        <v>0.1122245494</v>
      </c>
      <c r="G63" s="79">
        <v>11.613410963</v>
      </c>
      <c r="H63" s="27">
        <v>4.5808745000000001E-3</v>
      </c>
      <c r="I63" s="27">
        <v>192.43586916999999</v>
      </c>
      <c r="J63" s="27">
        <v>1.2726437871</v>
      </c>
      <c r="K63" s="27">
        <v>112.32826513000001</v>
      </c>
      <c r="L63" s="27">
        <v>0.70334165069999999</v>
      </c>
      <c r="M63" s="27">
        <v>43.417667641000001</v>
      </c>
      <c r="N63" s="27">
        <v>0.33380909269999998</v>
      </c>
      <c r="O63" s="80" t="s">
        <v>136</v>
      </c>
      <c r="P63" s="80">
        <v>0</v>
      </c>
      <c r="Q63" s="27">
        <v>49.457770842999999</v>
      </c>
      <c r="R63" s="27">
        <v>8.05249039E-2</v>
      </c>
      <c r="S63" s="80" t="s">
        <v>136</v>
      </c>
      <c r="T63" s="80">
        <v>0</v>
      </c>
      <c r="U63" s="80" t="s">
        <v>136</v>
      </c>
      <c r="V63" s="80">
        <v>0</v>
      </c>
      <c r="W63" s="27">
        <v>0.72937886259999996</v>
      </c>
      <c r="X63" s="27">
        <v>6.9506053E-3</v>
      </c>
      <c r="Y63" s="27">
        <v>68.864064171999999</v>
      </c>
      <c r="Z63" s="27">
        <v>1.5313966857000001</v>
      </c>
      <c r="AA63" s="80" t="s">
        <v>136</v>
      </c>
      <c r="AB63" s="80">
        <v>0</v>
      </c>
      <c r="AC63" s="27">
        <v>1.5142265E-3</v>
      </c>
      <c r="AD63" s="27">
        <v>8.3965300000000004E-6</v>
      </c>
      <c r="AE63" s="80" t="s">
        <v>136</v>
      </c>
      <c r="AF63" s="80">
        <v>0</v>
      </c>
      <c r="AG63" s="80" t="s">
        <v>136</v>
      </c>
      <c r="AH63" s="80">
        <v>0</v>
      </c>
      <c r="AI63" s="27">
        <f t="shared" si="4"/>
        <v>1.5142265E-3</v>
      </c>
      <c r="AJ63" s="27">
        <f t="shared" si="5"/>
        <v>8.3965300000000004E-6</v>
      </c>
      <c r="AK63" s="27">
        <v>156.86149954000001</v>
      </c>
      <c r="AL63" s="27">
        <v>1.945409513</v>
      </c>
      <c r="AM63" s="80" t="s">
        <v>136</v>
      </c>
      <c r="AN63" s="80">
        <v>0</v>
      </c>
      <c r="AO63" s="80" t="s">
        <v>136</v>
      </c>
      <c r="AP63" s="80">
        <v>0</v>
      </c>
      <c r="AQ63" s="80" t="s">
        <v>136</v>
      </c>
      <c r="AR63" s="80">
        <v>0</v>
      </c>
      <c r="AS63" s="27">
        <v>92.154621621999993</v>
      </c>
      <c r="AT63" s="27">
        <v>2.7931690739000001</v>
      </c>
      <c r="AU63" s="27">
        <v>84.550719186999999</v>
      </c>
      <c r="AV63" s="27">
        <v>0.65045464509999995</v>
      </c>
      <c r="AW63" s="27">
        <v>36.733633357000002</v>
      </c>
      <c r="AX63" s="27">
        <v>0.39670635259999998</v>
      </c>
      <c r="AY63" s="27">
        <v>10.390556036</v>
      </c>
      <c r="AZ63" s="27">
        <v>8.3916084000000002E-2</v>
      </c>
      <c r="BA63" s="80">
        <f t="shared" si="6"/>
        <v>37.426529793999997</v>
      </c>
      <c r="BB63" s="80">
        <f t="shared" si="7"/>
        <v>0.16983220849999997</v>
      </c>
      <c r="BC63" s="27">
        <v>0</v>
      </c>
      <c r="BD63" s="80">
        <v>0</v>
      </c>
      <c r="BE63" s="27">
        <v>257.12426153000001</v>
      </c>
      <c r="BF63" s="27">
        <v>2.9578496242000001</v>
      </c>
      <c r="BG63" s="27">
        <v>9.8989248999999998E-3</v>
      </c>
      <c r="BH63" s="80">
        <v>0</v>
      </c>
      <c r="BI63" s="27">
        <v>145.41606801</v>
      </c>
      <c r="BJ63" s="27">
        <v>4.3281286215000003</v>
      </c>
      <c r="BK63" s="27">
        <v>296.62340833000002</v>
      </c>
      <c r="BL63" s="27">
        <v>1.8901850733000001</v>
      </c>
      <c r="BM63" s="27">
        <v>39.342404924999997</v>
      </c>
      <c r="BN63" s="27">
        <v>0.16598391400000001</v>
      </c>
      <c r="BO63" s="27">
        <v>0.62873733180000002</v>
      </c>
      <c r="BP63" s="27">
        <v>2.1274346999999999E-3</v>
      </c>
      <c r="BQ63" s="27">
        <v>0</v>
      </c>
      <c r="BR63" s="92">
        <v>0</v>
      </c>
      <c r="BS63" s="80" t="s">
        <v>136</v>
      </c>
      <c r="BT63" s="80">
        <v>0</v>
      </c>
      <c r="BU63" s="27">
        <v>1.1221102209</v>
      </c>
      <c r="BV63" s="27">
        <v>1.5228451E-2</v>
      </c>
      <c r="BW63" s="27">
        <v>42.295557420000002</v>
      </c>
      <c r="BX63" s="27">
        <v>0.3185806417</v>
      </c>
      <c r="BY63" s="80" t="s">
        <v>136</v>
      </c>
      <c r="BZ63" s="80">
        <v>0</v>
      </c>
      <c r="CA63" s="80" t="s">
        <v>136</v>
      </c>
      <c r="CB63" s="80">
        <v>0</v>
      </c>
      <c r="CC63" s="27">
        <v>27.678870744000001</v>
      </c>
      <c r="CD63" s="27">
        <v>2.7364161800000002E-2</v>
      </c>
      <c r="CE63" s="27">
        <v>21.778900099000001</v>
      </c>
      <c r="CF63" s="27">
        <v>5.3160742099999998E-2</v>
      </c>
      <c r="CG63" s="80" t="s">
        <v>136</v>
      </c>
      <c r="CH63" s="80">
        <v>0</v>
      </c>
      <c r="CI63" s="80" t="s">
        <v>136</v>
      </c>
      <c r="CJ63" s="80">
        <v>0</v>
      </c>
      <c r="CK63" s="80" t="s">
        <v>136</v>
      </c>
      <c r="CL63" s="80">
        <v>0</v>
      </c>
      <c r="CM63" s="80" t="s">
        <v>136</v>
      </c>
      <c r="CN63" s="80">
        <v>0</v>
      </c>
      <c r="CO63" s="27">
        <v>0.3103098078</v>
      </c>
      <c r="CP63" s="27">
        <v>3.2665620999999998E-3</v>
      </c>
      <c r="CQ63" s="27">
        <v>0.41906905480000001</v>
      </c>
      <c r="CR63" s="27">
        <v>3.6840432999999998E-3</v>
      </c>
      <c r="CS63" s="27">
        <v>6.678886425</v>
      </c>
      <c r="CT63" s="27">
        <v>6.5080537699999996E-2</v>
      </c>
      <c r="CU63" s="27">
        <v>62.185177746999997</v>
      </c>
      <c r="CV63" s="27">
        <v>1.466316148</v>
      </c>
      <c r="CW63" s="93" t="s">
        <v>136</v>
      </c>
      <c r="CX63" s="80">
        <v>0</v>
      </c>
      <c r="CY63" s="80" t="s">
        <v>136</v>
      </c>
      <c r="CZ63" s="94">
        <v>0</v>
      </c>
      <c r="DA63" s="27">
        <v>42.761572950000001</v>
      </c>
      <c r="DB63" s="27">
        <v>0.91971647349999996</v>
      </c>
      <c r="DC63" s="27">
        <v>49.393048671999999</v>
      </c>
      <c r="DD63" s="27">
        <v>1.8734526004000001</v>
      </c>
      <c r="DE63" s="27">
        <v>47.222800368000001</v>
      </c>
      <c r="DF63" s="27">
        <v>1.1381720638999999</v>
      </c>
      <c r="DG63" s="27">
        <v>209.90146116</v>
      </c>
      <c r="DH63" s="27">
        <v>1.8196775601999999</v>
      </c>
      <c r="DI63" s="95">
        <v>4.5452840000000001E-3</v>
      </c>
      <c r="DJ63" s="96">
        <v>8.2319485000000008E-3</v>
      </c>
      <c r="DK63" s="96">
        <v>9.3723386999999998E-3</v>
      </c>
      <c r="DL63" s="96">
        <v>9.6970943000000004E-3</v>
      </c>
      <c r="DM63" s="96">
        <v>9.7538745000000007E-3</v>
      </c>
      <c r="DN63" s="96">
        <v>9.7797293999999993E-3</v>
      </c>
      <c r="DO63" s="96">
        <v>9.7963044000000006E-3</v>
      </c>
      <c r="DP63" s="96">
        <v>9.8097303999999993E-3</v>
      </c>
      <c r="DQ63" s="96">
        <v>9.8209088E-3</v>
      </c>
      <c r="DR63" s="97">
        <v>9.8291335000000001E-3</v>
      </c>
      <c r="DS63" s="93">
        <v>103.68323040999999</v>
      </c>
      <c r="DT63" s="80">
        <v>0.72171712050000003</v>
      </c>
      <c r="DU63" s="80">
        <v>54.635251394999997</v>
      </c>
      <c r="DV63" s="80">
        <v>0.39670996949999998</v>
      </c>
      <c r="DW63" s="80">
        <v>28.694361628999999</v>
      </c>
      <c r="DX63" s="80">
        <v>0.2181699466</v>
      </c>
      <c r="DY63" s="80">
        <v>15.26968211</v>
      </c>
      <c r="DZ63" s="80">
        <v>0.1232213981</v>
      </c>
      <c r="EA63" s="80">
        <v>8.4147023511000008</v>
      </c>
      <c r="EB63" s="80">
        <v>7.34559251E-2</v>
      </c>
      <c r="EC63" s="80">
        <v>4.8642870836999998</v>
      </c>
      <c r="ED63" s="80">
        <v>4.68961803E-2</v>
      </c>
      <c r="EE63" s="80">
        <v>2.9770743956999999</v>
      </c>
      <c r="EF63" s="80">
        <v>3.2235333200000001E-2</v>
      </c>
      <c r="EG63" s="80">
        <v>1.9292026493000001</v>
      </c>
      <c r="EH63" s="80">
        <v>2.3673705199999999E-2</v>
      </c>
      <c r="EI63" s="80">
        <v>1.3242356151000001</v>
      </c>
      <c r="EJ63" s="80">
        <v>1.83849289E-2</v>
      </c>
      <c r="EK63" s="80">
        <v>0.9512673639</v>
      </c>
      <c r="EL63" s="94">
        <v>1.4848529799999999E-2</v>
      </c>
    </row>
    <row r="64" spans="1:142" x14ac:dyDescent="0.2">
      <c r="A64" s="79">
        <v>5900</v>
      </c>
      <c r="B64" s="27">
        <v>5628</v>
      </c>
      <c r="C64" s="79">
        <v>2771.3748854</v>
      </c>
      <c r="D64" s="27">
        <v>5850.4743870000002</v>
      </c>
      <c r="E64" s="27">
        <v>112.34220641</v>
      </c>
      <c r="F64" s="27">
        <v>0.11312322869999999</v>
      </c>
      <c r="G64" s="79">
        <v>11.908599046999999</v>
      </c>
      <c r="H64" s="27">
        <v>4.6628518999999998E-3</v>
      </c>
      <c r="I64" s="27">
        <v>193.29301568</v>
      </c>
      <c r="J64" s="27">
        <v>1.2785426572</v>
      </c>
      <c r="K64" s="27">
        <v>113.29685627000001</v>
      </c>
      <c r="L64" s="27">
        <v>0.70931937450000004</v>
      </c>
      <c r="M64" s="27">
        <v>43.965937930999999</v>
      </c>
      <c r="N64" s="27">
        <v>0.33780179269999999</v>
      </c>
      <c r="O64" s="80" t="s">
        <v>136</v>
      </c>
      <c r="P64" s="80">
        <v>0</v>
      </c>
      <c r="Q64" s="27">
        <v>50.632263276000003</v>
      </c>
      <c r="R64" s="27">
        <v>8.2145831599999997E-2</v>
      </c>
      <c r="S64" s="80" t="s">
        <v>136</v>
      </c>
      <c r="T64" s="80">
        <v>0</v>
      </c>
      <c r="U64" s="80" t="s">
        <v>136</v>
      </c>
      <c r="V64" s="80">
        <v>0</v>
      </c>
      <c r="W64" s="27">
        <v>0.74395640380000005</v>
      </c>
      <c r="X64" s="27">
        <v>7.0913245999999997E-3</v>
      </c>
      <c r="Y64" s="27">
        <v>70.075921406000006</v>
      </c>
      <c r="Z64" s="27">
        <v>1.5560241255</v>
      </c>
      <c r="AA64" s="80" t="s">
        <v>136</v>
      </c>
      <c r="AB64" s="80">
        <v>0</v>
      </c>
      <c r="AC64" s="27">
        <v>1.5088904000000001E-3</v>
      </c>
      <c r="AD64" s="27">
        <v>8.3662312999999992E-6</v>
      </c>
      <c r="AE64" s="80" t="s">
        <v>136</v>
      </c>
      <c r="AF64" s="80">
        <v>0</v>
      </c>
      <c r="AG64" s="80" t="s">
        <v>136</v>
      </c>
      <c r="AH64" s="80">
        <v>0</v>
      </c>
      <c r="AI64" s="27">
        <f t="shared" si="4"/>
        <v>1.5088904000000001E-3</v>
      </c>
      <c r="AJ64" s="27">
        <f t="shared" si="5"/>
        <v>8.3662312999999992E-6</v>
      </c>
      <c r="AK64" s="27">
        <v>158.16553144</v>
      </c>
      <c r="AL64" s="27">
        <v>1.9553223154999999</v>
      </c>
      <c r="AM64" s="80" t="s">
        <v>136</v>
      </c>
      <c r="AN64" s="80">
        <v>0</v>
      </c>
      <c r="AO64" s="80" t="s">
        <v>136</v>
      </c>
      <c r="AP64" s="80">
        <v>0</v>
      </c>
      <c r="AQ64" s="80" t="s">
        <v>136</v>
      </c>
      <c r="AR64" s="80">
        <v>0</v>
      </c>
      <c r="AS64" s="27">
        <v>93.106514391000005</v>
      </c>
      <c r="AT64" s="27">
        <v>2.8140987917000002</v>
      </c>
      <c r="AU64" s="27">
        <v>85.579220442999997</v>
      </c>
      <c r="AV64" s="27">
        <v>0.65626114950000003</v>
      </c>
      <c r="AW64" s="27">
        <v>37.099370274999998</v>
      </c>
      <c r="AX64" s="27">
        <v>0.40008196530000001</v>
      </c>
      <c r="AY64" s="27">
        <v>10.486763655000001</v>
      </c>
      <c r="AZ64" s="27">
        <v>8.4506734200000003E-2</v>
      </c>
      <c r="BA64" s="80">
        <f t="shared" si="6"/>
        <v>37.993086512999994</v>
      </c>
      <c r="BB64" s="80">
        <f t="shared" si="7"/>
        <v>0.17167245000000003</v>
      </c>
      <c r="BC64" s="27">
        <v>0</v>
      </c>
      <c r="BD64" s="80">
        <v>0</v>
      </c>
      <c r="BE64" s="27">
        <v>261.29591341000003</v>
      </c>
      <c r="BF64" s="27">
        <v>2.9858242174999998</v>
      </c>
      <c r="BG64" s="27">
        <v>1.01031301E-2</v>
      </c>
      <c r="BH64" s="80">
        <v>0</v>
      </c>
      <c r="BI64" s="27">
        <v>146.45772792</v>
      </c>
      <c r="BJ64" s="27">
        <v>4.3502429342999998</v>
      </c>
      <c r="BK64" s="27">
        <v>301.48034867000001</v>
      </c>
      <c r="BL64" s="27">
        <v>1.9167971729</v>
      </c>
      <c r="BM64" s="27">
        <v>39.888649006999998</v>
      </c>
      <c r="BN64" s="27">
        <v>0.16781524049999999</v>
      </c>
      <c r="BO64" s="27">
        <v>0.67429400480000001</v>
      </c>
      <c r="BP64" s="27">
        <v>2.1552752E-3</v>
      </c>
      <c r="BQ64" s="27">
        <v>0</v>
      </c>
      <c r="BR64" s="92">
        <v>0</v>
      </c>
      <c r="BS64" s="80" t="s">
        <v>136</v>
      </c>
      <c r="BT64" s="80">
        <v>0</v>
      </c>
      <c r="BU64" s="27">
        <v>1.1377899049</v>
      </c>
      <c r="BV64" s="27">
        <v>1.5447430599999999E-2</v>
      </c>
      <c r="BW64" s="27">
        <v>42.828148026000001</v>
      </c>
      <c r="BX64" s="27">
        <v>0.32235436210000001</v>
      </c>
      <c r="BY64" s="80" t="s">
        <v>136</v>
      </c>
      <c r="BZ64" s="80">
        <v>0</v>
      </c>
      <c r="CA64" s="80" t="s">
        <v>136</v>
      </c>
      <c r="CB64" s="80">
        <v>0</v>
      </c>
      <c r="CC64" s="27">
        <v>28.412248108</v>
      </c>
      <c r="CD64" s="27">
        <v>2.7974441400000001E-2</v>
      </c>
      <c r="CE64" s="27">
        <v>22.220015168</v>
      </c>
      <c r="CF64" s="27">
        <v>5.4171390299999997E-2</v>
      </c>
      <c r="CG64" s="80" t="s">
        <v>136</v>
      </c>
      <c r="CH64" s="80">
        <v>0</v>
      </c>
      <c r="CI64" s="80" t="s">
        <v>136</v>
      </c>
      <c r="CJ64" s="80">
        <v>0</v>
      </c>
      <c r="CK64" s="80" t="s">
        <v>136</v>
      </c>
      <c r="CL64" s="80">
        <v>0</v>
      </c>
      <c r="CM64" s="80" t="s">
        <v>136</v>
      </c>
      <c r="CN64" s="80">
        <v>0</v>
      </c>
      <c r="CO64" s="27">
        <v>0.31501563789999998</v>
      </c>
      <c r="CP64" s="27">
        <v>3.3327141000000001E-3</v>
      </c>
      <c r="CQ64" s="27">
        <v>0.42894076590000002</v>
      </c>
      <c r="CR64" s="27">
        <v>3.7586106000000001E-3</v>
      </c>
      <c r="CS64" s="27">
        <v>6.8618606707999996</v>
      </c>
      <c r="CT64" s="27">
        <v>6.6535699500000003E-2</v>
      </c>
      <c r="CU64" s="27">
        <v>63.214060734999997</v>
      </c>
      <c r="CV64" s="27">
        <v>1.4894884260000001</v>
      </c>
      <c r="CW64" s="93" t="s">
        <v>136</v>
      </c>
      <c r="CX64" s="80">
        <v>0</v>
      </c>
      <c r="CY64" s="80" t="s">
        <v>136</v>
      </c>
      <c r="CZ64" s="94">
        <v>0</v>
      </c>
      <c r="DA64" s="27">
        <v>43.241947801000002</v>
      </c>
      <c r="DB64" s="27">
        <v>0.92834900350000005</v>
      </c>
      <c r="DC64" s="27">
        <v>49.864566590000003</v>
      </c>
      <c r="DD64" s="27">
        <v>1.8857497882000001</v>
      </c>
      <c r="DE64" s="27">
        <v>48.772083449</v>
      </c>
      <c r="DF64" s="27">
        <v>1.1514270012000001</v>
      </c>
      <c r="DG64" s="27">
        <v>212.52382996</v>
      </c>
      <c r="DH64" s="27">
        <v>1.8343972163</v>
      </c>
      <c r="DI64" s="95">
        <v>4.6262615000000002E-3</v>
      </c>
      <c r="DJ64" s="96">
        <v>8.3860779999999999E-3</v>
      </c>
      <c r="DK64" s="96">
        <v>9.5561195999999994E-3</v>
      </c>
      <c r="DL64" s="96">
        <v>9.8941770000000005E-3</v>
      </c>
      <c r="DM64" s="96">
        <v>9.9524739999999993E-3</v>
      </c>
      <c r="DN64" s="96">
        <v>9.9787829999999998E-3</v>
      </c>
      <c r="DO64" s="96">
        <v>9.9958519999999995E-3</v>
      </c>
      <c r="DP64" s="96">
        <v>1.00097841E-2</v>
      </c>
      <c r="DQ64" s="96">
        <v>1.0021477399999999E-2</v>
      </c>
      <c r="DR64" s="97">
        <v>1.00302298E-2</v>
      </c>
      <c r="DS64" s="93">
        <v>104.38970329999999</v>
      </c>
      <c r="DT64" s="80">
        <v>0.72663453619999996</v>
      </c>
      <c r="DU64" s="80">
        <v>55.146361388000003</v>
      </c>
      <c r="DV64" s="80">
        <v>0.400379651</v>
      </c>
      <c r="DW64" s="80">
        <v>29.037487557999999</v>
      </c>
      <c r="DX64" s="80">
        <v>0.22074762980000001</v>
      </c>
      <c r="DY64" s="80">
        <v>15.495899938000001</v>
      </c>
      <c r="DZ64" s="80">
        <v>0.12501110130000001</v>
      </c>
      <c r="EA64" s="80">
        <v>8.5642040438000002</v>
      </c>
      <c r="EB64" s="80">
        <v>7.4716480500000002E-2</v>
      </c>
      <c r="EC64" s="80">
        <v>4.9640622434999999</v>
      </c>
      <c r="ED64" s="80">
        <v>4.78005902E-2</v>
      </c>
      <c r="EE64" s="80">
        <v>3.0444066187000001</v>
      </c>
      <c r="EF64" s="80">
        <v>3.2901367199999997E-2</v>
      </c>
      <c r="EG64" s="80">
        <v>1.9761463998</v>
      </c>
      <c r="EH64" s="80">
        <v>2.4179550099999999E-2</v>
      </c>
      <c r="EI64" s="80">
        <v>1.3578870745</v>
      </c>
      <c r="EJ64" s="80">
        <v>1.8781231299999999E-2</v>
      </c>
      <c r="EK64" s="80">
        <v>0.97549516469999997</v>
      </c>
      <c r="EL64" s="94">
        <v>1.51622645E-2</v>
      </c>
    </row>
    <row r="65" spans="1:142" x14ac:dyDescent="0.2">
      <c r="A65" s="79">
        <v>6000</v>
      </c>
      <c r="B65" s="27">
        <v>5504</v>
      </c>
      <c r="C65" s="79">
        <v>2797.2672640000001</v>
      </c>
      <c r="D65" s="27">
        <v>5949.7028376999997</v>
      </c>
      <c r="E65" s="27">
        <v>113.92682474999999</v>
      </c>
      <c r="F65" s="27">
        <v>0.1139988629</v>
      </c>
      <c r="G65" s="79">
        <v>12.239603985</v>
      </c>
      <c r="H65" s="27">
        <v>4.7553168000000002E-3</v>
      </c>
      <c r="I65" s="27">
        <v>194.13421423</v>
      </c>
      <c r="J65" s="27">
        <v>1.2842797379999999</v>
      </c>
      <c r="K65" s="27">
        <v>114.33365422999999</v>
      </c>
      <c r="L65" s="27">
        <v>0.71613155709999998</v>
      </c>
      <c r="M65" s="27">
        <v>44.615901430000001</v>
      </c>
      <c r="N65" s="27">
        <v>0.34267695079999999</v>
      </c>
      <c r="O65" s="80" t="s">
        <v>136</v>
      </c>
      <c r="P65" s="80">
        <v>0</v>
      </c>
      <c r="Q65" s="27">
        <v>51.782274510000001</v>
      </c>
      <c r="R65" s="27">
        <v>8.3792262699999995E-2</v>
      </c>
      <c r="S65" s="80" t="s">
        <v>136</v>
      </c>
      <c r="T65" s="80">
        <v>0</v>
      </c>
      <c r="U65" s="80" t="s">
        <v>136</v>
      </c>
      <c r="V65" s="80">
        <v>0</v>
      </c>
      <c r="W65" s="27">
        <v>0.75230434300000004</v>
      </c>
      <c r="X65" s="27">
        <v>7.1684297000000003E-3</v>
      </c>
      <c r="Y65" s="27">
        <v>71.175234466000006</v>
      </c>
      <c r="Z65" s="27">
        <v>1.5789049686000001</v>
      </c>
      <c r="AA65" s="80" t="s">
        <v>136</v>
      </c>
      <c r="AB65" s="80">
        <v>0</v>
      </c>
      <c r="AC65" s="27">
        <v>1.5037668E-3</v>
      </c>
      <c r="AD65" s="27">
        <v>8.3369486000000007E-6</v>
      </c>
      <c r="AE65" s="80" t="s">
        <v>136</v>
      </c>
      <c r="AF65" s="80">
        <v>0</v>
      </c>
      <c r="AG65" s="80" t="s">
        <v>136</v>
      </c>
      <c r="AH65" s="80">
        <v>0</v>
      </c>
      <c r="AI65" s="27">
        <f t="shared" si="4"/>
        <v>1.5037668E-3</v>
      </c>
      <c r="AJ65" s="27">
        <f t="shared" si="5"/>
        <v>8.3369486000000007E-6</v>
      </c>
      <c r="AK65" s="27">
        <v>159.34359380999999</v>
      </c>
      <c r="AL65" s="27">
        <v>1.9648113663</v>
      </c>
      <c r="AM65" s="80" t="s">
        <v>136</v>
      </c>
      <c r="AN65" s="80">
        <v>0</v>
      </c>
      <c r="AO65" s="80" t="s">
        <v>136</v>
      </c>
      <c r="AP65" s="80">
        <v>0</v>
      </c>
      <c r="AQ65" s="80" t="s">
        <v>136</v>
      </c>
      <c r="AR65" s="80">
        <v>0</v>
      </c>
      <c r="AS65" s="27">
        <v>94.028119681000007</v>
      </c>
      <c r="AT65" s="27">
        <v>2.8345114435999998</v>
      </c>
      <c r="AU65" s="27">
        <v>86.637305256000005</v>
      </c>
      <c r="AV65" s="27">
        <v>0.66226400490000004</v>
      </c>
      <c r="AW65" s="27">
        <v>37.526942546000001</v>
      </c>
      <c r="AX65" s="27">
        <v>0.40372245950000002</v>
      </c>
      <c r="AY65" s="27">
        <v>10.563616594000001</v>
      </c>
      <c r="AZ65" s="27">
        <v>8.5022532200000001E-2</v>
      </c>
      <c r="BA65" s="80">
        <f t="shared" si="6"/>
        <v>38.546746116000001</v>
      </c>
      <c r="BB65" s="80">
        <f t="shared" si="7"/>
        <v>0.17351901320000002</v>
      </c>
      <c r="BC65" s="27">
        <v>0</v>
      </c>
      <c r="BD65" s="80">
        <v>0</v>
      </c>
      <c r="BE65" s="27">
        <v>265.41015191999998</v>
      </c>
      <c r="BF65" s="27">
        <v>3.0127773388999999</v>
      </c>
      <c r="BG65" s="27">
        <v>1.03664762E-2</v>
      </c>
      <c r="BH65" s="80">
        <v>0</v>
      </c>
      <c r="BI65" s="27">
        <v>147.36777953000001</v>
      </c>
      <c r="BJ65" s="27">
        <v>4.3697274122999996</v>
      </c>
      <c r="BK65" s="27">
        <v>306.40161267000002</v>
      </c>
      <c r="BL65" s="27">
        <v>1.9446843146999999</v>
      </c>
      <c r="BM65" s="27">
        <v>40.449216356999997</v>
      </c>
      <c r="BN65" s="27">
        <v>0.16972473320000001</v>
      </c>
      <c r="BO65" s="27">
        <v>0.68533558220000002</v>
      </c>
      <c r="BP65" s="27">
        <v>2.1684370000000001E-3</v>
      </c>
      <c r="BQ65" s="27">
        <v>0</v>
      </c>
      <c r="BR65" s="92">
        <v>0</v>
      </c>
      <c r="BS65" s="80" t="s">
        <v>136</v>
      </c>
      <c r="BT65" s="80">
        <v>0</v>
      </c>
      <c r="BU65" s="27">
        <v>1.1520609648</v>
      </c>
      <c r="BV65" s="27">
        <v>1.55968407E-2</v>
      </c>
      <c r="BW65" s="27">
        <v>43.463840464999997</v>
      </c>
      <c r="BX65" s="27">
        <v>0.32708011009999999</v>
      </c>
      <c r="BY65" s="80" t="s">
        <v>136</v>
      </c>
      <c r="BZ65" s="80">
        <v>0</v>
      </c>
      <c r="CA65" s="80" t="s">
        <v>136</v>
      </c>
      <c r="CB65" s="80">
        <v>0</v>
      </c>
      <c r="CC65" s="27">
        <v>29.118745609000001</v>
      </c>
      <c r="CD65" s="27">
        <v>2.8572452200000001E-2</v>
      </c>
      <c r="CE65" s="27">
        <v>22.663528900999999</v>
      </c>
      <c r="CF65" s="27">
        <v>5.5219810500000001E-2</v>
      </c>
      <c r="CG65" s="80" t="s">
        <v>136</v>
      </c>
      <c r="CH65" s="80">
        <v>0</v>
      </c>
      <c r="CI65" s="80" t="s">
        <v>136</v>
      </c>
      <c r="CJ65" s="80">
        <v>0</v>
      </c>
      <c r="CK65" s="80" t="s">
        <v>136</v>
      </c>
      <c r="CL65" s="80">
        <v>0</v>
      </c>
      <c r="CM65" s="80" t="s">
        <v>136</v>
      </c>
      <c r="CN65" s="80">
        <v>0</v>
      </c>
      <c r="CO65" s="27">
        <v>0.31430274019999999</v>
      </c>
      <c r="CP65" s="27">
        <v>3.3258662999999999E-3</v>
      </c>
      <c r="CQ65" s="27">
        <v>0.4380016028</v>
      </c>
      <c r="CR65" s="27">
        <v>3.8425633999999999E-3</v>
      </c>
      <c r="CS65" s="27">
        <v>6.9987226816000003</v>
      </c>
      <c r="CT65" s="27">
        <v>6.7866101200000001E-2</v>
      </c>
      <c r="CU65" s="27">
        <v>64.176511785000002</v>
      </c>
      <c r="CV65" s="27">
        <v>1.5110388673999999</v>
      </c>
      <c r="CW65" s="93" t="s">
        <v>136</v>
      </c>
      <c r="CX65" s="80">
        <v>0</v>
      </c>
      <c r="CY65" s="80" t="s">
        <v>136</v>
      </c>
      <c r="CZ65" s="94">
        <v>0</v>
      </c>
      <c r="DA65" s="27">
        <v>43.724345509000003</v>
      </c>
      <c r="DB65" s="27">
        <v>0.93718751410000001</v>
      </c>
      <c r="DC65" s="27">
        <v>50.303774171999997</v>
      </c>
      <c r="DD65" s="27">
        <v>1.8973239296</v>
      </c>
      <c r="DE65" s="27">
        <v>50.340319788000002</v>
      </c>
      <c r="DF65" s="27">
        <v>1.1645636051999999</v>
      </c>
      <c r="DG65" s="27">
        <v>215.06983213999999</v>
      </c>
      <c r="DH65" s="27">
        <v>1.8482137337</v>
      </c>
      <c r="DI65" s="95">
        <v>4.7159615999999996E-3</v>
      </c>
      <c r="DJ65" s="96">
        <v>8.5450067999999994E-3</v>
      </c>
      <c r="DK65" s="96">
        <v>9.7400161999999998E-3</v>
      </c>
      <c r="DL65" s="96">
        <v>1.00881372E-2</v>
      </c>
      <c r="DM65" s="96">
        <v>1.01504257E-2</v>
      </c>
      <c r="DN65" s="96">
        <v>1.0179530799999999E-2</v>
      </c>
      <c r="DO65" s="96">
        <v>1.0198860800000001E-2</v>
      </c>
      <c r="DP65" s="96">
        <v>1.02150651E-2</v>
      </c>
      <c r="DQ65" s="96">
        <v>1.02290387E-2</v>
      </c>
      <c r="DR65" s="97">
        <v>1.02400839E-2</v>
      </c>
      <c r="DS65" s="93">
        <v>105.09047441</v>
      </c>
      <c r="DT65" s="80">
        <v>0.73145530579999996</v>
      </c>
      <c r="DU65" s="80">
        <v>55.660768961999999</v>
      </c>
      <c r="DV65" s="80">
        <v>0.40402593999999997</v>
      </c>
      <c r="DW65" s="80">
        <v>29.391877747999999</v>
      </c>
      <c r="DX65" s="80">
        <v>0.22333516619999999</v>
      </c>
      <c r="DY65" s="80">
        <v>15.730687332</v>
      </c>
      <c r="DZ65" s="80">
        <v>0.12678902510000001</v>
      </c>
      <c r="EA65" s="80">
        <v>8.7179632729000005</v>
      </c>
      <c r="EB65" s="80">
        <v>7.5937694900000005E-2</v>
      </c>
      <c r="EC65" s="80">
        <v>5.0646431084000003</v>
      </c>
      <c r="ED65" s="80">
        <v>4.8648635699999998E-2</v>
      </c>
      <c r="EE65" s="80">
        <v>3.110490816</v>
      </c>
      <c r="EF65" s="80">
        <v>3.34999396E-2</v>
      </c>
      <c r="EG65" s="80">
        <v>2.0211530899999999</v>
      </c>
      <c r="EH65" s="80">
        <v>2.4623426100000002E-2</v>
      </c>
      <c r="EI65" s="80">
        <v>1.3904493673</v>
      </c>
      <c r="EJ65" s="80">
        <v>1.91298276E-2</v>
      </c>
      <c r="EK65" s="80">
        <v>0.99964050419999995</v>
      </c>
      <c r="EL65" s="94">
        <v>1.5441775099999999E-2</v>
      </c>
    </row>
    <row r="66" spans="1:142" x14ac:dyDescent="0.2">
      <c r="A66" s="79">
        <v>6100</v>
      </c>
      <c r="B66" s="27">
        <v>5305</v>
      </c>
      <c r="C66" s="79">
        <v>2822.7799832000001</v>
      </c>
      <c r="D66" s="27">
        <v>6049.5981496000004</v>
      </c>
      <c r="E66" s="27">
        <v>115.4695019</v>
      </c>
      <c r="F66" s="27">
        <v>0.11483166810000001</v>
      </c>
      <c r="G66" s="79">
        <v>12.492120181000001</v>
      </c>
      <c r="H66" s="27">
        <v>4.8237013999999998E-3</v>
      </c>
      <c r="I66" s="27">
        <v>194.93755677999999</v>
      </c>
      <c r="J66" s="27">
        <v>1.2896934262999999</v>
      </c>
      <c r="K66" s="27">
        <v>115.22288924</v>
      </c>
      <c r="L66" s="27">
        <v>0.72210918040000005</v>
      </c>
      <c r="M66" s="27">
        <v>45.265388191</v>
      </c>
      <c r="N66" s="27">
        <v>0.34732082019999999</v>
      </c>
      <c r="O66" s="80" t="s">
        <v>136</v>
      </c>
      <c r="P66" s="80">
        <v>0</v>
      </c>
      <c r="Q66" s="27">
        <v>52.875683275</v>
      </c>
      <c r="R66" s="27">
        <v>8.5348117400000006E-2</v>
      </c>
      <c r="S66" s="80" t="s">
        <v>136</v>
      </c>
      <c r="T66" s="80">
        <v>0</v>
      </c>
      <c r="U66" s="80" t="s">
        <v>136</v>
      </c>
      <c r="V66" s="80">
        <v>0</v>
      </c>
      <c r="W66" s="27">
        <v>0.76783125809999997</v>
      </c>
      <c r="X66" s="27">
        <v>7.3152629999999998E-3</v>
      </c>
      <c r="Y66" s="27">
        <v>72.204552543000005</v>
      </c>
      <c r="Z66" s="27">
        <v>1.5987586045</v>
      </c>
      <c r="AA66" s="80" t="s">
        <v>136</v>
      </c>
      <c r="AB66" s="80">
        <v>0</v>
      </c>
      <c r="AC66" s="27">
        <v>1.499106E-3</v>
      </c>
      <c r="AD66" s="27">
        <v>8.3098262000000006E-6</v>
      </c>
      <c r="AE66" s="80" t="s">
        <v>136</v>
      </c>
      <c r="AF66" s="80">
        <v>0</v>
      </c>
      <c r="AG66" s="80" t="s">
        <v>136</v>
      </c>
      <c r="AH66" s="80">
        <v>0</v>
      </c>
      <c r="AI66" s="27">
        <f t="shared" si="4"/>
        <v>1.499106E-3</v>
      </c>
      <c r="AJ66" s="27">
        <f t="shared" si="5"/>
        <v>8.3098262000000006E-6</v>
      </c>
      <c r="AK66" s="27">
        <v>160.49443396999999</v>
      </c>
      <c r="AL66" s="27">
        <v>1.9737673360000001</v>
      </c>
      <c r="AM66" s="80" t="s">
        <v>136</v>
      </c>
      <c r="AN66" s="80">
        <v>0</v>
      </c>
      <c r="AO66" s="80" t="s">
        <v>136</v>
      </c>
      <c r="AP66" s="80">
        <v>0</v>
      </c>
      <c r="AQ66" s="80" t="s">
        <v>136</v>
      </c>
      <c r="AR66" s="80">
        <v>0</v>
      </c>
      <c r="AS66" s="27">
        <v>94.899237298000003</v>
      </c>
      <c r="AT66" s="27">
        <v>2.8538328710999998</v>
      </c>
      <c r="AU66" s="27">
        <v>87.574966149000005</v>
      </c>
      <c r="AV66" s="27">
        <v>0.66799249159999996</v>
      </c>
      <c r="AW66" s="27">
        <v>37.912021774999999</v>
      </c>
      <c r="AX66" s="27">
        <v>0.40720103639999999</v>
      </c>
      <c r="AY66" s="27">
        <v>10.638675253000001</v>
      </c>
      <c r="AZ66" s="27">
        <v>8.5540659899999996E-2</v>
      </c>
      <c r="BA66" s="80">
        <f t="shared" si="6"/>
        <v>39.024269121000003</v>
      </c>
      <c r="BB66" s="80">
        <f t="shared" si="7"/>
        <v>0.17525079529999998</v>
      </c>
      <c r="BC66" s="27">
        <v>0</v>
      </c>
      <c r="BD66" s="80">
        <v>0</v>
      </c>
      <c r="BE66" s="27">
        <v>269.73630357000002</v>
      </c>
      <c r="BF66" s="27">
        <v>3.0386598627999999</v>
      </c>
      <c r="BG66" s="27">
        <v>1.05486043E-2</v>
      </c>
      <c r="BH66" s="80">
        <v>0</v>
      </c>
      <c r="BI66" s="27">
        <v>148.33979253999999</v>
      </c>
      <c r="BJ66" s="27">
        <v>4.3883239521000004</v>
      </c>
      <c r="BK66" s="27">
        <v>311.17379496000001</v>
      </c>
      <c r="BL66" s="27">
        <v>1.9715374897</v>
      </c>
      <c r="BM66" s="27">
        <v>40.952765135</v>
      </c>
      <c r="BN66" s="27">
        <v>0.171365348</v>
      </c>
      <c r="BO66" s="27">
        <v>0.71359788989999995</v>
      </c>
      <c r="BP66" s="27">
        <v>2.2159291999999998E-3</v>
      </c>
      <c r="BQ66" s="27">
        <v>0</v>
      </c>
      <c r="BR66" s="92">
        <v>0</v>
      </c>
      <c r="BS66" s="80" t="s">
        <v>136</v>
      </c>
      <c r="BT66" s="80">
        <v>0</v>
      </c>
      <c r="BU66" s="27">
        <v>1.1838977754</v>
      </c>
      <c r="BV66" s="27">
        <v>1.58055114E-2</v>
      </c>
      <c r="BW66" s="27">
        <v>44.081490416000001</v>
      </c>
      <c r="BX66" s="27">
        <v>0.33151530880000002</v>
      </c>
      <c r="BY66" s="80" t="s">
        <v>136</v>
      </c>
      <c r="BZ66" s="80">
        <v>0</v>
      </c>
      <c r="CA66" s="80" t="s">
        <v>136</v>
      </c>
      <c r="CB66" s="80">
        <v>0</v>
      </c>
      <c r="CC66" s="27">
        <v>29.791075730999999</v>
      </c>
      <c r="CD66" s="27">
        <v>2.9148307700000001E-2</v>
      </c>
      <c r="CE66" s="27">
        <v>23.084607544000001</v>
      </c>
      <c r="CF66" s="27">
        <v>5.6199809699999999E-2</v>
      </c>
      <c r="CG66" s="80" t="s">
        <v>136</v>
      </c>
      <c r="CH66" s="80">
        <v>0</v>
      </c>
      <c r="CI66" s="80" t="s">
        <v>136</v>
      </c>
      <c r="CJ66" s="80">
        <v>0</v>
      </c>
      <c r="CK66" s="80" t="s">
        <v>136</v>
      </c>
      <c r="CL66" s="80">
        <v>0</v>
      </c>
      <c r="CM66" s="80" t="s">
        <v>136</v>
      </c>
      <c r="CN66" s="80">
        <v>0</v>
      </c>
      <c r="CO66" s="27">
        <v>0.32225286419999999</v>
      </c>
      <c r="CP66" s="27">
        <v>3.4050160999999999E-3</v>
      </c>
      <c r="CQ66" s="27">
        <v>0.44557839389999998</v>
      </c>
      <c r="CR66" s="27">
        <v>3.9102468999999999E-3</v>
      </c>
      <c r="CS66" s="27">
        <v>7.1507002088</v>
      </c>
      <c r="CT66" s="27">
        <v>6.8865082699999997E-2</v>
      </c>
      <c r="CU66" s="27">
        <v>65.053852333999998</v>
      </c>
      <c r="CV66" s="27">
        <v>1.5298935217</v>
      </c>
      <c r="CW66" s="93" t="s">
        <v>136</v>
      </c>
      <c r="CX66" s="80">
        <v>0</v>
      </c>
      <c r="CY66" s="80" t="s">
        <v>136</v>
      </c>
      <c r="CZ66" s="94">
        <v>0</v>
      </c>
      <c r="DA66" s="27">
        <v>44.151732570999997</v>
      </c>
      <c r="DB66" s="27">
        <v>0.9448448076</v>
      </c>
      <c r="DC66" s="27">
        <v>50.747504726999999</v>
      </c>
      <c r="DD66" s="27">
        <v>1.9089880635000001</v>
      </c>
      <c r="DE66" s="27">
        <v>52.007295126000002</v>
      </c>
      <c r="DF66" s="27">
        <v>1.1771729682000001</v>
      </c>
      <c r="DG66" s="27">
        <v>217.72900845000001</v>
      </c>
      <c r="DH66" s="27">
        <v>1.8614868947000001</v>
      </c>
      <c r="DI66" s="95">
        <v>4.7839756000000004E-3</v>
      </c>
      <c r="DJ66" s="96">
        <v>8.6708962000000001E-3</v>
      </c>
      <c r="DK66" s="96">
        <v>9.8941827000000003E-3</v>
      </c>
      <c r="DL66" s="96">
        <v>1.02539963E-2</v>
      </c>
      <c r="DM66" s="96">
        <v>1.03200797E-2</v>
      </c>
      <c r="DN66" s="96">
        <v>1.0350274200000001E-2</v>
      </c>
      <c r="DO66" s="96">
        <v>1.03707322E-2</v>
      </c>
      <c r="DP66" s="96">
        <v>1.03880751E-2</v>
      </c>
      <c r="DQ66" s="96">
        <v>1.04031951E-2</v>
      </c>
      <c r="DR66" s="97">
        <v>1.0415398100000001E-2</v>
      </c>
      <c r="DS66" s="93">
        <v>105.7531979</v>
      </c>
      <c r="DT66" s="80">
        <v>0.7359667942</v>
      </c>
      <c r="DU66" s="80">
        <v>56.144057134000001</v>
      </c>
      <c r="DV66" s="80">
        <v>0.40740263110000002</v>
      </c>
      <c r="DW66" s="80">
        <v>29.726123286</v>
      </c>
      <c r="DX66" s="80">
        <v>0.2257350789</v>
      </c>
      <c r="DY66" s="80">
        <v>15.952068840000001</v>
      </c>
      <c r="DZ66" s="80">
        <v>0.12843237099999999</v>
      </c>
      <c r="EA66" s="80">
        <v>8.8622069239000005</v>
      </c>
      <c r="EB66" s="80">
        <v>7.7051684300000006E-2</v>
      </c>
      <c r="EC66" s="80">
        <v>5.1588772611999998</v>
      </c>
      <c r="ED66" s="80">
        <v>4.9412104800000002E-2</v>
      </c>
      <c r="EE66" s="80">
        <v>3.1721473910000002</v>
      </c>
      <c r="EF66" s="80">
        <v>3.4035821199999997E-2</v>
      </c>
      <c r="EG66" s="80">
        <v>2.0646061182</v>
      </c>
      <c r="EH66" s="80">
        <v>2.5028106599999999E-2</v>
      </c>
      <c r="EI66" s="80">
        <v>1.4208378671999999</v>
      </c>
      <c r="EJ66" s="80">
        <v>1.9439565299999999E-2</v>
      </c>
      <c r="EK66" s="80">
        <v>1.0213342482000001</v>
      </c>
      <c r="EL66" s="94">
        <v>1.5686441799999999E-2</v>
      </c>
    </row>
    <row r="67" spans="1:142" x14ac:dyDescent="0.2">
      <c r="A67" s="79">
        <v>6200</v>
      </c>
      <c r="B67" s="27">
        <v>5375</v>
      </c>
      <c r="C67" s="79">
        <v>2848.0418263000001</v>
      </c>
      <c r="D67" s="27">
        <v>6150.4423917000004</v>
      </c>
      <c r="E67" s="27">
        <v>117.1096361</v>
      </c>
      <c r="F67" s="27">
        <v>0.1157198094</v>
      </c>
      <c r="G67" s="79">
        <v>12.811867243</v>
      </c>
      <c r="H67" s="27">
        <v>4.9067245999999997E-3</v>
      </c>
      <c r="I67" s="27">
        <v>195.74220733000001</v>
      </c>
      <c r="J67" s="27">
        <v>1.2952945932</v>
      </c>
      <c r="K67" s="27">
        <v>116.14928446</v>
      </c>
      <c r="L67" s="27">
        <v>0.72824269500000005</v>
      </c>
      <c r="M67" s="27">
        <v>45.790695706999998</v>
      </c>
      <c r="N67" s="27">
        <v>0.35111877559999999</v>
      </c>
      <c r="O67" s="80" t="s">
        <v>136</v>
      </c>
      <c r="P67" s="80">
        <v>0</v>
      </c>
      <c r="Q67" s="27">
        <v>53.979235549999999</v>
      </c>
      <c r="R67" s="27">
        <v>8.6850260700000001E-2</v>
      </c>
      <c r="S67" s="80" t="s">
        <v>136</v>
      </c>
      <c r="T67" s="80">
        <v>0</v>
      </c>
      <c r="U67" s="80" t="s">
        <v>136</v>
      </c>
      <c r="V67" s="80">
        <v>0</v>
      </c>
      <c r="W67" s="27">
        <v>0.7824926177</v>
      </c>
      <c r="X67" s="27">
        <v>7.4066217999999998E-3</v>
      </c>
      <c r="Y67" s="27">
        <v>73.258705929000001</v>
      </c>
      <c r="Z67" s="27">
        <v>1.6203211312000001</v>
      </c>
      <c r="AA67" s="80" t="s">
        <v>136</v>
      </c>
      <c r="AB67" s="80">
        <v>0</v>
      </c>
      <c r="AC67" s="27">
        <v>1.5706027E-3</v>
      </c>
      <c r="AD67" s="27">
        <v>8.8511775999999993E-6</v>
      </c>
      <c r="AE67" s="80" t="s">
        <v>136</v>
      </c>
      <c r="AF67" s="80">
        <v>0</v>
      </c>
      <c r="AG67" s="80" t="s">
        <v>136</v>
      </c>
      <c r="AH67" s="80">
        <v>0</v>
      </c>
      <c r="AI67" s="27">
        <f t="shared" si="4"/>
        <v>1.5706027E-3</v>
      </c>
      <c r="AJ67" s="27">
        <f t="shared" si="5"/>
        <v>8.8511775999999993E-6</v>
      </c>
      <c r="AK67" s="27">
        <v>161.70631709</v>
      </c>
      <c r="AL67" s="27">
        <v>1.9827380956</v>
      </c>
      <c r="AM67" s="80" t="s">
        <v>136</v>
      </c>
      <c r="AN67" s="80">
        <v>0</v>
      </c>
      <c r="AO67" s="80" t="s">
        <v>136</v>
      </c>
      <c r="AP67" s="80">
        <v>0</v>
      </c>
      <c r="AQ67" s="80" t="s">
        <v>136</v>
      </c>
      <c r="AR67" s="80">
        <v>0</v>
      </c>
      <c r="AS67" s="27">
        <v>95.816288556999993</v>
      </c>
      <c r="AT67" s="27">
        <v>2.8735085521000001</v>
      </c>
      <c r="AU67" s="27">
        <v>88.539258352000004</v>
      </c>
      <c r="AV67" s="27">
        <v>0.67365074650000001</v>
      </c>
      <c r="AW67" s="27">
        <v>38.289655842999998</v>
      </c>
      <c r="AX67" s="27">
        <v>0.4106628094</v>
      </c>
      <c r="AY67" s="27">
        <v>10.710957904000001</v>
      </c>
      <c r="AZ67" s="27">
        <v>8.6015216500000005E-2</v>
      </c>
      <c r="BA67" s="80">
        <f t="shared" si="6"/>
        <v>39.538644605000002</v>
      </c>
      <c r="BB67" s="80">
        <f t="shared" si="7"/>
        <v>0.17697272060000002</v>
      </c>
      <c r="BC67" s="27">
        <v>0</v>
      </c>
      <c r="BD67" s="80">
        <v>0</v>
      </c>
      <c r="BE67" s="27">
        <v>273.95082953999997</v>
      </c>
      <c r="BF67" s="27">
        <v>3.0646126472000002</v>
      </c>
      <c r="BG67" s="27">
        <v>1.07484169E-2</v>
      </c>
      <c r="BH67" s="80">
        <v>0</v>
      </c>
      <c r="BI67" s="27">
        <v>149.20603509</v>
      </c>
      <c r="BJ67" s="27">
        <v>4.4064248192999997</v>
      </c>
      <c r="BK67" s="27">
        <v>315.99639403999998</v>
      </c>
      <c r="BL67" s="27">
        <v>1.9985086732999999</v>
      </c>
      <c r="BM67" s="27">
        <v>41.562132075000001</v>
      </c>
      <c r="BN67" s="27">
        <v>0.17345212439999999</v>
      </c>
      <c r="BO67" s="27">
        <v>0.75971888129999998</v>
      </c>
      <c r="BP67" s="27">
        <v>2.2823589999999999E-3</v>
      </c>
      <c r="BQ67" s="27">
        <v>0</v>
      </c>
      <c r="BR67" s="92">
        <v>0</v>
      </c>
      <c r="BS67" s="80" t="s">
        <v>136</v>
      </c>
      <c r="BT67" s="80">
        <v>0</v>
      </c>
      <c r="BU67" s="27">
        <v>1.1905036704</v>
      </c>
      <c r="BV67" s="27">
        <v>1.59029945E-2</v>
      </c>
      <c r="BW67" s="27">
        <v>44.600192036999999</v>
      </c>
      <c r="BX67" s="27">
        <v>0.3352157811</v>
      </c>
      <c r="BY67" s="80" t="s">
        <v>136</v>
      </c>
      <c r="BZ67" s="80">
        <v>0</v>
      </c>
      <c r="CA67" s="80" t="s">
        <v>136</v>
      </c>
      <c r="CB67" s="80">
        <v>0</v>
      </c>
      <c r="CC67" s="27">
        <v>30.523805184</v>
      </c>
      <c r="CD67" s="27">
        <v>2.9732556399999999E-2</v>
      </c>
      <c r="CE67" s="27">
        <v>23.455430366000002</v>
      </c>
      <c r="CF67" s="27">
        <v>5.7117704399999997E-2</v>
      </c>
      <c r="CG67" s="80" t="s">
        <v>136</v>
      </c>
      <c r="CH67" s="80">
        <v>0</v>
      </c>
      <c r="CI67" s="80" t="s">
        <v>136</v>
      </c>
      <c r="CJ67" s="80">
        <v>0</v>
      </c>
      <c r="CK67" s="80" t="s">
        <v>136</v>
      </c>
      <c r="CL67" s="80">
        <v>0</v>
      </c>
      <c r="CM67" s="80" t="s">
        <v>136</v>
      </c>
      <c r="CN67" s="80">
        <v>0</v>
      </c>
      <c r="CO67" s="27">
        <v>0.33061858970000002</v>
      </c>
      <c r="CP67" s="27">
        <v>3.4462170000000001E-3</v>
      </c>
      <c r="CQ67" s="27">
        <v>0.45187402799999998</v>
      </c>
      <c r="CR67" s="27">
        <v>3.9604048000000001E-3</v>
      </c>
      <c r="CS67" s="27">
        <v>7.3086428066</v>
      </c>
      <c r="CT67" s="27">
        <v>7.0139410799999996E-2</v>
      </c>
      <c r="CU67" s="27">
        <v>65.950063122000003</v>
      </c>
      <c r="CV67" s="27">
        <v>1.5501817202999999</v>
      </c>
      <c r="CW67" s="93" t="s">
        <v>136</v>
      </c>
      <c r="CX67" s="80">
        <v>0</v>
      </c>
      <c r="CY67" s="80" t="s">
        <v>136</v>
      </c>
      <c r="CZ67" s="94">
        <v>0</v>
      </c>
      <c r="DA67" s="27">
        <v>44.614125854999998</v>
      </c>
      <c r="DB67" s="27">
        <v>0.95323440940000004</v>
      </c>
      <c r="DC67" s="27">
        <v>51.202162702000003</v>
      </c>
      <c r="DD67" s="27">
        <v>1.9202741427000001</v>
      </c>
      <c r="DE67" s="27">
        <v>53.576509205000001</v>
      </c>
      <c r="DF67" s="27">
        <v>1.1899691251</v>
      </c>
      <c r="DG67" s="27">
        <v>220.37432032999999</v>
      </c>
      <c r="DH67" s="27">
        <v>1.8746435221</v>
      </c>
      <c r="DI67" s="95">
        <v>4.8666342E-3</v>
      </c>
      <c r="DJ67" s="96">
        <v>8.8206237000000003E-3</v>
      </c>
      <c r="DK67" s="96">
        <v>1.00757294E-2</v>
      </c>
      <c r="DL67" s="96">
        <v>1.04483588E-2</v>
      </c>
      <c r="DM67" s="96">
        <v>1.05190305E-2</v>
      </c>
      <c r="DN67" s="96">
        <v>1.05507725E-2</v>
      </c>
      <c r="DO67" s="96">
        <v>1.0571149300000001E-2</v>
      </c>
      <c r="DP67" s="96">
        <v>1.05884221E-2</v>
      </c>
      <c r="DQ67" s="96">
        <v>1.0603479400000001E-2</v>
      </c>
      <c r="DR67" s="97">
        <v>1.0615631400000001E-2</v>
      </c>
      <c r="DS67" s="93">
        <v>106.41230288</v>
      </c>
      <c r="DT67" s="80">
        <v>0.74063911819999995</v>
      </c>
      <c r="DU67" s="80">
        <v>56.624260399000001</v>
      </c>
      <c r="DV67" s="80">
        <v>0.41092010270000001</v>
      </c>
      <c r="DW67" s="80">
        <v>30.054925012999998</v>
      </c>
      <c r="DX67" s="80">
        <v>0.22823833760000001</v>
      </c>
      <c r="DY67" s="80">
        <v>16.168761023999998</v>
      </c>
      <c r="DZ67" s="80">
        <v>0.1301680382</v>
      </c>
      <c r="EA67" s="80">
        <v>9.0061839448000001</v>
      </c>
      <c r="EB67" s="80">
        <v>7.8271945600000004E-2</v>
      </c>
      <c r="EC67" s="80">
        <v>5.2562918081000003</v>
      </c>
      <c r="ED67" s="80">
        <v>5.0292663100000003E-2</v>
      </c>
      <c r="EE67" s="80">
        <v>3.2395050927</v>
      </c>
      <c r="EF67" s="80">
        <v>3.4696713999999997E-2</v>
      </c>
      <c r="EG67" s="80">
        <v>2.1113182186000001</v>
      </c>
      <c r="EH67" s="80">
        <v>2.55330738E-2</v>
      </c>
      <c r="EI67" s="80">
        <v>1.4541508317</v>
      </c>
      <c r="EJ67" s="80">
        <v>1.9837833400000001E-2</v>
      </c>
      <c r="EK67" s="80">
        <v>1.0468292991999999</v>
      </c>
      <c r="EL67" s="94">
        <v>1.6018526799999998E-2</v>
      </c>
    </row>
    <row r="68" spans="1:142" x14ac:dyDescent="0.2">
      <c r="A68" s="79">
        <v>6300</v>
      </c>
      <c r="B68" s="27">
        <v>5163</v>
      </c>
      <c r="C68" s="79">
        <v>2872.8505934</v>
      </c>
      <c r="D68" s="27">
        <v>6250.2495617000004</v>
      </c>
      <c r="E68" s="27">
        <v>118.60859402</v>
      </c>
      <c r="F68" s="27">
        <v>0.1165380479</v>
      </c>
      <c r="G68" s="79">
        <v>13.055403898</v>
      </c>
      <c r="H68" s="27">
        <v>4.9732711999999997E-3</v>
      </c>
      <c r="I68" s="27">
        <v>196.52250724999999</v>
      </c>
      <c r="J68" s="27">
        <v>1.3005786282</v>
      </c>
      <c r="K68" s="27">
        <v>117.01735958</v>
      </c>
      <c r="L68" s="27">
        <v>0.73406785429999999</v>
      </c>
      <c r="M68" s="27">
        <v>46.439154049000003</v>
      </c>
      <c r="N68" s="27">
        <v>0.35574728030000002</v>
      </c>
      <c r="O68" s="80" t="s">
        <v>136</v>
      </c>
      <c r="P68" s="80">
        <v>0</v>
      </c>
      <c r="Q68" s="27">
        <v>55.109974098000002</v>
      </c>
      <c r="R68" s="27">
        <v>8.8440600999999994E-2</v>
      </c>
      <c r="S68" s="80" t="s">
        <v>136</v>
      </c>
      <c r="T68" s="80">
        <v>0</v>
      </c>
      <c r="U68" s="80" t="s">
        <v>136</v>
      </c>
      <c r="V68" s="80">
        <v>0</v>
      </c>
      <c r="W68" s="27">
        <v>0.80206719169999996</v>
      </c>
      <c r="X68" s="27">
        <v>7.5890608999999998E-3</v>
      </c>
      <c r="Y68" s="27">
        <v>74.292212926999994</v>
      </c>
      <c r="Z68" s="27">
        <v>1.6404005424999999</v>
      </c>
      <c r="AA68" s="80" t="s">
        <v>136</v>
      </c>
      <c r="AB68" s="80">
        <v>0</v>
      </c>
      <c r="AC68" s="27">
        <v>1.5664298000000001E-3</v>
      </c>
      <c r="AD68" s="27">
        <v>8.8271498000000008E-6</v>
      </c>
      <c r="AE68" s="80" t="s">
        <v>136</v>
      </c>
      <c r="AF68" s="80">
        <v>0</v>
      </c>
      <c r="AG68" s="80" t="s">
        <v>136</v>
      </c>
      <c r="AH68" s="80">
        <v>0</v>
      </c>
      <c r="AI68" s="27">
        <f t="shared" si="4"/>
        <v>1.5664298000000001E-3</v>
      </c>
      <c r="AJ68" s="27">
        <f t="shared" si="5"/>
        <v>8.8271498000000008E-6</v>
      </c>
      <c r="AK68" s="27">
        <v>162.83915417</v>
      </c>
      <c r="AL68" s="27">
        <v>1.991159761</v>
      </c>
      <c r="AM68" s="80" t="s">
        <v>136</v>
      </c>
      <c r="AN68" s="80">
        <v>0</v>
      </c>
      <c r="AO68" s="80" t="s">
        <v>136</v>
      </c>
      <c r="AP68" s="80">
        <v>0</v>
      </c>
      <c r="AQ68" s="80" t="s">
        <v>136</v>
      </c>
      <c r="AR68" s="80">
        <v>0</v>
      </c>
      <c r="AS68" s="27">
        <v>96.702345441999995</v>
      </c>
      <c r="AT68" s="27">
        <v>2.8921508169000001</v>
      </c>
      <c r="AU68" s="27">
        <v>89.503098718999993</v>
      </c>
      <c r="AV68" s="27">
        <v>0.67929264140000001</v>
      </c>
      <c r="AW68" s="27">
        <v>38.676756146999999</v>
      </c>
      <c r="AX68" s="27">
        <v>0.41400156240000002</v>
      </c>
      <c r="AY68" s="27">
        <v>10.801052964</v>
      </c>
      <c r="AZ68" s="27">
        <v>8.6614229700000003E-2</v>
      </c>
      <c r="BA68" s="80">
        <f t="shared" si="6"/>
        <v>40.025289607999994</v>
      </c>
      <c r="BB68" s="80">
        <f t="shared" si="7"/>
        <v>0.17867684929999994</v>
      </c>
      <c r="BC68" s="27">
        <v>0</v>
      </c>
      <c r="BD68" s="80">
        <v>0</v>
      </c>
      <c r="BE68" s="27">
        <v>278.23473591999999</v>
      </c>
      <c r="BF68" s="27">
        <v>3.0899830530000001</v>
      </c>
      <c r="BG68" s="27">
        <v>1.08999083E-2</v>
      </c>
      <c r="BH68" s="80">
        <v>0</v>
      </c>
      <c r="BI68" s="27">
        <v>150.14461267999999</v>
      </c>
      <c r="BJ68" s="27">
        <v>4.4253185150999998</v>
      </c>
      <c r="BK68" s="27">
        <v>320.80726564000003</v>
      </c>
      <c r="BL68" s="27">
        <v>2.0250134530000001</v>
      </c>
      <c r="BM68" s="27">
        <v>42.133693645999998</v>
      </c>
      <c r="BN68" s="27">
        <v>0.17530654770000001</v>
      </c>
      <c r="BO68" s="27">
        <v>0.78669500780000001</v>
      </c>
      <c r="BP68" s="27">
        <v>2.3438017000000002E-3</v>
      </c>
      <c r="BQ68" s="27">
        <v>0</v>
      </c>
      <c r="BR68" s="92">
        <v>0</v>
      </c>
      <c r="BS68" s="80" t="s">
        <v>136</v>
      </c>
      <c r="BT68" s="80">
        <v>0</v>
      </c>
      <c r="BU68" s="27">
        <v>1.1939723976000001</v>
      </c>
      <c r="BV68" s="27">
        <v>1.5947184499999999E-2</v>
      </c>
      <c r="BW68" s="27">
        <v>45.245181651999999</v>
      </c>
      <c r="BX68" s="27">
        <v>0.33980009570000003</v>
      </c>
      <c r="BY68" s="80" t="s">
        <v>136</v>
      </c>
      <c r="BZ68" s="80">
        <v>0</v>
      </c>
      <c r="CA68" s="80" t="s">
        <v>136</v>
      </c>
      <c r="CB68" s="80">
        <v>0</v>
      </c>
      <c r="CC68" s="27">
        <v>31.249890923999999</v>
      </c>
      <c r="CD68" s="27">
        <v>3.03340078E-2</v>
      </c>
      <c r="CE68" s="27">
        <v>23.860083173</v>
      </c>
      <c r="CF68" s="27">
        <v>5.8106593200000001E-2</v>
      </c>
      <c r="CG68" s="80" t="s">
        <v>136</v>
      </c>
      <c r="CH68" s="80">
        <v>0</v>
      </c>
      <c r="CI68" s="80" t="s">
        <v>136</v>
      </c>
      <c r="CJ68" s="80">
        <v>0</v>
      </c>
      <c r="CK68" s="80" t="s">
        <v>136</v>
      </c>
      <c r="CL68" s="80">
        <v>0</v>
      </c>
      <c r="CM68" s="80" t="s">
        <v>136</v>
      </c>
      <c r="CN68" s="80">
        <v>0</v>
      </c>
      <c r="CO68" s="27">
        <v>0.34011855120000001</v>
      </c>
      <c r="CP68" s="27">
        <v>3.5439010999999999E-3</v>
      </c>
      <c r="CQ68" s="27">
        <v>0.46194864050000001</v>
      </c>
      <c r="CR68" s="27">
        <v>4.0451597000000002E-3</v>
      </c>
      <c r="CS68" s="27">
        <v>7.4797898725999996</v>
      </c>
      <c r="CT68" s="27">
        <v>7.1462381199999994E-2</v>
      </c>
      <c r="CU68" s="27">
        <v>66.812423054000007</v>
      </c>
      <c r="CV68" s="27">
        <v>1.5689381613</v>
      </c>
      <c r="CW68" s="93" t="s">
        <v>136</v>
      </c>
      <c r="CX68" s="80">
        <v>0</v>
      </c>
      <c r="CY68" s="80" t="s">
        <v>136</v>
      </c>
      <c r="CZ68" s="94">
        <v>0</v>
      </c>
      <c r="DA68" s="27">
        <v>45.065971910999998</v>
      </c>
      <c r="DB68" s="27">
        <v>0.96099519010000001</v>
      </c>
      <c r="DC68" s="27">
        <v>51.636373530999997</v>
      </c>
      <c r="DD68" s="27">
        <v>1.9311556268000001</v>
      </c>
      <c r="DE68" s="27">
        <v>55.164487555999997</v>
      </c>
      <c r="DF68" s="27">
        <v>1.2022202658000001</v>
      </c>
      <c r="DG68" s="27">
        <v>223.07024835999999</v>
      </c>
      <c r="DH68" s="27">
        <v>1.8877627872</v>
      </c>
      <c r="DI68" s="95">
        <v>4.9322337000000001E-3</v>
      </c>
      <c r="DJ68" s="96">
        <v>8.9405049999999996E-3</v>
      </c>
      <c r="DK68" s="96">
        <v>1.0218003200000001E-2</v>
      </c>
      <c r="DL68" s="96">
        <v>1.05979126E-2</v>
      </c>
      <c r="DM68" s="96">
        <v>1.06698308E-2</v>
      </c>
      <c r="DN68" s="96">
        <v>1.0702936200000001E-2</v>
      </c>
      <c r="DO68" s="96">
        <v>1.0723234E-2</v>
      </c>
      <c r="DP68" s="96">
        <v>1.0740438099999999E-2</v>
      </c>
      <c r="DQ68" s="96">
        <v>1.07554342E-2</v>
      </c>
      <c r="DR68" s="97">
        <v>1.07675381E-2</v>
      </c>
      <c r="DS68" s="93">
        <v>107.049142</v>
      </c>
      <c r="DT68" s="80">
        <v>0.74503942300000003</v>
      </c>
      <c r="DU68" s="80">
        <v>57.090503654999999</v>
      </c>
      <c r="DV68" s="80">
        <v>0.41423072420000001</v>
      </c>
      <c r="DW68" s="80">
        <v>30.368335982000001</v>
      </c>
      <c r="DX68" s="80">
        <v>0.2305606352</v>
      </c>
      <c r="DY68" s="80">
        <v>16.368705228</v>
      </c>
      <c r="DZ68" s="80">
        <v>0.13173408049999999</v>
      </c>
      <c r="EA68" s="80">
        <v>9.1327113269000009</v>
      </c>
      <c r="EB68" s="80">
        <v>7.9333720600000004E-2</v>
      </c>
      <c r="EC68" s="80">
        <v>5.3368605629000001</v>
      </c>
      <c r="ED68" s="80">
        <v>5.1030032400000001E-2</v>
      </c>
      <c r="EE68" s="80">
        <v>3.2929368044</v>
      </c>
      <c r="EF68" s="80">
        <v>3.5234191400000003E-2</v>
      </c>
      <c r="EG68" s="80">
        <v>2.1479270565999999</v>
      </c>
      <c r="EH68" s="80">
        <v>2.5943177299999998E-2</v>
      </c>
      <c r="EI68" s="80">
        <v>1.4801929492000001</v>
      </c>
      <c r="EJ68" s="80">
        <v>2.0161285599999999E-2</v>
      </c>
      <c r="EK68" s="80">
        <v>1.0661939148999999</v>
      </c>
      <c r="EL68" s="94">
        <v>1.6281999299999999E-2</v>
      </c>
    </row>
    <row r="69" spans="1:142" x14ac:dyDescent="0.2">
      <c r="A69" s="79">
        <v>6400</v>
      </c>
      <c r="B69" s="27">
        <v>5171</v>
      </c>
      <c r="C69" s="79">
        <v>2897.3878915999999</v>
      </c>
      <c r="D69" s="27">
        <v>6349.8355481999997</v>
      </c>
      <c r="E69" s="27">
        <v>120.17562467</v>
      </c>
      <c r="F69" s="27">
        <v>0.1173508658</v>
      </c>
      <c r="G69" s="79">
        <v>13.29100612</v>
      </c>
      <c r="H69" s="27">
        <v>5.0326720999999998E-3</v>
      </c>
      <c r="I69" s="27">
        <v>197.30225945000001</v>
      </c>
      <c r="J69" s="27">
        <v>1.3060029778</v>
      </c>
      <c r="K69" s="27">
        <v>117.90831887</v>
      </c>
      <c r="L69" s="27">
        <v>0.74041072669999997</v>
      </c>
      <c r="M69" s="27">
        <v>47.067952949999999</v>
      </c>
      <c r="N69" s="27">
        <v>0.3602719291</v>
      </c>
      <c r="O69" s="80" t="s">
        <v>136</v>
      </c>
      <c r="P69" s="80">
        <v>0</v>
      </c>
      <c r="Q69" s="27">
        <v>56.227487693999997</v>
      </c>
      <c r="R69" s="27">
        <v>9.0031277100000001E-2</v>
      </c>
      <c r="S69" s="80" t="s">
        <v>136</v>
      </c>
      <c r="T69" s="80">
        <v>0</v>
      </c>
      <c r="U69" s="80" t="s">
        <v>136</v>
      </c>
      <c r="V69" s="80">
        <v>0</v>
      </c>
      <c r="W69" s="27">
        <v>0.81155948850000004</v>
      </c>
      <c r="X69" s="27">
        <v>7.7014524000000003E-3</v>
      </c>
      <c r="Y69" s="27">
        <v>75.378344996999999</v>
      </c>
      <c r="Z69" s="27">
        <v>1.6618553170000001</v>
      </c>
      <c r="AA69" s="80" t="s">
        <v>136</v>
      </c>
      <c r="AB69" s="80">
        <v>0</v>
      </c>
      <c r="AC69" s="27">
        <v>1.5619182000000001E-3</v>
      </c>
      <c r="AD69" s="27">
        <v>8.8011619000000008E-6</v>
      </c>
      <c r="AE69" s="80" t="s">
        <v>136</v>
      </c>
      <c r="AF69" s="80">
        <v>0</v>
      </c>
      <c r="AG69" s="80" t="s">
        <v>136</v>
      </c>
      <c r="AH69" s="80">
        <v>0</v>
      </c>
      <c r="AI69" s="27">
        <f t="shared" ref="AI69:AI88" si="8">AC69</f>
        <v>1.5619182000000001E-3</v>
      </c>
      <c r="AJ69" s="27">
        <f t="shared" ref="AJ69:AJ88" si="9">AD69</f>
        <v>8.8011619000000008E-6</v>
      </c>
      <c r="AK69" s="27">
        <v>163.89767676</v>
      </c>
      <c r="AL69" s="27">
        <v>1.9999004583</v>
      </c>
      <c r="AM69" s="80" t="s">
        <v>136</v>
      </c>
      <c r="AN69" s="80">
        <v>0</v>
      </c>
      <c r="AO69" s="80" t="s">
        <v>136</v>
      </c>
      <c r="AP69" s="80">
        <v>0</v>
      </c>
      <c r="AQ69" s="80" t="s">
        <v>136</v>
      </c>
      <c r="AR69" s="80">
        <v>0</v>
      </c>
      <c r="AS69" s="27">
        <v>97.529553841999999</v>
      </c>
      <c r="AT69" s="27">
        <v>2.9103881422</v>
      </c>
      <c r="AU69" s="27">
        <v>90.510494856999998</v>
      </c>
      <c r="AV69" s="27">
        <v>0.68530538799999996</v>
      </c>
      <c r="AW69" s="27">
        <v>39.072792974000002</v>
      </c>
      <c r="AX69" s="27">
        <v>0.41759899210000001</v>
      </c>
      <c r="AY69" s="27">
        <v>10.895758240999999</v>
      </c>
      <c r="AZ69" s="27">
        <v>8.7128098700000003E-2</v>
      </c>
      <c r="BA69" s="80">
        <f t="shared" si="6"/>
        <v>40.541943641999993</v>
      </c>
      <c r="BB69" s="80">
        <f t="shared" si="7"/>
        <v>0.18057829719999996</v>
      </c>
      <c r="BC69" s="27">
        <v>0</v>
      </c>
      <c r="BD69" s="80">
        <v>0</v>
      </c>
      <c r="BE69" s="27">
        <v>282.75295526000002</v>
      </c>
      <c r="BF69" s="27">
        <v>3.1165538471000001</v>
      </c>
      <c r="BG69" s="27">
        <v>1.1092622E-2</v>
      </c>
      <c r="BH69" s="80">
        <v>0</v>
      </c>
      <c r="BI69" s="27">
        <v>151.02963897000001</v>
      </c>
      <c r="BJ69" s="27">
        <v>4.4437020562000002</v>
      </c>
      <c r="BK69" s="27">
        <v>325.74327481</v>
      </c>
      <c r="BL69" s="27">
        <v>2.0516113462000001</v>
      </c>
      <c r="BM69" s="27">
        <v>42.750388172000001</v>
      </c>
      <c r="BN69" s="27">
        <v>0.17737045279999999</v>
      </c>
      <c r="BO69" s="27">
        <v>0.8072396087</v>
      </c>
      <c r="BP69" s="27">
        <v>2.3683505000000001E-3</v>
      </c>
      <c r="BQ69" s="27">
        <v>0</v>
      </c>
      <c r="BR69" s="92">
        <v>0</v>
      </c>
      <c r="BS69" s="80" t="s">
        <v>136</v>
      </c>
      <c r="BT69" s="80">
        <v>0</v>
      </c>
      <c r="BU69" s="27">
        <v>1.2097252383999999</v>
      </c>
      <c r="BV69" s="27">
        <v>1.61567037E-2</v>
      </c>
      <c r="BW69" s="27">
        <v>45.858227710999998</v>
      </c>
      <c r="BX69" s="27">
        <v>0.34411522550000001</v>
      </c>
      <c r="BY69" s="80" t="s">
        <v>136</v>
      </c>
      <c r="BZ69" s="80">
        <v>0</v>
      </c>
      <c r="CA69" s="80" t="s">
        <v>136</v>
      </c>
      <c r="CB69" s="80">
        <v>0</v>
      </c>
      <c r="CC69" s="27">
        <v>31.99636636</v>
      </c>
      <c r="CD69" s="27">
        <v>3.0939732599999999E-2</v>
      </c>
      <c r="CE69" s="27">
        <v>24.231121335000001</v>
      </c>
      <c r="CF69" s="27">
        <v>5.9091544500000003E-2</v>
      </c>
      <c r="CG69" s="80" t="s">
        <v>136</v>
      </c>
      <c r="CH69" s="80">
        <v>0</v>
      </c>
      <c r="CI69" s="80" t="s">
        <v>136</v>
      </c>
      <c r="CJ69" s="80">
        <v>0</v>
      </c>
      <c r="CK69" s="80" t="s">
        <v>136</v>
      </c>
      <c r="CL69" s="80">
        <v>0</v>
      </c>
      <c r="CM69" s="80" t="s">
        <v>136</v>
      </c>
      <c r="CN69" s="80">
        <v>0</v>
      </c>
      <c r="CO69" s="27">
        <v>0.3473558659</v>
      </c>
      <c r="CP69" s="27">
        <v>3.6350754999999999E-3</v>
      </c>
      <c r="CQ69" s="27">
        <v>0.46420362250000002</v>
      </c>
      <c r="CR69" s="27">
        <v>4.0663768999999999E-3</v>
      </c>
      <c r="CS69" s="27">
        <v>7.6700662533999999</v>
      </c>
      <c r="CT69" s="27">
        <v>7.3039616200000004E-2</v>
      </c>
      <c r="CU69" s="27">
        <v>67.708278743999998</v>
      </c>
      <c r="CV69" s="27">
        <v>1.5888157007999999</v>
      </c>
      <c r="CW69" s="93" t="s">
        <v>136</v>
      </c>
      <c r="CX69" s="80">
        <v>0</v>
      </c>
      <c r="CY69" s="80" t="s">
        <v>136</v>
      </c>
      <c r="CZ69" s="94">
        <v>0</v>
      </c>
      <c r="DA69" s="27">
        <v>45.479391634000002</v>
      </c>
      <c r="DB69" s="27">
        <v>0.96824954770000005</v>
      </c>
      <c r="DC69" s="27">
        <v>52.050162208000003</v>
      </c>
      <c r="DD69" s="27">
        <v>1.9421385944</v>
      </c>
      <c r="DE69" s="27">
        <v>57.006559121999999</v>
      </c>
      <c r="DF69" s="27">
        <v>1.2157765351000001</v>
      </c>
      <c r="DG69" s="27">
        <v>225.74639614</v>
      </c>
      <c r="DH69" s="27">
        <v>1.900777312</v>
      </c>
      <c r="DI69" s="95">
        <v>4.9905462000000003E-3</v>
      </c>
      <c r="DJ69" s="96">
        <v>9.0489521000000003E-3</v>
      </c>
      <c r="DK69" s="96">
        <v>1.03544993E-2</v>
      </c>
      <c r="DL69" s="96">
        <v>1.0745195000000001E-2</v>
      </c>
      <c r="DM69" s="96">
        <v>1.0823863499999999E-2</v>
      </c>
      <c r="DN69" s="96">
        <v>1.08609673E-2</v>
      </c>
      <c r="DO69" s="96">
        <v>1.0884022300000001E-2</v>
      </c>
      <c r="DP69" s="96">
        <v>1.0903480199999999E-2</v>
      </c>
      <c r="DQ69" s="96">
        <v>1.0920737200000001E-2</v>
      </c>
      <c r="DR69" s="97">
        <v>1.09351147E-2</v>
      </c>
      <c r="DS69" s="93">
        <v>107.69341598</v>
      </c>
      <c r="DT69" s="80">
        <v>0.7495784445</v>
      </c>
      <c r="DU69" s="80">
        <v>57.565895329</v>
      </c>
      <c r="DV69" s="80">
        <v>0.41766473999999998</v>
      </c>
      <c r="DW69" s="80">
        <v>30.695063594000001</v>
      </c>
      <c r="DX69" s="80">
        <v>0.2330187675</v>
      </c>
      <c r="DY69" s="80">
        <v>16.585204865000001</v>
      </c>
      <c r="DZ69" s="80">
        <v>0.13344385380000001</v>
      </c>
      <c r="EA69" s="80">
        <v>9.2774282101000001</v>
      </c>
      <c r="EB69" s="80">
        <v>8.0547055199999995E-2</v>
      </c>
      <c r="EC69" s="80">
        <v>5.4341177930000004</v>
      </c>
      <c r="ED69" s="80">
        <v>5.1905838699999998E-2</v>
      </c>
      <c r="EE69" s="80">
        <v>3.3607159646999998</v>
      </c>
      <c r="EF69" s="80">
        <v>3.5892205099999998E-2</v>
      </c>
      <c r="EG69" s="80">
        <v>2.195276099</v>
      </c>
      <c r="EH69" s="80">
        <v>2.6445751E-2</v>
      </c>
      <c r="EI69" s="80">
        <v>1.5154498636</v>
      </c>
      <c r="EJ69" s="80">
        <v>2.0565665100000002E-2</v>
      </c>
      <c r="EK69" s="80">
        <v>1.0936724452</v>
      </c>
      <c r="EL69" s="94">
        <v>1.66200484E-2</v>
      </c>
    </row>
    <row r="70" spans="1:142" x14ac:dyDescent="0.2">
      <c r="A70" s="79">
        <v>6500</v>
      </c>
      <c r="B70" s="27">
        <v>4911</v>
      </c>
      <c r="C70" s="79">
        <v>2921.6003135999999</v>
      </c>
      <c r="D70" s="27">
        <v>6449.8783393000003</v>
      </c>
      <c r="E70" s="27">
        <v>121.74272443</v>
      </c>
      <c r="F70" s="27">
        <v>0.1181756224</v>
      </c>
      <c r="G70" s="79">
        <v>13.569311172999999</v>
      </c>
      <c r="H70" s="27">
        <v>5.1018449999999998E-3</v>
      </c>
      <c r="I70" s="27">
        <v>198.10948049000001</v>
      </c>
      <c r="J70" s="27">
        <v>1.3116421029000001</v>
      </c>
      <c r="K70" s="27">
        <v>118.77612388999999</v>
      </c>
      <c r="L70" s="27">
        <v>0.74645235480000005</v>
      </c>
      <c r="M70" s="27">
        <v>47.566187487000001</v>
      </c>
      <c r="N70" s="27">
        <v>0.36395225879999998</v>
      </c>
      <c r="O70" s="80" t="s">
        <v>136</v>
      </c>
      <c r="P70" s="80">
        <v>0</v>
      </c>
      <c r="Q70" s="27">
        <v>57.320282935999998</v>
      </c>
      <c r="R70" s="27">
        <v>9.1625005499999995E-2</v>
      </c>
      <c r="S70" s="80" t="s">
        <v>136</v>
      </c>
      <c r="T70" s="80">
        <v>0</v>
      </c>
      <c r="U70" s="80" t="s">
        <v>136</v>
      </c>
      <c r="V70" s="80">
        <v>0</v>
      </c>
      <c r="W70" s="27">
        <v>0.8148942173</v>
      </c>
      <c r="X70" s="27">
        <v>7.7341698999999998E-3</v>
      </c>
      <c r="Y70" s="27">
        <v>76.421516479999994</v>
      </c>
      <c r="Z70" s="27">
        <v>1.6836925939</v>
      </c>
      <c r="AA70" s="80" t="s">
        <v>136</v>
      </c>
      <c r="AB70" s="80">
        <v>0</v>
      </c>
      <c r="AC70" s="27">
        <v>1.5575834000000001E-3</v>
      </c>
      <c r="AD70" s="27">
        <v>8.7758417E-6</v>
      </c>
      <c r="AE70" s="80" t="s">
        <v>136</v>
      </c>
      <c r="AF70" s="80">
        <v>0</v>
      </c>
      <c r="AG70" s="80" t="s">
        <v>136</v>
      </c>
      <c r="AH70" s="80">
        <v>0</v>
      </c>
      <c r="AI70" s="27">
        <f t="shared" si="8"/>
        <v>1.5575834000000001E-3</v>
      </c>
      <c r="AJ70" s="27">
        <f t="shared" si="9"/>
        <v>8.7758417E-6</v>
      </c>
      <c r="AK70" s="27">
        <v>164.92817715000001</v>
      </c>
      <c r="AL70" s="27">
        <v>2.0082867961000002</v>
      </c>
      <c r="AM70" s="80" t="s">
        <v>136</v>
      </c>
      <c r="AN70" s="80">
        <v>0</v>
      </c>
      <c r="AO70" s="80" t="s">
        <v>136</v>
      </c>
      <c r="AP70" s="80">
        <v>0</v>
      </c>
      <c r="AQ70" s="80" t="s">
        <v>136</v>
      </c>
      <c r="AR70" s="80">
        <v>0</v>
      </c>
      <c r="AS70" s="27">
        <v>98.332872531999996</v>
      </c>
      <c r="AT70" s="27">
        <v>2.9283568213</v>
      </c>
      <c r="AU70" s="27">
        <v>91.530599570000007</v>
      </c>
      <c r="AV70" s="27">
        <v>0.69116579150000002</v>
      </c>
      <c r="AW70" s="27">
        <v>39.495082748999998</v>
      </c>
      <c r="AX70" s="27">
        <v>0.42117841449999999</v>
      </c>
      <c r="AY70" s="27">
        <v>10.991819951</v>
      </c>
      <c r="AZ70" s="27">
        <v>8.7695177700000002E-2</v>
      </c>
      <c r="BA70" s="80">
        <f t="shared" ref="BA70:BA88" si="10">AU70-(AW70+AY70)</f>
        <v>41.043696870000005</v>
      </c>
      <c r="BB70" s="80">
        <f t="shared" ref="BB70:BB88" si="11">AV70-(AX70+AZ70)</f>
        <v>0.18229219930000007</v>
      </c>
      <c r="BC70" s="27">
        <v>0</v>
      </c>
      <c r="BD70" s="80">
        <v>0</v>
      </c>
      <c r="BE70" s="27">
        <v>287.13280851000002</v>
      </c>
      <c r="BF70" s="27">
        <v>3.1417731446000001</v>
      </c>
      <c r="BG70" s="27">
        <v>1.12590308E-2</v>
      </c>
      <c r="BH70" s="80">
        <v>0</v>
      </c>
      <c r="BI70" s="27">
        <v>151.94661754000001</v>
      </c>
      <c r="BJ70" s="27">
        <v>4.4620292487000004</v>
      </c>
      <c r="BK70" s="27">
        <v>330.30777074999997</v>
      </c>
      <c r="BL70" s="27">
        <v>2.0778193364000002</v>
      </c>
      <c r="BM70" s="27">
        <v>43.306160708</v>
      </c>
      <c r="BN70" s="27">
        <v>0.17932173400000001</v>
      </c>
      <c r="BO70" s="27">
        <v>0.86288262439999996</v>
      </c>
      <c r="BP70" s="27">
        <v>2.4371554E-3</v>
      </c>
      <c r="BQ70" s="27">
        <v>0</v>
      </c>
      <c r="BR70" s="92">
        <v>0</v>
      </c>
      <c r="BS70" s="80" t="s">
        <v>136</v>
      </c>
      <c r="BT70" s="80">
        <v>0</v>
      </c>
      <c r="BU70" s="27">
        <v>1.2408032639</v>
      </c>
      <c r="BV70" s="27">
        <v>1.6487044700000002E-2</v>
      </c>
      <c r="BW70" s="27">
        <v>46.325384223</v>
      </c>
      <c r="BX70" s="27">
        <v>0.34746521400000002</v>
      </c>
      <c r="BY70" s="80" t="s">
        <v>136</v>
      </c>
      <c r="BZ70" s="80">
        <v>0</v>
      </c>
      <c r="CA70" s="80" t="s">
        <v>136</v>
      </c>
      <c r="CB70" s="80">
        <v>0</v>
      </c>
      <c r="CC70" s="27">
        <v>32.687530273</v>
      </c>
      <c r="CD70" s="27">
        <v>3.1528068899999998E-2</v>
      </c>
      <c r="CE70" s="27">
        <v>24.632752663000002</v>
      </c>
      <c r="CF70" s="27">
        <v>6.0096936599999998E-2</v>
      </c>
      <c r="CG70" s="80" t="s">
        <v>136</v>
      </c>
      <c r="CH70" s="80">
        <v>0</v>
      </c>
      <c r="CI70" s="80" t="s">
        <v>136</v>
      </c>
      <c r="CJ70" s="80">
        <v>0</v>
      </c>
      <c r="CK70" s="80" t="s">
        <v>136</v>
      </c>
      <c r="CL70" s="80">
        <v>0</v>
      </c>
      <c r="CM70" s="80" t="s">
        <v>136</v>
      </c>
      <c r="CN70" s="80">
        <v>0</v>
      </c>
      <c r="CO70" s="27">
        <v>0.34730209649999999</v>
      </c>
      <c r="CP70" s="27">
        <v>3.6364711000000001E-3</v>
      </c>
      <c r="CQ70" s="27">
        <v>0.4675921207</v>
      </c>
      <c r="CR70" s="27">
        <v>4.0976987999999997E-3</v>
      </c>
      <c r="CS70" s="27">
        <v>7.7846347064000003</v>
      </c>
      <c r="CT70" s="27">
        <v>7.4111987200000007E-2</v>
      </c>
      <c r="CU70" s="27">
        <v>68.636881774000003</v>
      </c>
      <c r="CV70" s="27">
        <v>1.6095806067</v>
      </c>
      <c r="CW70" s="93" t="s">
        <v>136</v>
      </c>
      <c r="CX70" s="80">
        <v>0</v>
      </c>
      <c r="CY70" s="80" t="s">
        <v>136</v>
      </c>
      <c r="CZ70" s="94">
        <v>0</v>
      </c>
      <c r="DA70" s="27">
        <v>45.894512818999999</v>
      </c>
      <c r="DB70" s="27">
        <v>0.97525855790000004</v>
      </c>
      <c r="DC70" s="27">
        <v>52.438359712999997</v>
      </c>
      <c r="DD70" s="27">
        <v>1.9530982634</v>
      </c>
      <c r="DE70" s="27">
        <v>58.720032867999997</v>
      </c>
      <c r="DF70" s="27">
        <v>1.2279550659</v>
      </c>
      <c r="DG70" s="27">
        <v>228.41277564000001</v>
      </c>
      <c r="DH70" s="27">
        <v>1.9138180787000001</v>
      </c>
      <c r="DI70" s="95">
        <v>5.0582181000000002E-3</v>
      </c>
      <c r="DJ70" s="96">
        <v>9.1744800000000005E-3</v>
      </c>
      <c r="DK70" s="96">
        <v>1.05072182E-2</v>
      </c>
      <c r="DL70" s="96">
        <v>1.09099998E-2</v>
      </c>
      <c r="DM70" s="96">
        <v>1.09911687E-2</v>
      </c>
      <c r="DN70" s="96">
        <v>1.10281419E-2</v>
      </c>
      <c r="DO70" s="96">
        <v>1.1051114900000001E-2</v>
      </c>
      <c r="DP70" s="96">
        <v>1.10705011E-2</v>
      </c>
      <c r="DQ70" s="96">
        <v>1.10876932E-2</v>
      </c>
      <c r="DR70" s="97">
        <v>1.11020167E-2</v>
      </c>
      <c r="DS70" s="93">
        <v>108.3704925</v>
      </c>
      <c r="DT70" s="80">
        <v>0.75435192659999994</v>
      </c>
      <c r="DU70" s="80">
        <v>58.068993179000003</v>
      </c>
      <c r="DV70" s="80">
        <v>0.42131605030000002</v>
      </c>
      <c r="DW70" s="80">
        <v>31.038435432</v>
      </c>
      <c r="DX70" s="80">
        <v>0.23562684349999999</v>
      </c>
      <c r="DY70" s="80">
        <v>16.810373754</v>
      </c>
      <c r="DZ70" s="80">
        <v>0.13526300090000001</v>
      </c>
      <c r="EA70" s="80">
        <v>9.4187885787999992</v>
      </c>
      <c r="EB70" s="80">
        <v>8.1788682000000001E-2</v>
      </c>
      <c r="EC70" s="80">
        <v>5.5237974629000002</v>
      </c>
      <c r="ED70" s="80">
        <v>5.2785537799999997E-2</v>
      </c>
      <c r="EE70" s="80">
        <v>3.4185856818000002</v>
      </c>
      <c r="EF70" s="80">
        <v>3.6539081000000001E-2</v>
      </c>
      <c r="EG70" s="80">
        <v>2.2345695479000001</v>
      </c>
      <c r="EH70" s="80">
        <v>2.6950747000000001E-2</v>
      </c>
      <c r="EI70" s="80">
        <v>1.5449932158999999</v>
      </c>
      <c r="EJ70" s="80">
        <v>2.0990088600000002E-2</v>
      </c>
      <c r="EK70" s="80">
        <v>1.1159929118</v>
      </c>
      <c r="EL70" s="94">
        <v>1.6981080799999999E-2</v>
      </c>
    </row>
    <row r="71" spans="1:142" x14ac:dyDescent="0.2">
      <c r="A71" s="79">
        <v>7500</v>
      </c>
      <c r="B71" s="27">
        <v>44333</v>
      </c>
      <c r="C71" s="79">
        <v>3146.5193297000001</v>
      </c>
      <c r="D71" s="27">
        <v>6980.9563999000002</v>
      </c>
      <c r="E71" s="27">
        <v>136.06347597000001</v>
      </c>
      <c r="F71" s="27">
        <v>0.12547570329999999</v>
      </c>
      <c r="G71" s="79">
        <v>16.585783264</v>
      </c>
      <c r="H71" s="27">
        <v>5.7797624999999997E-3</v>
      </c>
      <c r="I71" s="27">
        <v>204.87541024000001</v>
      </c>
      <c r="J71" s="27">
        <v>1.3582782533</v>
      </c>
      <c r="K71" s="27">
        <v>126.90146611999999</v>
      </c>
      <c r="L71" s="27">
        <v>0.79914004260000004</v>
      </c>
      <c r="M71" s="27">
        <v>53.192544951000002</v>
      </c>
      <c r="N71" s="27">
        <v>0.40459590439999998</v>
      </c>
      <c r="O71" s="80" t="s">
        <v>136</v>
      </c>
      <c r="P71" s="80">
        <v>0</v>
      </c>
      <c r="Q71" s="27">
        <v>67.775848060000001</v>
      </c>
      <c r="R71" s="27">
        <v>0.1058592159</v>
      </c>
      <c r="S71" s="80" t="s">
        <v>136</v>
      </c>
      <c r="T71" s="80">
        <v>0</v>
      </c>
      <c r="U71" s="80" t="s">
        <v>136</v>
      </c>
      <c r="V71" s="80">
        <v>0</v>
      </c>
      <c r="W71" s="27">
        <v>1.0031376544999999</v>
      </c>
      <c r="X71" s="27">
        <v>9.4318483000000002E-3</v>
      </c>
      <c r="Y71" s="27">
        <v>85.984076779000006</v>
      </c>
      <c r="Z71" s="27">
        <v>1.8731089404000001</v>
      </c>
      <c r="AA71" s="80" t="s">
        <v>136</v>
      </c>
      <c r="AB71" s="80">
        <v>0</v>
      </c>
      <c r="AC71" s="27">
        <v>1.9432625E-3</v>
      </c>
      <c r="AD71" s="27">
        <v>1.1590000000000001E-5</v>
      </c>
      <c r="AE71" s="80" t="s">
        <v>136</v>
      </c>
      <c r="AF71" s="80">
        <v>0</v>
      </c>
      <c r="AG71" s="80" t="s">
        <v>136</v>
      </c>
      <c r="AH71" s="80">
        <v>0</v>
      </c>
      <c r="AI71" s="27">
        <f t="shared" si="8"/>
        <v>1.9432625E-3</v>
      </c>
      <c r="AJ71" s="27">
        <f t="shared" si="9"/>
        <v>1.1590000000000001E-5</v>
      </c>
      <c r="AK71" s="27">
        <v>174.36226456</v>
      </c>
      <c r="AL71" s="27">
        <v>2.0830078115999999</v>
      </c>
      <c r="AM71" s="80" t="s">
        <v>136</v>
      </c>
      <c r="AN71" s="80">
        <v>0</v>
      </c>
      <c r="AO71" s="80" t="s">
        <v>136</v>
      </c>
      <c r="AP71" s="80">
        <v>0</v>
      </c>
      <c r="AQ71" s="80" t="s">
        <v>136</v>
      </c>
      <c r="AR71" s="80">
        <v>0</v>
      </c>
      <c r="AS71" s="27">
        <v>106.18895874</v>
      </c>
      <c r="AT71" s="27">
        <v>3.0978969475000002</v>
      </c>
      <c r="AU71" s="27">
        <v>100.7399027</v>
      </c>
      <c r="AV71" s="27">
        <v>0.74344054000000004</v>
      </c>
      <c r="AW71" s="27">
        <v>43.162505592999999</v>
      </c>
      <c r="AX71" s="27">
        <v>0.45247652090000001</v>
      </c>
      <c r="AY71" s="27">
        <v>11.718963519000001</v>
      </c>
      <c r="AZ71" s="27">
        <v>9.2275325000000005E-2</v>
      </c>
      <c r="BA71" s="80">
        <f t="shared" si="10"/>
        <v>45.858433588000004</v>
      </c>
      <c r="BB71" s="80">
        <f t="shared" si="11"/>
        <v>0.19868869410000001</v>
      </c>
      <c r="BC71" s="27">
        <v>0</v>
      </c>
      <c r="BD71" s="80">
        <v>0</v>
      </c>
      <c r="BE71" s="27">
        <v>328.88179086000002</v>
      </c>
      <c r="BF71" s="27">
        <v>3.3788017829000001</v>
      </c>
      <c r="BG71" s="27">
        <v>1.27839848E-2</v>
      </c>
      <c r="BH71" s="80">
        <v>0</v>
      </c>
      <c r="BI71" s="27">
        <v>159.75301389000001</v>
      </c>
      <c r="BJ71" s="27">
        <v>4.6233559811999996</v>
      </c>
      <c r="BK71" s="27">
        <v>374.59644028999998</v>
      </c>
      <c r="BL71" s="27">
        <v>2.3151661051999999</v>
      </c>
      <c r="BM71" s="27">
        <v>48.804718680999997</v>
      </c>
      <c r="BN71" s="27">
        <v>0.1965182801</v>
      </c>
      <c r="BO71" s="27">
        <v>1.1609085240999999</v>
      </c>
      <c r="BP71" s="27">
        <v>2.8833167000000002E-3</v>
      </c>
      <c r="BQ71" s="27">
        <v>0</v>
      </c>
      <c r="BR71" s="92">
        <v>0</v>
      </c>
      <c r="BS71" s="80" t="s">
        <v>136</v>
      </c>
      <c r="BT71" s="80">
        <v>0</v>
      </c>
      <c r="BU71" s="27">
        <v>1.3873626967999999</v>
      </c>
      <c r="BV71" s="27">
        <v>1.8169683499999999E-2</v>
      </c>
      <c r="BW71" s="27">
        <v>51.805182254999998</v>
      </c>
      <c r="BX71" s="27">
        <v>0.3864262208</v>
      </c>
      <c r="BY71" s="80" t="s">
        <v>136</v>
      </c>
      <c r="BZ71" s="80">
        <v>0</v>
      </c>
      <c r="CA71" s="80" t="s">
        <v>136</v>
      </c>
      <c r="CB71" s="80">
        <v>0</v>
      </c>
      <c r="CC71" s="27">
        <v>39.516415246000001</v>
      </c>
      <c r="CD71" s="27">
        <v>3.6947379599999997E-2</v>
      </c>
      <c r="CE71" s="27">
        <v>28.259432815</v>
      </c>
      <c r="CF71" s="27">
        <v>6.8911836300000001E-2</v>
      </c>
      <c r="CG71" s="80" t="s">
        <v>136</v>
      </c>
      <c r="CH71" s="80">
        <v>0</v>
      </c>
      <c r="CI71" s="80" t="s">
        <v>136</v>
      </c>
      <c r="CJ71" s="80">
        <v>0</v>
      </c>
      <c r="CK71" s="80" t="s">
        <v>136</v>
      </c>
      <c r="CL71" s="80">
        <v>0</v>
      </c>
      <c r="CM71" s="80" t="s">
        <v>136</v>
      </c>
      <c r="CN71" s="80">
        <v>0</v>
      </c>
      <c r="CO71" s="27">
        <v>0.44022672429999998</v>
      </c>
      <c r="CP71" s="27">
        <v>4.5347757999999998E-3</v>
      </c>
      <c r="CQ71" s="27">
        <v>0.56291093020000005</v>
      </c>
      <c r="CR71" s="27">
        <v>4.8970725000000003E-3</v>
      </c>
      <c r="CS71" s="27">
        <v>9.3650839141999995</v>
      </c>
      <c r="CT71" s="27">
        <v>8.6471880200000004E-2</v>
      </c>
      <c r="CU71" s="27">
        <v>76.618992864000006</v>
      </c>
      <c r="CV71" s="27">
        <v>1.7866370600999999</v>
      </c>
      <c r="CW71" s="93" t="s">
        <v>136</v>
      </c>
      <c r="CX71" s="80">
        <v>0</v>
      </c>
      <c r="CY71" s="80" t="s">
        <v>136</v>
      </c>
      <c r="CZ71" s="94">
        <v>0</v>
      </c>
      <c r="DA71" s="27">
        <v>49.971533579000003</v>
      </c>
      <c r="DB71" s="27">
        <v>1.0463883716</v>
      </c>
      <c r="DC71" s="27">
        <v>56.217425161999998</v>
      </c>
      <c r="DD71" s="27">
        <v>2.0515085758999998</v>
      </c>
      <c r="DE71" s="27">
        <v>75.789531146000002</v>
      </c>
      <c r="DF71" s="27">
        <v>1.3452498765000001</v>
      </c>
      <c r="DG71" s="27">
        <v>253.09225971999999</v>
      </c>
      <c r="DH71" s="27">
        <v>2.0335519064000001</v>
      </c>
      <c r="DI71" s="95">
        <v>5.7137259000000001E-3</v>
      </c>
      <c r="DJ71" s="96">
        <v>1.03369612E-2</v>
      </c>
      <c r="DK71" s="96">
        <v>1.18864413E-2</v>
      </c>
      <c r="DL71" s="96">
        <v>1.23870913E-2</v>
      </c>
      <c r="DM71" s="96">
        <v>1.2496930700000001E-2</v>
      </c>
      <c r="DN71" s="96">
        <v>1.2546301399999999E-2</v>
      </c>
      <c r="DO71" s="96">
        <v>1.2573081099999999E-2</v>
      </c>
      <c r="DP71" s="96">
        <v>1.25953599E-2</v>
      </c>
      <c r="DQ71" s="96">
        <v>1.26155052E-2</v>
      </c>
      <c r="DR71" s="97">
        <v>1.2630586100000001E-2</v>
      </c>
      <c r="DS71" s="93">
        <v>114.01281229</v>
      </c>
      <c r="DT71" s="80">
        <v>0.79369672710000005</v>
      </c>
      <c r="DU71" s="80">
        <v>62.247631349000002</v>
      </c>
      <c r="DV71" s="80">
        <v>0.45134980359999999</v>
      </c>
      <c r="DW71" s="80">
        <v>33.945193371999999</v>
      </c>
      <c r="DX71" s="80">
        <v>0.25734858849999998</v>
      </c>
      <c r="DY71" s="80">
        <v>18.753045411999999</v>
      </c>
      <c r="DZ71" s="80">
        <v>0.15049705350000001</v>
      </c>
      <c r="EA71" s="80">
        <v>10.714945874</v>
      </c>
      <c r="EB71" s="80">
        <v>9.2567885700000005E-2</v>
      </c>
      <c r="EC71" s="80">
        <v>6.3994117020000001</v>
      </c>
      <c r="ED71" s="80">
        <v>6.0588058600000001E-2</v>
      </c>
      <c r="EE71" s="80">
        <v>4.0268732826000004</v>
      </c>
      <c r="EF71" s="80">
        <v>4.2394908199999998E-2</v>
      </c>
      <c r="EG71" s="80">
        <v>2.6663059613</v>
      </c>
      <c r="EH71" s="80">
        <v>3.1493316299999997E-2</v>
      </c>
      <c r="EI71" s="80">
        <v>1.8586376165</v>
      </c>
      <c r="EJ71" s="80">
        <v>2.4622987400000001E-2</v>
      </c>
      <c r="EK71" s="80">
        <v>1.3506082773999999</v>
      </c>
      <c r="EL71" s="94">
        <v>1.9979260799999999E-2</v>
      </c>
    </row>
    <row r="72" spans="1:142" x14ac:dyDescent="0.2">
      <c r="A72" s="79">
        <v>10000</v>
      </c>
      <c r="B72" s="27">
        <v>79641</v>
      </c>
      <c r="C72" s="79">
        <v>3603.5231478000001</v>
      </c>
      <c r="D72" s="27">
        <v>8654.5340166000005</v>
      </c>
      <c r="E72" s="27">
        <v>166.51958293000001</v>
      </c>
      <c r="F72" s="27">
        <v>0.13909444709999999</v>
      </c>
      <c r="G72" s="79">
        <v>29.162476931</v>
      </c>
      <c r="H72" s="27">
        <v>7.8298316999999996E-3</v>
      </c>
      <c r="I72" s="27">
        <v>216.84953499</v>
      </c>
      <c r="J72" s="27">
        <v>1.4394633032999999</v>
      </c>
      <c r="K72" s="27">
        <v>142.58515320999999</v>
      </c>
      <c r="L72" s="27">
        <v>0.89972796259999999</v>
      </c>
      <c r="M72" s="27">
        <v>64.301339327999997</v>
      </c>
      <c r="N72" s="27">
        <v>0.48397083959999998</v>
      </c>
      <c r="O72" s="80" t="s">
        <v>136</v>
      </c>
      <c r="P72" s="80">
        <v>0</v>
      </c>
      <c r="Q72" s="27">
        <v>90.243006268000002</v>
      </c>
      <c r="R72" s="27">
        <v>0.1363937539</v>
      </c>
      <c r="S72" s="80" t="s">
        <v>136</v>
      </c>
      <c r="T72" s="80">
        <v>0</v>
      </c>
      <c r="U72" s="80" t="s">
        <v>136</v>
      </c>
      <c r="V72" s="80">
        <v>0</v>
      </c>
      <c r="W72" s="27">
        <v>1.4961340998999999</v>
      </c>
      <c r="X72" s="27">
        <v>1.3387484200000001E-2</v>
      </c>
      <c r="Y72" s="27">
        <v>106.08280569999999</v>
      </c>
      <c r="Z72" s="27">
        <v>2.2558799963</v>
      </c>
      <c r="AA72" s="80" t="s">
        <v>136</v>
      </c>
      <c r="AB72" s="80">
        <v>0</v>
      </c>
      <c r="AC72" s="27">
        <v>2.1439849000000001E-3</v>
      </c>
      <c r="AD72" s="27">
        <v>1.17318E-5</v>
      </c>
      <c r="AE72" s="80" t="s">
        <v>136</v>
      </c>
      <c r="AF72" s="80">
        <v>0</v>
      </c>
      <c r="AG72" s="80" t="s">
        <v>136</v>
      </c>
      <c r="AH72" s="80">
        <v>0</v>
      </c>
      <c r="AI72" s="27">
        <f t="shared" si="8"/>
        <v>2.1439849000000001E-3</v>
      </c>
      <c r="AJ72" s="27">
        <f t="shared" si="9"/>
        <v>1.17318E-5</v>
      </c>
      <c r="AK72" s="27">
        <v>190.39663482</v>
      </c>
      <c r="AL72" s="27">
        <v>2.2139939322000002</v>
      </c>
      <c r="AM72" s="80" t="s">
        <v>136</v>
      </c>
      <c r="AN72" s="80">
        <v>0</v>
      </c>
      <c r="AO72" s="80" t="s">
        <v>136</v>
      </c>
      <c r="AP72" s="80">
        <v>0</v>
      </c>
      <c r="AQ72" s="80" t="s">
        <v>136</v>
      </c>
      <c r="AR72" s="80">
        <v>0</v>
      </c>
      <c r="AS72" s="27">
        <v>122.04392957</v>
      </c>
      <c r="AT72" s="27">
        <v>3.4278116621999999</v>
      </c>
      <c r="AU72" s="27">
        <v>119.5358772</v>
      </c>
      <c r="AV72" s="27">
        <v>0.84796059869999996</v>
      </c>
      <c r="AW72" s="27">
        <v>50.459137853999998</v>
      </c>
      <c r="AX72" s="27">
        <v>0.51509981459999998</v>
      </c>
      <c r="AY72" s="27">
        <v>13.293555176</v>
      </c>
      <c r="AZ72" s="27">
        <v>0.1015199943</v>
      </c>
      <c r="BA72" s="80">
        <f t="shared" si="10"/>
        <v>55.783184170000006</v>
      </c>
      <c r="BB72" s="80">
        <f t="shared" si="11"/>
        <v>0.23134078979999995</v>
      </c>
      <c r="BC72" s="27">
        <v>7.1705396000000003E-3</v>
      </c>
      <c r="BD72" s="80">
        <v>2.5439110999999999E-6</v>
      </c>
      <c r="BE72" s="27">
        <v>429.55595436999999</v>
      </c>
      <c r="BF72" s="27">
        <v>3.8726582166000001</v>
      </c>
      <c r="BG72" s="27">
        <v>1.7262525899999999E-2</v>
      </c>
      <c r="BH72" s="80">
        <v>2.2880699999999999E-5</v>
      </c>
      <c r="BI72" s="27">
        <v>173.35678028000001</v>
      </c>
      <c r="BJ72" s="27">
        <v>4.9016589645000002</v>
      </c>
      <c r="BK72" s="27">
        <v>465.86938980000002</v>
      </c>
      <c r="BL72" s="27">
        <v>2.7840656725000001</v>
      </c>
      <c r="BM72" s="27">
        <v>59.621684344000002</v>
      </c>
      <c r="BN72" s="27">
        <v>0.22906074900000001</v>
      </c>
      <c r="BO72" s="27">
        <v>2.3669769761000001</v>
      </c>
      <c r="BP72" s="27">
        <v>4.2561003000000002E-3</v>
      </c>
      <c r="BQ72" s="27">
        <v>0</v>
      </c>
      <c r="BR72" s="92">
        <v>0</v>
      </c>
      <c r="BS72" s="80" t="s">
        <v>136</v>
      </c>
      <c r="BT72" s="80">
        <v>0</v>
      </c>
      <c r="BU72" s="27">
        <v>1.8128633958</v>
      </c>
      <c r="BV72" s="27">
        <v>2.2182832600000001E-2</v>
      </c>
      <c r="BW72" s="27">
        <v>62.488475932</v>
      </c>
      <c r="BX72" s="27">
        <v>0.461788007</v>
      </c>
      <c r="BY72" s="80" t="s">
        <v>136</v>
      </c>
      <c r="BZ72" s="80">
        <v>0</v>
      </c>
      <c r="CA72" s="80" t="s">
        <v>136</v>
      </c>
      <c r="CB72" s="80">
        <v>0</v>
      </c>
      <c r="CC72" s="27">
        <v>54.225046257000002</v>
      </c>
      <c r="CD72" s="27">
        <v>4.8557101900000003E-2</v>
      </c>
      <c r="CE72" s="27">
        <v>36.017960010000003</v>
      </c>
      <c r="CF72" s="27">
        <v>8.7836652000000001E-2</v>
      </c>
      <c r="CG72" s="80" t="s">
        <v>136</v>
      </c>
      <c r="CH72" s="80">
        <v>0</v>
      </c>
      <c r="CI72" s="80" t="s">
        <v>136</v>
      </c>
      <c r="CJ72" s="80">
        <v>0</v>
      </c>
      <c r="CK72" s="80" t="s">
        <v>136</v>
      </c>
      <c r="CL72" s="80">
        <v>0</v>
      </c>
      <c r="CM72" s="80" t="s">
        <v>136</v>
      </c>
      <c r="CN72" s="80">
        <v>0</v>
      </c>
      <c r="CO72" s="27">
        <v>0.66364509849999997</v>
      </c>
      <c r="CP72" s="27">
        <v>6.3413523999999999E-3</v>
      </c>
      <c r="CQ72" s="27">
        <v>0.83248900130000003</v>
      </c>
      <c r="CR72" s="27">
        <v>7.0461318E-3</v>
      </c>
      <c r="CS72" s="27">
        <v>12.806165041</v>
      </c>
      <c r="CT72" s="27">
        <v>0.1146598068</v>
      </c>
      <c r="CU72" s="27">
        <v>93.276640663999999</v>
      </c>
      <c r="CV72" s="27">
        <v>2.1412201894999998</v>
      </c>
      <c r="CW72" s="93" t="s">
        <v>136</v>
      </c>
      <c r="CX72" s="80">
        <v>0</v>
      </c>
      <c r="CY72" s="80" t="s">
        <v>136</v>
      </c>
      <c r="CZ72" s="94">
        <v>0</v>
      </c>
      <c r="DA72" s="27">
        <v>58.268793408000001</v>
      </c>
      <c r="DB72" s="27">
        <v>1.1854936474</v>
      </c>
      <c r="DC72" s="27">
        <v>63.775136156999999</v>
      </c>
      <c r="DD72" s="27">
        <v>2.2423180147999999</v>
      </c>
      <c r="DE72" s="27">
        <v>121.04304813</v>
      </c>
      <c r="DF72" s="27">
        <v>1.5973654379</v>
      </c>
      <c r="DG72" s="27">
        <v>308.51290624000001</v>
      </c>
      <c r="DH72" s="27">
        <v>2.2752927786999999</v>
      </c>
      <c r="DI72" s="95">
        <v>7.7018564999999997E-3</v>
      </c>
      <c r="DJ72" s="96">
        <v>1.3689183299999999E-2</v>
      </c>
      <c r="DK72" s="96">
        <v>1.58020312E-2</v>
      </c>
      <c r="DL72" s="96">
        <v>1.6553685799999999E-2</v>
      </c>
      <c r="DM72" s="96">
        <v>1.6764260900000001E-2</v>
      </c>
      <c r="DN72" s="96">
        <v>1.68817224E-2</v>
      </c>
      <c r="DO72" s="96">
        <v>1.6945761100000001E-2</v>
      </c>
      <c r="DP72" s="96">
        <v>1.6991323900000001E-2</v>
      </c>
      <c r="DQ72" s="96">
        <v>1.7027489400000002E-2</v>
      </c>
      <c r="DR72" s="97">
        <v>1.70573888E-2</v>
      </c>
      <c r="DS72" s="93">
        <v>124.25492278</v>
      </c>
      <c r="DT72" s="80">
        <v>0.86342909170000004</v>
      </c>
      <c r="DU72" s="80">
        <v>70.043040105000003</v>
      </c>
      <c r="DV72" s="80">
        <v>0.50553992010000004</v>
      </c>
      <c r="DW72" s="80">
        <v>39.475790129000004</v>
      </c>
      <c r="DX72" s="80">
        <v>0.29693385189999999</v>
      </c>
      <c r="DY72" s="80">
        <v>22.552838453</v>
      </c>
      <c r="DZ72" s="80">
        <v>0.17865647009999999</v>
      </c>
      <c r="EA72" s="80">
        <v>13.287416436999999</v>
      </c>
      <c r="EB72" s="80">
        <v>0.1124608956</v>
      </c>
      <c r="EC72" s="80">
        <v>8.1523319148999995</v>
      </c>
      <c r="ED72" s="80">
        <v>7.4868322700000003E-2</v>
      </c>
      <c r="EE72" s="80">
        <v>5.2473791122</v>
      </c>
      <c r="EF72" s="80">
        <v>5.2964441399999999E-2</v>
      </c>
      <c r="EG72" s="80">
        <v>3.5306211931</v>
      </c>
      <c r="EH72" s="80">
        <v>3.9518251599999998E-2</v>
      </c>
      <c r="EI72" s="80">
        <v>2.4902139546000002</v>
      </c>
      <c r="EJ72" s="80">
        <v>3.0931566300000001E-2</v>
      </c>
      <c r="EK72" s="80">
        <v>1.8222786609999999</v>
      </c>
      <c r="EL72" s="94">
        <v>2.5074882199999999E-2</v>
      </c>
    </row>
    <row r="73" spans="1:142" x14ac:dyDescent="0.2">
      <c r="A73" s="79">
        <v>15000</v>
      </c>
      <c r="B73" s="27">
        <v>91880</v>
      </c>
      <c r="C73" s="79">
        <v>4231.2051422000004</v>
      </c>
      <c r="D73" s="27">
        <v>12217.556102</v>
      </c>
      <c r="E73" s="27">
        <v>211.03752782000001</v>
      </c>
      <c r="F73" s="27">
        <v>0.15673486910000001</v>
      </c>
      <c r="G73" s="79">
        <v>96.031178890000007</v>
      </c>
      <c r="H73" s="27">
        <v>1.54495247E-2</v>
      </c>
      <c r="I73" s="27">
        <v>230.00927546</v>
      </c>
      <c r="J73" s="27">
        <v>1.5296155410000001</v>
      </c>
      <c r="K73" s="27">
        <v>161.85620802</v>
      </c>
      <c r="L73" s="27">
        <v>1.0205291662</v>
      </c>
      <c r="M73" s="27">
        <v>77.237426220000003</v>
      </c>
      <c r="N73" s="27">
        <v>0.57598991420000001</v>
      </c>
      <c r="O73" s="80" t="s">
        <v>136</v>
      </c>
      <c r="P73" s="80">
        <v>0</v>
      </c>
      <c r="Q73" s="27">
        <v>121.55577287</v>
      </c>
      <c r="R73" s="27">
        <v>0.17794824400000001</v>
      </c>
      <c r="S73" s="80" t="s">
        <v>136</v>
      </c>
      <c r="T73" s="80">
        <v>0</v>
      </c>
      <c r="U73" s="80" t="s">
        <v>136</v>
      </c>
      <c r="V73" s="80">
        <v>0</v>
      </c>
      <c r="W73" s="27">
        <v>2.0649919917999999</v>
      </c>
      <c r="X73" s="27">
        <v>1.78328736E-2</v>
      </c>
      <c r="Y73" s="27">
        <v>133.90817884000001</v>
      </c>
      <c r="Z73" s="27">
        <v>2.7538561972000002</v>
      </c>
      <c r="AA73" s="80" t="s">
        <v>136</v>
      </c>
      <c r="AB73" s="80">
        <v>0</v>
      </c>
      <c r="AC73" s="27">
        <v>2.7049558E-3</v>
      </c>
      <c r="AD73" s="27">
        <v>1.66077E-5</v>
      </c>
      <c r="AE73" s="80" t="s">
        <v>136</v>
      </c>
      <c r="AF73" s="80">
        <v>0</v>
      </c>
      <c r="AG73" s="80" t="s">
        <v>136</v>
      </c>
      <c r="AH73" s="80">
        <v>0</v>
      </c>
      <c r="AI73" s="27">
        <f t="shared" si="8"/>
        <v>2.7049558E-3</v>
      </c>
      <c r="AJ73" s="27">
        <f t="shared" si="9"/>
        <v>1.66077E-5</v>
      </c>
      <c r="AK73" s="27">
        <v>207.24761615</v>
      </c>
      <c r="AL73" s="27">
        <v>2.3692532317000001</v>
      </c>
      <c r="AM73" s="80" t="s">
        <v>136</v>
      </c>
      <c r="AN73" s="80">
        <v>0</v>
      </c>
      <c r="AO73" s="80" t="s">
        <v>136</v>
      </c>
      <c r="AP73" s="80">
        <v>0</v>
      </c>
      <c r="AQ73" s="80" t="s">
        <v>136</v>
      </c>
      <c r="AR73" s="80">
        <v>0</v>
      </c>
      <c r="AS73" s="27">
        <v>143.11718589</v>
      </c>
      <c r="AT73" s="27">
        <v>3.8576125281000002</v>
      </c>
      <c r="AU73" s="27">
        <v>146.73514642000001</v>
      </c>
      <c r="AV73" s="27">
        <v>0.99416703480000002</v>
      </c>
      <c r="AW73" s="27">
        <v>60.519697680999997</v>
      </c>
      <c r="AX73" s="27">
        <v>0.59986453449999999</v>
      </c>
      <c r="AY73" s="27">
        <v>15.941019232</v>
      </c>
      <c r="AZ73" s="27">
        <v>0.116707731</v>
      </c>
      <c r="BA73" s="80">
        <f t="shared" si="10"/>
        <v>70.274429507000008</v>
      </c>
      <c r="BB73" s="80">
        <f t="shared" si="11"/>
        <v>0.27759476930000004</v>
      </c>
      <c r="BC73" s="27">
        <v>2.2915707399999999E-2</v>
      </c>
      <c r="BD73" s="80">
        <v>8.1188892999999992E-6</v>
      </c>
      <c r="BE73" s="27">
        <v>601.15911234999999</v>
      </c>
      <c r="BF73" s="27">
        <v>4.5731920539999997</v>
      </c>
      <c r="BG73" s="27">
        <v>3.5065808900000002E-2</v>
      </c>
      <c r="BH73" s="80">
        <v>1.3216350000000001E-4</v>
      </c>
      <c r="BI73" s="27">
        <v>188.92166589999999</v>
      </c>
      <c r="BJ73" s="27">
        <v>5.2245519375000002</v>
      </c>
      <c r="BK73" s="27">
        <v>586.55080107000003</v>
      </c>
      <c r="BL73" s="27">
        <v>3.3538256791999999</v>
      </c>
      <c r="BM73" s="27">
        <v>74.206168247999997</v>
      </c>
      <c r="BN73" s="27">
        <v>0.27144576549999999</v>
      </c>
      <c r="BO73" s="27">
        <v>5.7108118208</v>
      </c>
      <c r="BP73" s="27">
        <v>7.0157042999999999E-3</v>
      </c>
      <c r="BQ73" s="27">
        <v>0</v>
      </c>
      <c r="BR73" s="92">
        <v>0</v>
      </c>
      <c r="BS73" s="80" t="s">
        <v>136</v>
      </c>
      <c r="BT73" s="80">
        <v>0</v>
      </c>
      <c r="BU73" s="27">
        <v>2.3741570384999999</v>
      </c>
      <c r="BV73" s="27">
        <v>2.6946681600000001E-2</v>
      </c>
      <c r="BW73" s="27">
        <v>74.863269181999996</v>
      </c>
      <c r="BX73" s="27">
        <v>0.54904323259999999</v>
      </c>
      <c r="BY73" s="80" t="s">
        <v>136</v>
      </c>
      <c r="BZ73" s="80">
        <v>0</v>
      </c>
      <c r="CA73" s="80" t="s">
        <v>136</v>
      </c>
      <c r="CB73" s="80">
        <v>0</v>
      </c>
      <c r="CC73" s="27">
        <v>74.917530130000003</v>
      </c>
      <c r="CD73" s="27">
        <v>6.4251742700000003E-2</v>
      </c>
      <c r="CE73" s="27">
        <v>46.638242744000003</v>
      </c>
      <c r="CF73" s="27">
        <v>0.1136965013</v>
      </c>
      <c r="CG73" s="80" t="s">
        <v>136</v>
      </c>
      <c r="CH73" s="80">
        <v>0</v>
      </c>
      <c r="CI73" s="80" t="s">
        <v>136</v>
      </c>
      <c r="CJ73" s="80">
        <v>0</v>
      </c>
      <c r="CK73" s="80" t="s">
        <v>136</v>
      </c>
      <c r="CL73" s="80">
        <v>0</v>
      </c>
      <c r="CM73" s="80" t="s">
        <v>136</v>
      </c>
      <c r="CN73" s="80">
        <v>0</v>
      </c>
      <c r="CO73" s="27">
        <v>0.93836616949999996</v>
      </c>
      <c r="CP73" s="27">
        <v>8.4600627999999994E-3</v>
      </c>
      <c r="CQ73" s="27">
        <v>1.1266258222000001</v>
      </c>
      <c r="CR73" s="27">
        <v>9.3728109000000004E-3</v>
      </c>
      <c r="CS73" s="27">
        <v>18.456500386999998</v>
      </c>
      <c r="CT73" s="27">
        <v>0.15567360769999999</v>
      </c>
      <c r="CU73" s="27">
        <v>115.45167845</v>
      </c>
      <c r="CV73" s="27">
        <v>2.5981825895999999</v>
      </c>
      <c r="CW73" s="93" t="s">
        <v>136</v>
      </c>
      <c r="CX73" s="80">
        <v>0</v>
      </c>
      <c r="CY73" s="80" t="s">
        <v>136</v>
      </c>
      <c r="CZ73" s="94">
        <v>0</v>
      </c>
      <c r="DA73" s="27">
        <v>69.684283106999999</v>
      </c>
      <c r="DB73" s="27">
        <v>1.3756587573000001</v>
      </c>
      <c r="DC73" s="27">
        <v>73.432902784000007</v>
      </c>
      <c r="DD73" s="27">
        <v>2.4819537708000001</v>
      </c>
      <c r="DE73" s="27">
        <v>205.31648602999999</v>
      </c>
      <c r="DF73" s="27">
        <v>1.9756691101999999</v>
      </c>
      <c r="DG73" s="27">
        <v>395.84262632999997</v>
      </c>
      <c r="DH73" s="27">
        <v>2.5975229438</v>
      </c>
      <c r="DI73" s="95">
        <v>1.51274015E-2</v>
      </c>
      <c r="DJ73" s="96">
        <v>2.6859427500000001E-2</v>
      </c>
      <c r="DK73" s="96">
        <v>3.1244665200000001E-2</v>
      </c>
      <c r="DL73" s="96">
        <v>3.2850607599999998E-2</v>
      </c>
      <c r="DM73" s="96">
        <v>3.3464864699999999E-2</v>
      </c>
      <c r="DN73" s="96">
        <v>3.3835397199999999E-2</v>
      </c>
      <c r="DO73" s="96">
        <v>3.4066182100000002E-2</v>
      </c>
      <c r="DP73" s="96">
        <v>3.4230615700000001E-2</v>
      </c>
      <c r="DQ73" s="96">
        <v>3.43530529E-2</v>
      </c>
      <c r="DR73" s="97">
        <v>3.4449656600000003E-2</v>
      </c>
      <c r="DS73" s="93">
        <v>135.87639734999999</v>
      </c>
      <c r="DT73" s="80">
        <v>0.94287928170000002</v>
      </c>
      <c r="DU73" s="80">
        <v>79.327876298999996</v>
      </c>
      <c r="DV73" s="80">
        <v>0.56991755789999998</v>
      </c>
      <c r="DW73" s="80">
        <v>46.411009931999999</v>
      </c>
      <c r="DX73" s="80">
        <v>0.34604809390000002</v>
      </c>
      <c r="DY73" s="80">
        <v>27.530881818000001</v>
      </c>
      <c r="DZ73" s="80">
        <v>0.21488410550000001</v>
      </c>
      <c r="EA73" s="80">
        <v>16.80618269</v>
      </c>
      <c r="EB73" s="80">
        <v>0.13892857350000001</v>
      </c>
      <c r="EC73" s="80">
        <v>10.636293167</v>
      </c>
      <c r="ED73" s="80">
        <v>9.43092237E-2</v>
      </c>
      <c r="EE73" s="80">
        <v>7.0239835777000001</v>
      </c>
      <c r="EF73" s="80">
        <v>6.7537456800000006E-2</v>
      </c>
      <c r="EG73" s="80">
        <v>4.8191220687999996</v>
      </c>
      <c r="EH73" s="80">
        <v>5.0658800300000001E-2</v>
      </c>
      <c r="EI73" s="80">
        <v>3.4417355030999999</v>
      </c>
      <c r="EJ73" s="80">
        <v>3.9648583000000001E-2</v>
      </c>
      <c r="EK73" s="80">
        <v>2.5401812188999999</v>
      </c>
      <c r="EL73" s="94">
        <v>3.2066170400000003E-2</v>
      </c>
    </row>
    <row r="74" spans="1:142" x14ac:dyDescent="0.2">
      <c r="A74" s="79">
        <v>20000</v>
      </c>
      <c r="B74" s="27">
        <v>48979</v>
      </c>
      <c r="C74" s="79">
        <v>4639.7666067</v>
      </c>
      <c r="D74" s="27">
        <v>17260.787833999999</v>
      </c>
      <c r="E74" s="27">
        <v>240.92943849</v>
      </c>
      <c r="F74" s="27">
        <v>0.16740279259999999</v>
      </c>
      <c r="G74" s="79">
        <v>181.46015564999999</v>
      </c>
      <c r="H74" s="27">
        <v>2.30233621E-2</v>
      </c>
      <c r="I74" s="27">
        <v>236.99615599000001</v>
      </c>
      <c r="J74" s="27">
        <v>1.5765652911000001</v>
      </c>
      <c r="K74" s="27">
        <v>173.22596529</v>
      </c>
      <c r="L74" s="27">
        <v>1.0898205873</v>
      </c>
      <c r="M74" s="27">
        <v>84.577591501000001</v>
      </c>
      <c r="N74" s="27">
        <v>0.62781363970000004</v>
      </c>
      <c r="O74" s="80" t="s">
        <v>136</v>
      </c>
      <c r="P74" s="80">
        <v>0</v>
      </c>
      <c r="Q74" s="27">
        <v>141.90228522000001</v>
      </c>
      <c r="R74" s="27">
        <v>0.20457896270000001</v>
      </c>
      <c r="S74" s="80" t="s">
        <v>136</v>
      </c>
      <c r="T74" s="80">
        <v>0</v>
      </c>
      <c r="U74" s="80" t="s">
        <v>136</v>
      </c>
      <c r="V74" s="80">
        <v>0</v>
      </c>
      <c r="W74" s="27">
        <v>2.3234227662000002</v>
      </c>
      <c r="X74" s="27">
        <v>1.9733225E-2</v>
      </c>
      <c r="Y74" s="27">
        <v>152.17177852</v>
      </c>
      <c r="Z74" s="27">
        <v>3.0602960887999999</v>
      </c>
      <c r="AA74" s="80" t="s">
        <v>136</v>
      </c>
      <c r="AB74" s="80">
        <v>0</v>
      </c>
      <c r="AC74" s="27">
        <v>2.6791025999999998E-3</v>
      </c>
      <c r="AD74" s="27">
        <v>1.6442900000000001E-5</v>
      </c>
      <c r="AE74" s="80" t="s">
        <v>136</v>
      </c>
      <c r="AF74" s="80">
        <v>0</v>
      </c>
      <c r="AG74" s="80" t="s">
        <v>136</v>
      </c>
      <c r="AH74" s="80">
        <v>0</v>
      </c>
      <c r="AI74" s="27">
        <f t="shared" si="8"/>
        <v>2.6791025999999998E-3</v>
      </c>
      <c r="AJ74" s="27">
        <f t="shared" si="9"/>
        <v>1.6442900000000001E-5</v>
      </c>
      <c r="AK74" s="27">
        <v>215.73279658000001</v>
      </c>
      <c r="AL74" s="27">
        <v>2.4585840754000001</v>
      </c>
      <c r="AM74" s="80" t="s">
        <v>136</v>
      </c>
      <c r="AN74" s="80">
        <v>0</v>
      </c>
      <c r="AO74" s="80" t="s">
        <v>136</v>
      </c>
      <c r="AP74" s="80">
        <v>0</v>
      </c>
      <c r="AQ74" s="80" t="s">
        <v>136</v>
      </c>
      <c r="AR74" s="80">
        <v>0</v>
      </c>
      <c r="AS74" s="27">
        <v>156.65764870000001</v>
      </c>
      <c r="AT74" s="27">
        <v>4.1341501987999996</v>
      </c>
      <c r="AU74" s="27">
        <v>165.88935913</v>
      </c>
      <c r="AV74" s="27">
        <v>1.0918858324</v>
      </c>
      <c r="AW74" s="27">
        <v>67.253665638000001</v>
      </c>
      <c r="AX74" s="27">
        <v>0.6553251269</v>
      </c>
      <c r="AY74" s="27">
        <v>17.992714162999999</v>
      </c>
      <c r="AZ74" s="27">
        <v>0.12803115000000001</v>
      </c>
      <c r="BA74" s="80">
        <f t="shared" si="10"/>
        <v>80.642979328999999</v>
      </c>
      <c r="BB74" s="80">
        <f t="shared" si="11"/>
        <v>0.30852955550000005</v>
      </c>
      <c r="BC74" s="27">
        <v>4.9937960599999998E-2</v>
      </c>
      <c r="BD74" s="80">
        <v>1.5901800000000001E-5</v>
      </c>
      <c r="BE74" s="27">
        <v>731.67192795000005</v>
      </c>
      <c r="BF74" s="27">
        <v>5.028612817</v>
      </c>
      <c r="BG74" s="27">
        <v>5.5159549299999999E-2</v>
      </c>
      <c r="BH74" s="80">
        <v>2.5585279999999999E-4</v>
      </c>
      <c r="BI74" s="27">
        <v>197.57647317000001</v>
      </c>
      <c r="BJ74" s="27">
        <v>5.4115602691999998</v>
      </c>
      <c r="BK74" s="27">
        <v>658.76848958999994</v>
      </c>
      <c r="BL74" s="27">
        <v>3.6671476940000001</v>
      </c>
      <c r="BM74" s="27">
        <v>83.265124146000005</v>
      </c>
      <c r="BN74" s="27">
        <v>0.29605254619999999</v>
      </c>
      <c r="BO74" s="27">
        <v>10.814765575999999</v>
      </c>
      <c r="BP74" s="27">
        <v>9.9504993999999999E-3</v>
      </c>
      <c r="BQ74" s="27">
        <v>0</v>
      </c>
      <c r="BR74" s="92">
        <v>0</v>
      </c>
      <c r="BS74" s="80" t="s">
        <v>136</v>
      </c>
      <c r="BT74" s="80">
        <v>0</v>
      </c>
      <c r="BU74" s="27">
        <v>2.8843069903999998</v>
      </c>
      <c r="BV74" s="27">
        <v>3.0544361999999999E-2</v>
      </c>
      <c r="BW74" s="27">
        <v>81.693284511000002</v>
      </c>
      <c r="BX74" s="27">
        <v>0.59726927770000005</v>
      </c>
      <c r="BY74" s="80" t="s">
        <v>136</v>
      </c>
      <c r="BZ74" s="80">
        <v>0</v>
      </c>
      <c r="CA74" s="80" t="s">
        <v>136</v>
      </c>
      <c r="CB74" s="80">
        <v>0</v>
      </c>
      <c r="CC74" s="27">
        <v>88.673738567000001</v>
      </c>
      <c r="CD74" s="27">
        <v>7.4411594600000006E-2</v>
      </c>
      <c r="CE74" s="27">
        <v>53.228546653000002</v>
      </c>
      <c r="CF74" s="27">
        <v>0.13016736810000001</v>
      </c>
      <c r="CG74" s="80" t="s">
        <v>136</v>
      </c>
      <c r="CH74" s="80">
        <v>0</v>
      </c>
      <c r="CI74" s="80" t="s">
        <v>136</v>
      </c>
      <c r="CJ74" s="80">
        <v>0</v>
      </c>
      <c r="CK74" s="80" t="s">
        <v>136</v>
      </c>
      <c r="CL74" s="80">
        <v>0</v>
      </c>
      <c r="CM74" s="80" t="s">
        <v>136</v>
      </c>
      <c r="CN74" s="80">
        <v>0</v>
      </c>
      <c r="CO74" s="27">
        <v>1.0907367348000001</v>
      </c>
      <c r="CP74" s="27">
        <v>9.5229639000000005E-3</v>
      </c>
      <c r="CQ74" s="27">
        <v>1.2326860314000001</v>
      </c>
      <c r="CR74" s="27">
        <v>1.02102611E-2</v>
      </c>
      <c r="CS74" s="27">
        <v>23.088915910000001</v>
      </c>
      <c r="CT74" s="27">
        <v>0.1844292173</v>
      </c>
      <c r="CU74" s="27">
        <v>129.08286261000001</v>
      </c>
      <c r="CV74" s="27">
        <v>2.8758668715</v>
      </c>
      <c r="CW74" s="93" t="s">
        <v>136</v>
      </c>
      <c r="CX74" s="80">
        <v>0</v>
      </c>
      <c r="CY74" s="80" t="s">
        <v>136</v>
      </c>
      <c r="CZ74" s="94">
        <v>0</v>
      </c>
      <c r="DA74" s="27">
        <v>77.325502248999996</v>
      </c>
      <c r="DB74" s="27">
        <v>1.4968380226</v>
      </c>
      <c r="DC74" s="27">
        <v>79.332146452999993</v>
      </c>
      <c r="DD74" s="27">
        <v>2.6373121761</v>
      </c>
      <c r="DE74" s="27">
        <v>272.87978871000001</v>
      </c>
      <c r="DF74" s="27">
        <v>2.2300677094000001</v>
      </c>
      <c r="DG74" s="27">
        <v>458.79213923999998</v>
      </c>
      <c r="DH74" s="27">
        <v>2.7985451075999999</v>
      </c>
      <c r="DI74" s="95">
        <v>2.2377245600000002E-2</v>
      </c>
      <c r="DJ74" s="96">
        <v>3.9942862400000001E-2</v>
      </c>
      <c r="DK74" s="96">
        <v>4.7562219500000003E-2</v>
      </c>
      <c r="DL74" s="96">
        <v>5.0459427799999998E-2</v>
      </c>
      <c r="DM74" s="96">
        <v>5.1709396599999999E-2</v>
      </c>
      <c r="DN74" s="96">
        <v>5.2467277700000002E-2</v>
      </c>
      <c r="DO74" s="96">
        <v>5.2944249200000001E-2</v>
      </c>
      <c r="DP74" s="96">
        <v>5.3271993400000002E-2</v>
      </c>
      <c r="DQ74" s="96">
        <v>5.3518435400000001E-2</v>
      </c>
      <c r="DR74" s="97">
        <v>5.37143385E-2</v>
      </c>
      <c r="DS74" s="93">
        <v>142.16108559</v>
      </c>
      <c r="DT74" s="80">
        <v>0.98491551610000005</v>
      </c>
      <c r="DU74" s="80">
        <v>84.500890263000002</v>
      </c>
      <c r="DV74" s="80">
        <v>0.60486673879999997</v>
      </c>
      <c r="DW74" s="80">
        <v>50.424687685000002</v>
      </c>
      <c r="DX74" s="80">
        <v>0.37355299860000002</v>
      </c>
      <c r="DY74" s="80">
        <v>30.530631745000001</v>
      </c>
      <c r="DZ74" s="80">
        <v>0.23579487809999999</v>
      </c>
      <c r="EA74" s="80">
        <v>19.002939588</v>
      </c>
      <c r="EB74" s="80">
        <v>0.15456173710000001</v>
      </c>
      <c r="EC74" s="80">
        <v>12.239149076</v>
      </c>
      <c r="ED74" s="80">
        <v>0.106005455</v>
      </c>
      <c r="EE74" s="80">
        <v>8.1937200871999991</v>
      </c>
      <c r="EF74" s="80">
        <v>7.6340836600000003E-2</v>
      </c>
      <c r="EG74" s="80">
        <v>5.6750877659999999</v>
      </c>
      <c r="EH74" s="80">
        <v>5.7335433700000001E-2</v>
      </c>
      <c r="EI74" s="80">
        <v>4.0720905255000002</v>
      </c>
      <c r="EJ74" s="80">
        <v>4.4781752600000002E-2</v>
      </c>
      <c r="EK74" s="80">
        <v>3.0088471282999998</v>
      </c>
      <c r="EL74" s="94">
        <v>3.6074362700000001E-2</v>
      </c>
    </row>
    <row r="75" spans="1:142" x14ac:dyDescent="0.2">
      <c r="A75" s="79">
        <v>25000</v>
      </c>
      <c r="B75" s="27">
        <v>28600</v>
      </c>
      <c r="C75" s="79">
        <v>4926.6466972999997</v>
      </c>
      <c r="D75" s="27">
        <v>22294.298853</v>
      </c>
      <c r="E75" s="27">
        <v>261.82283960000001</v>
      </c>
      <c r="F75" s="27">
        <v>0.17490294889999999</v>
      </c>
      <c r="G75" s="79">
        <v>261.54637047</v>
      </c>
      <c r="H75" s="27">
        <v>2.9055856599999999E-2</v>
      </c>
      <c r="I75" s="27">
        <v>241.45435474999999</v>
      </c>
      <c r="J75" s="27">
        <v>1.6060778796999999</v>
      </c>
      <c r="K75" s="27">
        <v>180.62459594000001</v>
      </c>
      <c r="L75" s="27">
        <v>1.1339665407999999</v>
      </c>
      <c r="M75" s="27">
        <v>89.291616747000006</v>
      </c>
      <c r="N75" s="27">
        <v>0.66080046459999997</v>
      </c>
      <c r="O75" s="80" t="s">
        <v>136</v>
      </c>
      <c r="P75" s="80">
        <v>0</v>
      </c>
      <c r="Q75" s="27">
        <v>155.90354239000001</v>
      </c>
      <c r="R75" s="27">
        <v>0.2222495484</v>
      </c>
      <c r="S75" s="80" t="s">
        <v>136</v>
      </c>
      <c r="T75" s="80">
        <v>0</v>
      </c>
      <c r="U75" s="80" t="s">
        <v>136</v>
      </c>
      <c r="V75" s="80">
        <v>0</v>
      </c>
      <c r="W75" s="27">
        <v>2.6154757147000001</v>
      </c>
      <c r="X75" s="27">
        <v>2.1960108799999999E-2</v>
      </c>
      <c r="Y75" s="27">
        <v>164.62874725</v>
      </c>
      <c r="Z75" s="27">
        <v>3.2505289613000001</v>
      </c>
      <c r="AA75" s="80" t="s">
        <v>136</v>
      </c>
      <c r="AB75" s="80">
        <v>0</v>
      </c>
      <c r="AC75" s="27">
        <v>2.6656051000000002E-3</v>
      </c>
      <c r="AD75" s="27">
        <v>1.63558E-5</v>
      </c>
      <c r="AE75" s="80" t="s">
        <v>136</v>
      </c>
      <c r="AF75" s="80">
        <v>0</v>
      </c>
      <c r="AG75" s="80" t="s">
        <v>136</v>
      </c>
      <c r="AH75" s="80">
        <v>0</v>
      </c>
      <c r="AI75" s="27">
        <f t="shared" si="8"/>
        <v>2.6656051000000002E-3</v>
      </c>
      <c r="AJ75" s="27">
        <f t="shared" si="9"/>
        <v>1.63558E-5</v>
      </c>
      <c r="AK75" s="27">
        <v>220.76160734000001</v>
      </c>
      <c r="AL75" s="27">
        <v>2.5136224228000001</v>
      </c>
      <c r="AM75" s="80" t="s">
        <v>136</v>
      </c>
      <c r="AN75" s="80">
        <v>0</v>
      </c>
      <c r="AO75" s="80" t="s">
        <v>136</v>
      </c>
      <c r="AP75" s="80">
        <v>0</v>
      </c>
      <c r="AQ75" s="80" t="s">
        <v>136</v>
      </c>
      <c r="AR75" s="80">
        <v>0</v>
      </c>
      <c r="AS75" s="27">
        <v>166.23829044999999</v>
      </c>
      <c r="AT75" s="27">
        <v>4.3201628065</v>
      </c>
      <c r="AU75" s="27">
        <v>179.69924458</v>
      </c>
      <c r="AV75" s="27">
        <v>1.1602075463999999</v>
      </c>
      <c r="AW75" s="27">
        <v>72.089475923999998</v>
      </c>
      <c r="AX75" s="27">
        <v>0.69401627919999997</v>
      </c>
      <c r="AY75" s="27">
        <v>19.409422850999999</v>
      </c>
      <c r="AZ75" s="27">
        <v>0.13596552940000001</v>
      </c>
      <c r="BA75" s="80">
        <f t="shared" si="10"/>
        <v>88.200345804999998</v>
      </c>
      <c r="BB75" s="80">
        <f t="shared" si="11"/>
        <v>0.33022573779999997</v>
      </c>
      <c r="BC75" s="27">
        <v>8.4745644999999994E-2</v>
      </c>
      <c r="BD75" s="80">
        <v>2.83075E-5</v>
      </c>
      <c r="BE75" s="27">
        <v>826.91832927999997</v>
      </c>
      <c r="BF75" s="27">
        <v>5.3339694310999999</v>
      </c>
      <c r="BG75" s="27">
        <v>7.2722799300000002E-2</v>
      </c>
      <c r="BH75" s="80">
        <v>3.1617450000000002E-4</v>
      </c>
      <c r="BI75" s="27">
        <v>203.36626552999999</v>
      </c>
      <c r="BJ75" s="27">
        <v>5.5323269650000002</v>
      </c>
      <c r="BK75" s="27">
        <v>705.60347085000001</v>
      </c>
      <c r="BL75" s="27">
        <v>3.8629722044000001</v>
      </c>
      <c r="BM75" s="27">
        <v>89.017657776999997</v>
      </c>
      <c r="BN75" s="27">
        <v>0.31122451649999999</v>
      </c>
      <c r="BO75" s="27">
        <v>17.439260715</v>
      </c>
      <c r="BP75" s="27">
        <v>1.3078620500000001E-2</v>
      </c>
      <c r="BQ75" s="27">
        <v>0</v>
      </c>
      <c r="BR75" s="92">
        <v>0</v>
      </c>
      <c r="BS75" s="80" t="s">
        <v>136</v>
      </c>
      <c r="BT75" s="80">
        <v>0</v>
      </c>
      <c r="BU75" s="27">
        <v>3.3454222410000001</v>
      </c>
      <c r="BV75" s="27">
        <v>3.3686613400000003E-2</v>
      </c>
      <c r="BW75" s="27">
        <v>85.946194505999998</v>
      </c>
      <c r="BX75" s="27">
        <v>0.62711385119999996</v>
      </c>
      <c r="BY75" s="80" t="s">
        <v>136</v>
      </c>
      <c r="BZ75" s="80">
        <v>0</v>
      </c>
      <c r="CA75" s="80" t="s">
        <v>136</v>
      </c>
      <c r="CB75" s="80">
        <v>0</v>
      </c>
      <c r="CC75" s="27">
        <v>98.185000844000001</v>
      </c>
      <c r="CD75" s="27">
        <v>8.1121906399999999E-2</v>
      </c>
      <c r="CE75" s="27">
        <v>57.718541543000001</v>
      </c>
      <c r="CF75" s="27">
        <v>0.141127642</v>
      </c>
      <c r="CG75" s="80" t="s">
        <v>136</v>
      </c>
      <c r="CH75" s="80">
        <v>0</v>
      </c>
      <c r="CI75" s="80" t="s">
        <v>136</v>
      </c>
      <c r="CJ75" s="80">
        <v>0</v>
      </c>
      <c r="CK75" s="80" t="s">
        <v>136</v>
      </c>
      <c r="CL75" s="80">
        <v>0</v>
      </c>
      <c r="CM75" s="80" t="s">
        <v>136</v>
      </c>
      <c r="CN75" s="80">
        <v>0</v>
      </c>
      <c r="CO75" s="27">
        <v>1.2785541460000001</v>
      </c>
      <c r="CP75" s="27">
        <v>1.0922194200000001E-2</v>
      </c>
      <c r="CQ75" s="27">
        <v>1.3369215687</v>
      </c>
      <c r="CR75" s="27">
        <v>1.10379146E-2</v>
      </c>
      <c r="CS75" s="27">
        <v>26.816779881999999</v>
      </c>
      <c r="CT75" s="27">
        <v>0.20622143170000001</v>
      </c>
      <c r="CU75" s="27">
        <v>137.81196736999999</v>
      </c>
      <c r="CV75" s="27">
        <v>3.0443075296000002</v>
      </c>
      <c r="CW75" s="93" t="s">
        <v>136</v>
      </c>
      <c r="CX75" s="80">
        <v>0</v>
      </c>
      <c r="CY75" s="80" t="s">
        <v>136</v>
      </c>
      <c r="CZ75" s="94">
        <v>0</v>
      </c>
      <c r="DA75" s="27">
        <v>82.712467543000002</v>
      </c>
      <c r="DB75" s="27">
        <v>1.5800252059</v>
      </c>
      <c r="DC75" s="27">
        <v>83.525822903999995</v>
      </c>
      <c r="DD75" s="27">
        <v>2.7401376005999998</v>
      </c>
      <c r="DE75" s="27">
        <v>323.64110320999998</v>
      </c>
      <c r="DF75" s="27">
        <v>2.4013559917</v>
      </c>
      <c r="DG75" s="27">
        <v>503.27722606999998</v>
      </c>
      <c r="DH75" s="27">
        <v>2.9326134393999999</v>
      </c>
      <c r="DI75" s="95">
        <v>2.7923222899999999E-2</v>
      </c>
      <c r="DJ75" s="96">
        <v>4.9781614500000002E-2</v>
      </c>
      <c r="DK75" s="96">
        <v>6.0206840999999997E-2</v>
      </c>
      <c r="DL75" s="96">
        <v>6.4627398099999997E-2</v>
      </c>
      <c r="DM75" s="96">
        <v>6.6674553400000003E-2</v>
      </c>
      <c r="DN75" s="96">
        <v>6.7923840999999999E-2</v>
      </c>
      <c r="DO75" s="96">
        <v>6.8735890600000002E-2</v>
      </c>
      <c r="DP75" s="96">
        <v>6.93188795E-2</v>
      </c>
      <c r="DQ75" s="96">
        <v>6.9749932799999997E-2</v>
      </c>
      <c r="DR75" s="97">
        <v>7.0091628000000003E-2</v>
      </c>
      <c r="DS75" s="93">
        <v>146.23985827000001</v>
      </c>
      <c r="DT75" s="80">
        <v>1.0118363615999999</v>
      </c>
      <c r="DU75" s="80">
        <v>87.940731830000004</v>
      </c>
      <c r="DV75" s="80">
        <v>0.62777099660000002</v>
      </c>
      <c r="DW75" s="80">
        <v>53.169660598</v>
      </c>
      <c r="DX75" s="80">
        <v>0.39203601430000001</v>
      </c>
      <c r="DY75" s="80">
        <v>32.64747509</v>
      </c>
      <c r="DZ75" s="80">
        <v>0.25022618759999998</v>
      </c>
      <c r="EA75" s="80">
        <v>20.597347135</v>
      </c>
      <c r="EB75" s="80">
        <v>0.16559604929999999</v>
      </c>
      <c r="EC75" s="80">
        <v>13.427282307</v>
      </c>
      <c r="ED75" s="80">
        <v>0.1143802669</v>
      </c>
      <c r="EE75" s="80">
        <v>9.0758382651999998</v>
      </c>
      <c r="EF75" s="80">
        <v>8.27082705E-2</v>
      </c>
      <c r="EG75" s="80">
        <v>6.3341157906000003</v>
      </c>
      <c r="EH75" s="80">
        <v>6.2216601099999998E-2</v>
      </c>
      <c r="EI75" s="80">
        <v>4.5648613733000003</v>
      </c>
      <c r="EJ75" s="80">
        <v>4.8541490999999999E-2</v>
      </c>
      <c r="EK75" s="80">
        <v>3.3833746942</v>
      </c>
      <c r="EL75" s="94">
        <v>3.9031058600000001E-2</v>
      </c>
    </row>
    <row r="76" spans="1:142" x14ac:dyDescent="0.2">
      <c r="A76" s="79">
        <v>30000</v>
      </c>
      <c r="B76" s="27">
        <v>17839</v>
      </c>
      <c r="C76" s="79">
        <v>5140.1277610999996</v>
      </c>
      <c r="D76" s="27">
        <v>27331.015030999999</v>
      </c>
      <c r="E76" s="27">
        <v>276.59866368000002</v>
      </c>
      <c r="F76" s="27">
        <v>0.17991551729999999</v>
      </c>
      <c r="G76" s="79">
        <v>331.20683931999997</v>
      </c>
      <c r="H76" s="27">
        <v>3.3596838900000002E-2</v>
      </c>
      <c r="I76" s="27">
        <v>244.36981201</v>
      </c>
      <c r="J76" s="27">
        <v>1.6249138779000001</v>
      </c>
      <c r="K76" s="27">
        <v>185.87689881</v>
      </c>
      <c r="L76" s="27">
        <v>1.1634724062999999</v>
      </c>
      <c r="M76" s="27">
        <v>92.525272216000005</v>
      </c>
      <c r="N76" s="27">
        <v>0.68302304989999996</v>
      </c>
      <c r="O76" s="80" t="s">
        <v>136</v>
      </c>
      <c r="P76" s="80">
        <v>0</v>
      </c>
      <c r="Q76" s="27">
        <v>165.54375585</v>
      </c>
      <c r="R76" s="27">
        <v>0.23463448319999999</v>
      </c>
      <c r="S76" s="80" t="s">
        <v>136</v>
      </c>
      <c r="T76" s="80">
        <v>0</v>
      </c>
      <c r="U76" s="80" t="s">
        <v>136</v>
      </c>
      <c r="V76" s="80">
        <v>0</v>
      </c>
      <c r="W76" s="27">
        <v>2.8414067278999999</v>
      </c>
      <c r="X76" s="27">
        <v>2.3511517400000001E-2</v>
      </c>
      <c r="Y76" s="27">
        <v>173.85201365</v>
      </c>
      <c r="Z76" s="27">
        <v>3.3826418377</v>
      </c>
      <c r="AA76" s="80" t="s">
        <v>136</v>
      </c>
      <c r="AB76" s="80">
        <v>0</v>
      </c>
      <c r="AC76" s="27">
        <v>2.6571492999999998E-3</v>
      </c>
      <c r="AD76" s="27">
        <v>1.6301399999999999E-5</v>
      </c>
      <c r="AE76" s="80" t="s">
        <v>136</v>
      </c>
      <c r="AF76" s="80">
        <v>0</v>
      </c>
      <c r="AG76" s="80" t="s">
        <v>136</v>
      </c>
      <c r="AH76" s="80">
        <v>0</v>
      </c>
      <c r="AI76" s="27">
        <f t="shared" si="8"/>
        <v>2.6571492999999998E-3</v>
      </c>
      <c r="AJ76" s="27">
        <f t="shared" si="9"/>
        <v>1.6301399999999999E-5</v>
      </c>
      <c r="AK76" s="27">
        <v>223.77905362000001</v>
      </c>
      <c r="AL76" s="27">
        <v>2.5489891592</v>
      </c>
      <c r="AM76" s="80" t="s">
        <v>136</v>
      </c>
      <c r="AN76" s="80">
        <v>0</v>
      </c>
      <c r="AO76" s="80" t="s">
        <v>136</v>
      </c>
      <c r="AP76" s="80">
        <v>0</v>
      </c>
      <c r="AQ76" s="80" t="s">
        <v>136</v>
      </c>
      <c r="AR76" s="80">
        <v>0</v>
      </c>
      <c r="AS76" s="27">
        <v>173.09869685999999</v>
      </c>
      <c r="AT76" s="27">
        <v>4.4533605573999999</v>
      </c>
      <c r="AU76" s="27">
        <v>189.70275018000001</v>
      </c>
      <c r="AV76" s="27">
        <v>1.2086363505</v>
      </c>
      <c r="AW76" s="27">
        <v>75.503494648</v>
      </c>
      <c r="AX76" s="27">
        <v>0.72148733080000005</v>
      </c>
      <c r="AY76" s="27">
        <v>20.340868253</v>
      </c>
      <c r="AZ76" s="27">
        <v>0.1411877067</v>
      </c>
      <c r="BA76" s="80">
        <f t="shared" si="10"/>
        <v>93.858387279000013</v>
      </c>
      <c r="BB76" s="80">
        <f t="shared" si="11"/>
        <v>0.34596131299999988</v>
      </c>
      <c r="BC76" s="27">
        <v>0.1640186498</v>
      </c>
      <c r="BD76" s="80">
        <v>4.6566400000000002E-5</v>
      </c>
      <c r="BE76" s="27">
        <v>897.53433625000002</v>
      </c>
      <c r="BF76" s="27">
        <v>5.5460442380000003</v>
      </c>
      <c r="BG76" s="27">
        <v>8.71033898E-2</v>
      </c>
      <c r="BH76" s="80">
        <v>4.7367710000000002E-4</v>
      </c>
      <c r="BI76" s="27">
        <v>207.33451488</v>
      </c>
      <c r="BJ76" s="27">
        <v>5.6178502533000003</v>
      </c>
      <c r="BK76" s="27">
        <v>738.63470290999999</v>
      </c>
      <c r="BL76" s="27">
        <v>3.9876705450999999</v>
      </c>
      <c r="BM76" s="27">
        <v>93.155371513000006</v>
      </c>
      <c r="BN76" s="27">
        <v>0.32106436469999999</v>
      </c>
      <c r="BO76" s="27">
        <v>27.219717259999999</v>
      </c>
      <c r="BP76" s="27">
        <v>1.7260003199999999E-2</v>
      </c>
      <c r="BQ76" s="27">
        <v>0</v>
      </c>
      <c r="BR76" s="92">
        <v>0</v>
      </c>
      <c r="BS76" s="80" t="s">
        <v>136</v>
      </c>
      <c r="BT76" s="80">
        <v>0</v>
      </c>
      <c r="BU76" s="27">
        <v>3.7182165093999999</v>
      </c>
      <c r="BV76" s="27">
        <v>3.5729637799999998E-2</v>
      </c>
      <c r="BW76" s="27">
        <v>88.807055707000004</v>
      </c>
      <c r="BX76" s="27">
        <v>0.64729341210000002</v>
      </c>
      <c r="BY76" s="80" t="s">
        <v>136</v>
      </c>
      <c r="BZ76" s="80">
        <v>0</v>
      </c>
      <c r="CA76" s="80" t="s">
        <v>136</v>
      </c>
      <c r="CB76" s="80">
        <v>0</v>
      </c>
      <c r="CC76" s="27">
        <v>104.84101912</v>
      </c>
      <c r="CD76" s="27">
        <v>8.5850414099999994E-2</v>
      </c>
      <c r="CE76" s="27">
        <v>60.702736735000002</v>
      </c>
      <c r="CF76" s="27">
        <v>0.1487840691</v>
      </c>
      <c r="CG76" s="80" t="s">
        <v>136</v>
      </c>
      <c r="CH76" s="80">
        <v>0</v>
      </c>
      <c r="CI76" s="80" t="s">
        <v>136</v>
      </c>
      <c r="CJ76" s="80">
        <v>0</v>
      </c>
      <c r="CK76" s="80" t="s">
        <v>136</v>
      </c>
      <c r="CL76" s="80">
        <v>0</v>
      </c>
      <c r="CM76" s="80" t="s">
        <v>136</v>
      </c>
      <c r="CN76" s="80">
        <v>0</v>
      </c>
      <c r="CO76" s="27">
        <v>1.4191819675999999</v>
      </c>
      <c r="CP76" s="27">
        <v>1.1729048000000001E-2</v>
      </c>
      <c r="CQ76" s="27">
        <v>1.4222247603</v>
      </c>
      <c r="CR76" s="27">
        <v>1.17824694E-2</v>
      </c>
      <c r="CS76" s="27">
        <v>29.920091567</v>
      </c>
      <c r="CT76" s="27">
        <v>0.2239375183</v>
      </c>
      <c r="CU76" s="27">
        <v>143.93192207999999</v>
      </c>
      <c r="CV76" s="27">
        <v>3.1587043194</v>
      </c>
      <c r="CW76" s="93" t="s">
        <v>136</v>
      </c>
      <c r="CX76" s="80">
        <v>0</v>
      </c>
      <c r="CY76" s="80" t="s">
        <v>136</v>
      </c>
      <c r="CZ76" s="94">
        <v>0</v>
      </c>
      <c r="DA76" s="27">
        <v>86.683461508999997</v>
      </c>
      <c r="DB76" s="27">
        <v>1.6406399652000001</v>
      </c>
      <c r="DC76" s="27">
        <v>86.415235351999996</v>
      </c>
      <c r="DD76" s="27">
        <v>2.8127205921999998</v>
      </c>
      <c r="DE76" s="27">
        <v>362.80479287999998</v>
      </c>
      <c r="DF76" s="27">
        <v>2.5222279919999999</v>
      </c>
      <c r="DG76" s="27">
        <v>534.72954336999999</v>
      </c>
      <c r="DH76" s="27">
        <v>3.023816246</v>
      </c>
      <c r="DI76" s="95">
        <v>3.1989440500000001E-2</v>
      </c>
      <c r="DJ76" s="96">
        <v>5.7056866999999997E-2</v>
      </c>
      <c r="DK76" s="96">
        <v>6.9725367600000004E-2</v>
      </c>
      <c r="DL76" s="96">
        <v>7.5541607900000002E-2</v>
      </c>
      <c r="DM76" s="96">
        <v>7.8419411600000002E-2</v>
      </c>
      <c r="DN76" s="96">
        <v>8.0189622299999999E-2</v>
      </c>
      <c r="DO76" s="96">
        <v>8.1361013499999996E-2</v>
      </c>
      <c r="DP76" s="96">
        <v>8.2208313199999994E-2</v>
      </c>
      <c r="DQ76" s="96">
        <v>8.2838416200000001E-2</v>
      </c>
      <c r="DR76" s="97">
        <v>8.3334584399999995E-2</v>
      </c>
      <c r="DS76" s="93">
        <v>148.90048569999999</v>
      </c>
      <c r="DT76" s="80">
        <v>1.0290609831999999</v>
      </c>
      <c r="DU76" s="80">
        <v>90.185684385000002</v>
      </c>
      <c r="DV76" s="80">
        <v>0.64246531880000002</v>
      </c>
      <c r="DW76" s="80">
        <v>54.965900505999997</v>
      </c>
      <c r="DX76" s="80">
        <v>0.40396052929999998</v>
      </c>
      <c r="DY76" s="80">
        <v>34.051299086</v>
      </c>
      <c r="DZ76" s="80">
        <v>0.25965222859999998</v>
      </c>
      <c r="EA76" s="80">
        <v>21.669481566000002</v>
      </c>
      <c r="EB76" s="80">
        <v>0.17289727560000001</v>
      </c>
      <c r="EC76" s="80">
        <v>14.245894244</v>
      </c>
      <c r="ED76" s="80">
        <v>0.1200154673</v>
      </c>
      <c r="EE76" s="80">
        <v>9.7013095900999993</v>
      </c>
      <c r="EF76" s="80">
        <v>8.7066466499999995E-2</v>
      </c>
      <c r="EG76" s="80">
        <v>6.8134553731</v>
      </c>
      <c r="EH76" s="80">
        <v>6.5609632700000003E-2</v>
      </c>
      <c r="EI76" s="80">
        <v>4.9351778283999996</v>
      </c>
      <c r="EJ76" s="80">
        <v>5.1211392299999998E-2</v>
      </c>
      <c r="EK76" s="80">
        <v>3.6717936493000001</v>
      </c>
      <c r="EL76" s="94">
        <v>4.1158037199999997E-2</v>
      </c>
    </row>
    <row r="77" spans="1:142" x14ac:dyDescent="0.2">
      <c r="A77" s="79">
        <v>35000</v>
      </c>
      <c r="B77" s="27">
        <v>12107</v>
      </c>
      <c r="C77" s="79">
        <v>5306.5064731000002</v>
      </c>
      <c r="D77" s="27">
        <v>32335.722333000002</v>
      </c>
      <c r="E77" s="27">
        <v>287.98288553999998</v>
      </c>
      <c r="F77" s="27">
        <v>0.183633504</v>
      </c>
      <c r="G77" s="79">
        <v>393.4900877</v>
      </c>
      <c r="H77" s="27">
        <v>3.7255257700000002E-2</v>
      </c>
      <c r="I77" s="27">
        <v>246.47667104000001</v>
      </c>
      <c r="J77" s="27">
        <v>1.6376594571</v>
      </c>
      <c r="K77" s="27">
        <v>189.95245553000001</v>
      </c>
      <c r="L77" s="27">
        <v>1.1843812331000001</v>
      </c>
      <c r="M77" s="27">
        <v>94.697418737000007</v>
      </c>
      <c r="N77" s="27">
        <v>0.69789576440000001</v>
      </c>
      <c r="O77" s="80" t="s">
        <v>136</v>
      </c>
      <c r="P77" s="80">
        <v>0</v>
      </c>
      <c r="Q77" s="27">
        <v>172.50742321999999</v>
      </c>
      <c r="R77" s="27">
        <v>0.2434759346</v>
      </c>
      <c r="S77" s="80" t="s">
        <v>136</v>
      </c>
      <c r="T77" s="80">
        <v>0</v>
      </c>
      <c r="U77" s="80" t="s">
        <v>136</v>
      </c>
      <c r="V77" s="80">
        <v>0</v>
      </c>
      <c r="W77" s="27">
        <v>2.9776207760000002</v>
      </c>
      <c r="X77" s="27">
        <v>2.4442834300000001E-2</v>
      </c>
      <c r="Y77" s="27">
        <v>179.97529279</v>
      </c>
      <c r="Z77" s="27">
        <v>3.4639070062999999</v>
      </c>
      <c r="AA77" s="80" t="s">
        <v>136</v>
      </c>
      <c r="AB77" s="80">
        <v>0</v>
      </c>
      <c r="AC77" s="27">
        <v>2.6507435999999999E-3</v>
      </c>
      <c r="AD77" s="27">
        <v>1.62599E-5</v>
      </c>
      <c r="AE77" s="80" t="s">
        <v>136</v>
      </c>
      <c r="AF77" s="80">
        <v>0</v>
      </c>
      <c r="AG77" s="80" t="s">
        <v>136</v>
      </c>
      <c r="AH77" s="80">
        <v>0</v>
      </c>
      <c r="AI77" s="27">
        <f t="shared" si="8"/>
        <v>2.6507435999999999E-3</v>
      </c>
      <c r="AJ77" s="27">
        <f t="shared" si="9"/>
        <v>1.62599E-5</v>
      </c>
      <c r="AK77" s="27">
        <v>225.9428015</v>
      </c>
      <c r="AL77" s="27">
        <v>2.5729800925999999</v>
      </c>
      <c r="AM77" s="80" t="s">
        <v>136</v>
      </c>
      <c r="AN77" s="80">
        <v>0</v>
      </c>
      <c r="AO77" s="80" t="s">
        <v>136</v>
      </c>
      <c r="AP77" s="80">
        <v>0</v>
      </c>
      <c r="AQ77" s="80" t="s">
        <v>136</v>
      </c>
      <c r="AR77" s="80">
        <v>0</v>
      </c>
      <c r="AS77" s="27">
        <v>178.17836417999999</v>
      </c>
      <c r="AT77" s="27">
        <v>4.5529910984999997</v>
      </c>
      <c r="AU77" s="27">
        <v>197.22610946</v>
      </c>
      <c r="AV77" s="27">
        <v>1.2441206327000001</v>
      </c>
      <c r="AW77" s="27">
        <v>78.096723515999997</v>
      </c>
      <c r="AX77" s="27">
        <v>0.74209692159999996</v>
      </c>
      <c r="AY77" s="27">
        <v>20.916227969000001</v>
      </c>
      <c r="AZ77" s="27">
        <v>0.14456700559999999</v>
      </c>
      <c r="BA77" s="80">
        <f t="shared" si="10"/>
        <v>98.213157975000001</v>
      </c>
      <c r="BB77" s="80">
        <f t="shared" si="11"/>
        <v>0.35745670550000008</v>
      </c>
      <c r="BC77" s="27">
        <v>0.2287893148</v>
      </c>
      <c r="BD77" s="80">
        <v>6.1165600000000003E-5</v>
      </c>
      <c r="BE77" s="27">
        <v>950.22707590000005</v>
      </c>
      <c r="BF77" s="27">
        <v>5.6989377577999996</v>
      </c>
      <c r="BG77" s="27">
        <v>9.9104344999999996E-2</v>
      </c>
      <c r="BH77" s="80">
        <v>7.826202E-4</v>
      </c>
      <c r="BI77" s="27">
        <v>210.23180980000001</v>
      </c>
      <c r="BJ77" s="27">
        <v>5.6799731908000002</v>
      </c>
      <c r="BK77" s="27">
        <v>762.21696704999999</v>
      </c>
      <c r="BL77" s="27">
        <v>4.0696494698999999</v>
      </c>
      <c r="BM77" s="27">
        <v>96.564371281999996</v>
      </c>
      <c r="BN77" s="27">
        <v>0.32813678099999999</v>
      </c>
      <c r="BO77" s="27">
        <v>40.434535664000002</v>
      </c>
      <c r="BP77" s="27">
        <v>2.2309577800000001E-2</v>
      </c>
      <c r="BQ77" s="27">
        <v>0</v>
      </c>
      <c r="BR77" s="92">
        <v>0</v>
      </c>
      <c r="BS77" s="80" t="s">
        <v>136</v>
      </c>
      <c r="BT77" s="80">
        <v>0</v>
      </c>
      <c r="BU77" s="27">
        <v>4.0233577861000001</v>
      </c>
      <c r="BV77" s="27">
        <v>3.7494421E-2</v>
      </c>
      <c r="BW77" s="27">
        <v>90.674060951000001</v>
      </c>
      <c r="BX77" s="27">
        <v>0.6604013433</v>
      </c>
      <c r="BY77" s="80" t="s">
        <v>136</v>
      </c>
      <c r="BZ77" s="80">
        <v>0</v>
      </c>
      <c r="CA77" s="80" t="s">
        <v>136</v>
      </c>
      <c r="CB77" s="80">
        <v>0</v>
      </c>
      <c r="CC77" s="27">
        <v>109.63858853000001</v>
      </c>
      <c r="CD77" s="27">
        <v>8.9188805400000001E-2</v>
      </c>
      <c r="CE77" s="27">
        <v>62.868834686</v>
      </c>
      <c r="CF77" s="27">
        <v>0.15428712920000001</v>
      </c>
      <c r="CG77" s="80" t="s">
        <v>136</v>
      </c>
      <c r="CH77" s="80">
        <v>0</v>
      </c>
      <c r="CI77" s="80" t="s">
        <v>136</v>
      </c>
      <c r="CJ77" s="80">
        <v>0</v>
      </c>
      <c r="CK77" s="80" t="s">
        <v>136</v>
      </c>
      <c r="CL77" s="80">
        <v>0</v>
      </c>
      <c r="CM77" s="80" t="s">
        <v>136</v>
      </c>
      <c r="CN77" s="80">
        <v>0</v>
      </c>
      <c r="CO77" s="27">
        <v>1.5158676109</v>
      </c>
      <c r="CP77" s="27">
        <v>1.2293258200000001E-2</v>
      </c>
      <c r="CQ77" s="27">
        <v>1.4617531651</v>
      </c>
      <c r="CR77" s="27">
        <v>1.2149576E-2</v>
      </c>
      <c r="CS77" s="27">
        <v>32.404897388999998</v>
      </c>
      <c r="CT77" s="27">
        <v>0.23679371630000001</v>
      </c>
      <c r="CU77" s="27">
        <v>147.5703954</v>
      </c>
      <c r="CV77" s="27">
        <v>3.2271132900000001</v>
      </c>
      <c r="CW77" s="93" t="s">
        <v>136</v>
      </c>
      <c r="CX77" s="80">
        <v>0</v>
      </c>
      <c r="CY77" s="80" t="s">
        <v>136</v>
      </c>
      <c r="CZ77" s="94">
        <v>0</v>
      </c>
      <c r="DA77" s="27">
        <v>89.707089452999995</v>
      </c>
      <c r="DB77" s="27">
        <v>1.6869904005</v>
      </c>
      <c r="DC77" s="27">
        <v>88.471274727999997</v>
      </c>
      <c r="DD77" s="27">
        <v>2.8660006980000001</v>
      </c>
      <c r="DE77" s="27">
        <v>392.07701127000001</v>
      </c>
      <c r="DF77" s="27">
        <v>2.6107794278999998</v>
      </c>
      <c r="DG77" s="27">
        <v>558.15006463999998</v>
      </c>
      <c r="DH77" s="27">
        <v>3.0881583299000002</v>
      </c>
      <c r="DI77" s="95">
        <v>3.5125157099999998E-2</v>
      </c>
      <c r="DJ77" s="96">
        <v>6.26962254E-2</v>
      </c>
      <c r="DK77" s="96">
        <v>7.7185926700000004E-2</v>
      </c>
      <c r="DL77" s="96">
        <v>8.4165184000000004E-2</v>
      </c>
      <c r="DM77" s="96">
        <v>8.7792160800000005E-2</v>
      </c>
      <c r="DN77" s="96">
        <v>9.0075849700000002E-2</v>
      </c>
      <c r="DO77" s="96">
        <v>9.16179087E-2</v>
      </c>
      <c r="DP77" s="96">
        <v>9.2724000200000004E-2</v>
      </c>
      <c r="DQ77" s="96">
        <v>9.3543818299999998E-2</v>
      </c>
      <c r="DR77" s="97">
        <v>9.4195568800000004E-2</v>
      </c>
      <c r="DS77" s="93">
        <v>150.83436577000001</v>
      </c>
      <c r="DT77" s="80">
        <v>1.0407711193</v>
      </c>
      <c r="DU77" s="80">
        <v>91.838017289000007</v>
      </c>
      <c r="DV77" s="80">
        <v>0.65253698550000006</v>
      </c>
      <c r="DW77" s="80">
        <v>56.305831372999997</v>
      </c>
      <c r="DX77" s="80">
        <v>0.41218664799999999</v>
      </c>
      <c r="DY77" s="80">
        <v>35.104638882000003</v>
      </c>
      <c r="DZ77" s="80">
        <v>0.26615077549999999</v>
      </c>
      <c r="EA77" s="80">
        <v>22.481230186000001</v>
      </c>
      <c r="EB77" s="80">
        <v>0.17793252449999999</v>
      </c>
      <c r="EC77" s="80">
        <v>14.863011959</v>
      </c>
      <c r="ED77" s="80">
        <v>0.1238678877</v>
      </c>
      <c r="EE77" s="80">
        <v>10.167692938</v>
      </c>
      <c r="EF77" s="80">
        <v>9.0003175699999993E-2</v>
      </c>
      <c r="EG77" s="80">
        <v>7.1690676068999997</v>
      </c>
      <c r="EH77" s="80">
        <v>6.7861659399999996E-2</v>
      </c>
      <c r="EI77" s="80">
        <v>5.2077044061000004</v>
      </c>
      <c r="EJ77" s="80">
        <v>5.2950068900000001E-2</v>
      </c>
      <c r="EK77" s="80">
        <v>3.8820264679999998</v>
      </c>
      <c r="EL77" s="94">
        <v>4.25131942E-2</v>
      </c>
    </row>
    <row r="78" spans="1:142" x14ac:dyDescent="0.2">
      <c r="A78" s="79">
        <v>40000</v>
      </c>
      <c r="B78" s="27">
        <v>8583</v>
      </c>
      <c r="C78" s="79">
        <v>5439.8457418999997</v>
      </c>
      <c r="D78" s="27">
        <v>37342.760550999999</v>
      </c>
      <c r="E78" s="27">
        <v>296.49105165999998</v>
      </c>
      <c r="F78" s="27">
        <v>0.18647126310000001</v>
      </c>
      <c r="G78" s="79">
        <v>451.44252487</v>
      </c>
      <c r="H78" s="27">
        <v>4.03149774E-2</v>
      </c>
      <c r="I78" s="27">
        <v>247.99593196000001</v>
      </c>
      <c r="J78" s="27">
        <v>1.6469304844999999</v>
      </c>
      <c r="K78" s="27">
        <v>193.10612495000001</v>
      </c>
      <c r="L78" s="27">
        <v>1.2003127793999999</v>
      </c>
      <c r="M78" s="27">
        <v>96.271969478000003</v>
      </c>
      <c r="N78" s="27">
        <v>0.70819747560000001</v>
      </c>
      <c r="O78" s="80" t="s">
        <v>136</v>
      </c>
      <c r="P78" s="80">
        <v>0</v>
      </c>
      <c r="Q78" s="27">
        <v>177.87932006</v>
      </c>
      <c r="R78" s="27">
        <v>0.2503809454</v>
      </c>
      <c r="S78" s="80" t="s">
        <v>136</v>
      </c>
      <c r="T78" s="80">
        <v>0</v>
      </c>
      <c r="U78" s="80" t="s">
        <v>136</v>
      </c>
      <c r="V78" s="80">
        <v>0</v>
      </c>
      <c r="W78" s="27">
        <v>3.1319553352999998</v>
      </c>
      <c r="X78" s="27">
        <v>2.57460313E-2</v>
      </c>
      <c r="Y78" s="27">
        <v>184.72988351000001</v>
      </c>
      <c r="Z78" s="27">
        <v>3.5263715878999999</v>
      </c>
      <c r="AA78" s="80" t="s">
        <v>136</v>
      </c>
      <c r="AB78" s="80">
        <v>0</v>
      </c>
      <c r="AC78" s="27">
        <v>2.6464453E-3</v>
      </c>
      <c r="AD78" s="27">
        <v>1.6232400000000001E-5</v>
      </c>
      <c r="AE78" s="80" t="s">
        <v>136</v>
      </c>
      <c r="AF78" s="80">
        <v>0</v>
      </c>
      <c r="AG78" s="80" t="s">
        <v>136</v>
      </c>
      <c r="AH78" s="80">
        <v>0</v>
      </c>
      <c r="AI78" s="27">
        <f t="shared" si="8"/>
        <v>2.6464453E-3</v>
      </c>
      <c r="AJ78" s="27">
        <f t="shared" si="9"/>
        <v>1.6232400000000001E-5</v>
      </c>
      <c r="AK78" s="27">
        <v>227.47693124</v>
      </c>
      <c r="AL78" s="27">
        <v>2.5899290867999998</v>
      </c>
      <c r="AM78" s="80" t="s">
        <v>136</v>
      </c>
      <c r="AN78" s="80">
        <v>0</v>
      </c>
      <c r="AO78" s="80" t="s">
        <v>136</v>
      </c>
      <c r="AP78" s="80">
        <v>0</v>
      </c>
      <c r="AQ78" s="80" t="s">
        <v>136</v>
      </c>
      <c r="AR78" s="80">
        <v>0</v>
      </c>
      <c r="AS78" s="27">
        <v>182.12311435999999</v>
      </c>
      <c r="AT78" s="27">
        <v>4.6267015320000002</v>
      </c>
      <c r="AU78" s="27">
        <v>203.2606653</v>
      </c>
      <c r="AV78" s="27">
        <v>1.2709895896000001</v>
      </c>
      <c r="AW78" s="27">
        <v>80.208998159999993</v>
      </c>
      <c r="AX78" s="27">
        <v>0.75818790280000004</v>
      </c>
      <c r="AY78" s="27">
        <v>21.253092730999999</v>
      </c>
      <c r="AZ78" s="27">
        <v>0.14654919429999999</v>
      </c>
      <c r="BA78" s="80">
        <f t="shared" si="10"/>
        <v>101.79857440900001</v>
      </c>
      <c r="BB78" s="80">
        <f t="shared" si="11"/>
        <v>0.36625249250000003</v>
      </c>
      <c r="BC78" s="27">
        <v>0.32596092879999999</v>
      </c>
      <c r="BD78" s="80">
        <v>7.9328500000000005E-5</v>
      </c>
      <c r="BE78" s="27">
        <v>991.39702654999996</v>
      </c>
      <c r="BF78" s="27">
        <v>5.8139436507999998</v>
      </c>
      <c r="BG78" s="27">
        <v>0.1100583837</v>
      </c>
      <c r="BH78" s="80">
        <v>9.195284E-4</v>
      </c>
      <c r="BI78" s="27">
        <v>212.56624678</v>
      </c>
      <c r="BJ78" s="27">
        <v>5.7293953251999996</v>
      </c>
      <c r="BK78" s="27">
        <v>780.10571388000005</v>
      </c>
      <c r="BL78" s="27">
        <v>4.1314633290999998</v>
      </c>
      <c r="BM78" s="27">
        <v>98.780418797999999</v>
      </c>
      <c r="BN78" s="27">
        <v>0.33286264510000002</v>
      </c>
      <c r="BO78" s="27">
        <v>52.499671980000002</v>
      </c>
      <c r="BP78" s="27">
        <v>2.6644120899999998E-2</v>
      </c>
      <c r="BQ78" s="27">
        <v>0</v>
      </c>
      <c r="BR78" s="92">
        <v>0</v>
      </c>
      <c r="BS78" s="80" t="s">
        <v>136</v>
      </c>
      <c r="BT78" s="80">
        <v>0</v>
      </c>
      <c r="BU78" s="27">
        <v>4.2207334475999998</v>
      </c>
      <c r="BV78" s="27">
        <v>3.8458398800000002E-2</v>
      </c>
      <c r="BW78" s="27">
        <v>92.051236031000002</v>
      </c>
      <c r="BX78" s="27">
        <v>0.6697390768</v>
      </c>
      <c r="BY78" s="80" t="s">
        <v>136</v>
      </c>
      <c r="BZ78" s="80">
        <v>0</v>
      </c>
      <c r="CA78" s="80" t="s">
        <v>136</v>
      </c>
      <c r="CB78" s="80">
        <v>0</v>
      </c>
      <c r="CC78" s="27">
        <v>113.32230772</v>
      </c>
      <c r="CD78" s="27">
        <v>9.1781410399999999E-2</v>
      </c>
      <c r="CE78" s="27">
        <v>64.557012337000003</v>
      </c>
      <c r="CF78" s="27">
        <v>0.15859953490000001</v>
      </c>
      <c r="CG78" s="80" t="s">
        <v>136</v>
      </c>
      <c r="CH78" s="80">
        <v>0</v>
      </c>
      <c r="CI78" s="80" t="s">
        <v>136</v>
      </c>
      <c r="CJ78" s="80">
        <v>0</v>
      </c>
      <c r="CK78" s="80" t="s">
        <v>136</v>
      </c>
      <c r="CL78" s="80">
        <v>0</v>
      </c>
      <c r="CM78" s="80" t="s">
        <v>136</v>
      </c>
      <c r="CN78" s="80">
        <v>0</v>
      </c>
      <c r="CO78" s="27">
        <v>1.5831330652</v>
      </c>
      <c r="CP78" s="27">
        <v>1.2889696000000001E-2</v>
      </c>
      <c r="CQ78" s="27">
        <v>1.5488222701000001</v>
      </c>
      <c r="CR78" s="27">
        <v>1.28563354E-2</v>
      </c>
      <c r="CS78" s="27">
        <v>34.267814307000002</v>
      </c>
      <c r="CT78" s="27">
        <v>0.24709412859999999</v>
      </c>
      <c r="CU78" s="27">
        <v>150.4620692</v>
      </c>
      <c r="CV78" s="27">
        <v>3.2792774592999998</v>
      </c>
      <c r="CW78" s="93" t="s">
        <v>136</v>
      </c>
      <c r="CX78" s="80">
        <v>0</v>
      </c>
      <c r="CY78" s="80" t="s">
        <v>136</v>
      </c>
      <c r="CZ78" s="94">
        <v>0</v>
      </c>
      <c r="DA78" s="27">
        <v>92.008941848000006</v>
      </c>
      <c r="DB78" s="27">
        <v>1.7228407438</v>
      </c>
      <c r="DC78" s="27">
        <v>90.114172510000003</v>
      </c>
      <c r="DD78" s="27">
        <v>2.9038607881999998</v>
      </c>
      <c r="DE78" s="27">
        <v>415.25444912</v>
      </c>
      <c r="DF78" s="27">
        <v>2.6781127519000001</v>
      </c>
      <c r="DG78" s="27">
        <v>576.14257741999995</v>
      </c>
      <c r="DH78" s="27">
        <v>3.1358308989000001</v>
      </c>
      <c r="DI78" s="95">
        <v>3.7656781100000002E-2</v>
      </c>
      <c r="DJ78" s="96">
        <v>6.7267742899999997E-2</v>
      </c>
      <c r="DK78" s="96">
        <v>8.3282411599999995E-2</v>
      </c>
      <c r="DL78" s="96">
        <v>9.1284923000000004E-2</v>
      </c>
      <c r="DM78" s="96">
        <v>9.5622215999999996E-2</v>
      </c>
      <c r="DN78" s="96">
        <v>9.8415681800000002E-2</v>
      </c>
      <c r="DO78" s="96">
        <v>0.1003407885</v>
      </c>
      <c r="DP78" s="96">
        <v>0.1017426244</v>
      </c>
      <c r="DQ78" s="96">
        <v>0.1027891408</v>
      </c>
      <c r="DR78" s="97">
        <v>0.1036232211</v>
      </c>
      <c r="DS78" s="93">
        <v>152.22540348000001</v>
      </c>
      <c r="DT78" s="80">
        <v>1.0493080986000001</v>
      </c>
      <c r="DU78" s="80">
        <v>93.025649799999997</v>
      </c>
      <c r="DV78" s="80">
        <v>0.65990923150000003</v>
      </c>
      <c r="DW78" s="80">
        <v>57.273007391</v>
      </c>
      <c r="DX78" s="80">
        <v>0.4182202257</v>
      </c>
      <c r="DY78" s="80">
        <v>35.866188229999999</v>
      </c>
      <c r="DZ78" s="80">
        <v>0.27092680689999998</v>
      </c>
      <c r="EA78" s="80">
        <v>23.067866336000002</v>
      </c>
      <c r="EB78" s="80">
        <v>0.18162616349999999</v>
      </c>
      <c r="EC78" s="80">
        <v>15.306300945</v>
      </c>
      <c r="ED78" s="80">
        <v>0.12668363360000001</v>
      </c>
      <c r="EE78" s="80">
        <v>10.502515220999999</v>
      </c>
      <c r="EF78" s="80">
        <v>9.2141323799999994E-2</v>
      </c>
      <c r="EG78" s="80">
        <v>7.423195625</v>
      </c>
      <c r="EH78" s="80">
        <v>6.9493271699999998E-2</v>
      </c>
      <c r="EI78" s="80">
        <v>5.4026210750999999</v>
      </c>
      <c r="EJ78" s="80">
        <v>5.4210099800000001E-2</v>
      </c>
      <c r="EK78" s="80">
        <v>4.0313301641999999</v>
      </c>
      <c r="EL78" s="94">
        <v>4.3481435700000001E-2</v>
      </c>
    </row>
    <row r="79" spans="1:142" x14ac:dyDescent="0.2">
      <c r="A79" s="79">
        <v>45000</v>
      </c>
      <c r="B79" s="27">
        <v>6249</v>
      </c>
      <c r="C79" s="79">
        <v>5549.8147767</v>
      </c>
      <c r="D79" s="27">
        <v>42364.661598999999</v>
      </c>
      <c r="E79" s="27">
        <v>303.29456905000001</v>
      </c>
      <c r="F79" s="27">
        <v>0.18871187780000001</v>
      </c>
      <c r="G79" s="79">
        <v>502.22808347</v>
      </c>
      <c r="H79" s="27">
        <v>4.2739236100000001E-2</v>
      </c>
      <c r="I79" s="27">
        <v>249.19785137</v>
      </c>
      <c r="J79" s="27">
        <v>1.6543618217</v>
      </c>
      <c r="K79" s="27">
        <v>195.63728774</v>
      </c>
      <c r="L79" s="27">
        <v>1.2127284348</v>
      </c>
      <c r="M79" s="27">
        <v>97.372425261000004</v>
      </c>
      <c r="N79" s="27">
        <v>0.71575147640000003</v>
      </c>
      <c r="O79" s="80" t="s">
        <v>136</v>
      </c>
      <c r="P79" s="80">
        <v>0</v>
      </c>
      <c r="Q79" s="27">
        <v>182.42710822000001</v>
      </c>
      <c r="R79" s="27">
        <v>0.25617248199999998</v>
      </c>
      <c r="S79" s="80" t="s">
        <v>136</v>
      </c>
      <c r="T79" s="80">
        <v>0</v>
      </c>
      <c r="U79" s="80" t="s">
        <v>136</v>
      </c>
      <c r="V79" s="80">
        <v>0</v>
      </c>
      <c r="W79" s="27">
        <v>3.2439776977000001</v>
      </c>
      <c r="X79" s="27">
        <v>2.62746243E-2</v>
      </c>
      <c r="Y79" s="27">
        <v>188.65558884999999</v>
      </c>
      <c r="Z79" s="27">
        <v>3.5717994757999998</v>
      </c>
      <c r="AA79" s="80" t="s">
        <v>136</v>
      </c>
      <c r="AB79" s="80">
        <v>0</v>
      </c>
      <c r="AC79" s="27">
        <v>2.6432334000000002E-3</v>
      </c>
      <c r="AD79" s="27">
        <v>1.62121E-5</v>
      </c>
      <c r="AE79" s="80" t="s">
        <v>136</v>
      </c>
      <c r="AF79" s="80">
        <v>0</v>
      </c>
      <c r="AG79" s="80" t="s">
        <v>136</v>
      </c>
      <c r="AH79" s="80">
        <v>0</v>
      </c>
      <c r="AI79" s="27">
        <f t="shared" si="8"/>
        <v>2.6432334000000002E-3</v>
      </c>
      <c r="AJ79" s="27">
        <f t="shared" si="9"/>
        <v>1.62121E-5</v>
      </c>
      <c r="AK79" s="27">
        <v>228.64942056000001</v>
      </c>
      <c r="AL79" s="27">
        <v>2.6026091011000001</v>
      </c>
      <c r="AM79" s="80" t="s">
        <v>136</v>
      </c>
      <c r="AN79" s="80">
        <v>0</v>
      </c>
      <c r="AO79" s="80" t="s">
        <v>136</v>
      </c>
      <c r="AP79" s="80">
        <v>0</v>
      </c>
      <c r="AQ79" s="80" t="s">
        <v>136</v>
      </c>
      <c r="AR79" s="80">
        <v>0</v>
      </c>
      <c r="AS79" s="27">
        <v>185.21716594</v>
      </c>
      <c r="AT79" s="27">
        <v>4.6860672283999998</v>
      </c>
      <c r="AU79" s="27">
        <v>208.6414911</v>
      </c>
      <c r="AV79" s="27">
        <v>1.2933718677999999</v>
      </c>
      <c r="AW79" s="27">
        <v>82.113200441000004</v>
      </c>
      <c r="AX79" s="27">
        <v>0.77153273099999997</v>
      </c>
      <c r="AY79" s="27">
        <v>21.502399841999999</v>
      </c>
      <c r="AZ79" s="27">
        <v>0.1480549263</v>
      </c>
      <c r="BA79" s="80">
        <f t="shared" si="10"/>
        <v>105.02589081699999</v>
      </c>
      <c r="BB79" s="80">
        <f t="shared" si="11"/>
        <v>0.37378421049999999</v>
      </c>
      <c r="BC79" s="27">
        <v>0.50407518559999998</v>
      </c>
      <c r="BD79" s="80">
        <v>1.1785020000000001E-4</v>
      </c>
      <c r="BE79" s="27">
        <v>1025.5753758000001</v>
      </c>
      <c r="BF79" s="27">
        <v>5.9069741724</v>
      </c>
      <c r="BG79" s="27">
        <v>0.1191386606</v>
      </c>
      <c r="BH79" s="80">
        <v>1.1800825E-3</v>
      </c>
      <c r="BI79" s="27">
        <v>214.25211698000001</v>
      </c>
      <c r="BJ79" s="27">
        <v>5.7667154396000004</v>
      </c>
      <c r="BK79" s="27">
        <v>794.34050234999995</v>
      </c>
      <c r="BL79" s="27">
        <v>4.1781470488999997</v>
      </c>
      <c r="BM79" s="27">
        <v>100.52696707</v>
      </c>
      <c r="BN79" s="27">
        <v>0.33615654239999998</v>
      </c>
      <c r="BO79" s="27">
        <v>61.783881911000002</v>
      </c>
      <c r="BP79" s="27">
        <v>2.9828829300000002E-2</v>
      </c>
      <c r="BQ79" s="27">
        <v>0</v>
      </c>
      <c r="BR79" s="92">
        <v>0</v>
      </c>
      <c r="BS79" s="80" t="s">
        <v>136</v>
      </c>
      <c r="BT79" s="80">
        <v>0</v>
      </c>
      <c r="BU79" s="27">
        <v>4.3284845766000002</v>
      </c>
      <c r="BV79" s="27">
        <v>3.9054421800000003E-2</v>
      </c>
      <c r="BW79" s="27">
        <v>93.043940684000006</v>
      </c>
      <c r="BX79" s="27">
        <v>0.67669705459999996</v>
      </c>
      <c r="BY79" s="80" t="s">
        <v>136</v>
      </c>
      <c r="BZ79" s="80">
        <v>0</v>
      </c>
      <c r="CA79" s="80" t="s">
        <v>136</v>
      </c>
      <c r="CB79" s="80">
        <v>0</v>
      </c>
      <c r="CC79" s="27">
        <v>116.47320109</v>
      </c>
      <c r="CD79" s="27">
        <v>9.3999272800000006E-2</v>
      </c>
      <c r="CE79" s="27">
        <v>65.953907126000004</v>
      </c>
      <c r="CF79" s="27">
        <v>0.1621732092</v>
      </c>
      <c r="CG79" s="80" t="s">
        <v>136</v>
      </c>
      <c r="CH79" s="80">
        <v>0</v>
      </c>
      <c r="CI79" s="80" t="s">
        <v>136</v>
      </c>
      <c r="CJ79" s="80">
        <v>0</v>
      </c>
      <c r="CK79" s="80" t="s">
        <v>136</v>
      </c>
      <c r="CL79" s="80">
        <v>0</v>
      </c>
      <c r="CM79" s="80" t="s">
        <v>136</v>
      </c>
      <c r="CN79" s="80">
        <v>0</v>
      </c>
      <c r="CO79" s="27">
        <v>1.6785973707999999</v>
      </c>
      <c r="CP79" s="27">
        <v>1.3288308E-2</v>
      </c>
      <c r="CQ79" s="27">
        <v>1.5653803269</v>
      </c>
      <c r="CR79" s="27">
        <v>1.29863163E-2</v>
      </c>
      <c r="CS79" s="27">
        <v>36.203126226999998</v>
      </c>
      <c r="CT79" s="27">
        <v>0.2560742654</v>
      </c>
      <c r="CU79" s="27">
        <v>152.45246263000001</v>
      </c>
      <c r="CV79" s="27">
        <v>3.3157252104000001</v>
      </c>
      <c r="CW79" s="93" t="s">
        <v>136</v>
      </c>
      <c r="CX79" s="80">
        <v>0</v>
      </c>
      <c r="CY79" s="80" t="s">
        <v>136</v>
      </c>
      <c r="CZ79" s="94">
        <v>0</v>
      </c>
      <c r="DA79" s="27">
        <v>93.906862455999999</v>
      </c>
      <c r="DB79" s="27">
        <v>1.7530669278</v>
      </c>
      <c r="DC79" s="27">
        <v>91.310303481000005</v>
      </c>
      <c r="DD79" s="27">
        <v>2.9330003005999998</v>
      </c>
      <c r="DE79" s="27">
        <v>434.18813762000002</v>
      </c>
      <c r="DF79" s="27">
        <v>2.7314511753000001</v>
      </c>
      <c r="DG79" s="27">
        <v>591.38723818000005</v>
      </c>
      <c r="DH79" s="27">
        <v>3.1755229971999999</v>
      </c>
      <c r="DI79" s="95">
        <v>3.9634341900000002E-2</v>
      </c>
      <c r="DJ79" s="96">
        <v>7.0865549999999999E-2</v>
      </c>
      <c r="DK79" s="96">
        <v>8.8097167300000001E-2</v>
      </c>
      <c r="DL79" s="96">
        <v>9.6894140000000004E-2</v>
      </c>
      <c r="DM79" s="96">
        <v>0.1018167047</v>
      </c>
      <c r="DN79" s="96">
        <v>0.10503775260000001</v>
      </c>
      <c r="DO79" s="96">
        <v>0.10728624890000001</v>
      </c>
      <c r="DP79" s="96">
        <v>0.1089451719</v>
      </c>
      <c r="DQ79" s="96">
        <v>0.110179991</v>
      </c>
      <c r="DR79" s="97">
        <v>0.1111598273</v>
      </c>
      <c r="DS79" s="93">
        <v>153.32992701000001</v>
      </c>
      <c r="DT79" s="80">
        <v>1.0561548794</v>
      </c>
      <c r="DU79" s="80">
        <v>93.975715979</v>
      </c>
      <c r="DV79" s="80">
        <v>0.66584317599999998</v>
      </c>
      <c r="DW79" s="80">
        <v>58.053786357</v>
      </c>
      <c r="DX79" s="80">
        <v>0.42312717420000001</v>
      </c>
      <c r="DY79" s="80">
        <v>36.487302958999997</v>
      </c>
      <c r="DZ79" s="80">
        <v>0.2748571709</v>
      </c>
      <c r="EA79" s="80">
        <v>23.553543608999998</v>
      </c>
      <c r="EB79" s="80">
        <v>0.1847287363</v>
      </c>
      <c r="EC79" s="80">
        <v>15.685718442000001</v>
      </c>
      <c r="ED79" s="80">
        <v>0.12911044169999999</v>
      </c>
      <c r="EE79" s="80">
        <v>10.797686914</v>
      </c>
      <c r="EF79" s="80">
        <v>9.4033327799999997E-2</v>
      </c>
      <c r="EG79" s="80">
        <v>7.6538776356999998</v>
      </c>
      <c r="EH79" s="80">
        <v>7.0981635299999998E-2</v>
      </c>
      <c r="EI79" s="80">
        <v>5.5834584763999997</v>
      </c>
      <c r="EJ79" s="80">
        <v>5.5387049100000002E-2</v>
      </c>
      <c r="EK79" s="80">
        <v>4.1754666917999996</v>
      </c>
      <c r="EL79" s="94">
        <v>4.4419436399999998E-2</v>
      </c>
    </row>
    <row r="80" spans="1:142" x14ac:dyDescent="0.2">
      <c r="A80" s="79">
        <v>50000</v>
      </c>
      <c r="B80" s="27">
        <v>4833</v>
      </c>
      <c r="C80" s="79">
        <v>5641.8952528</v>
      </c>
      <c r="D80" s="27">
        <v>47400.987287000004</v>
      </c>
      <c r="E80" s="27">
        <v>308.36182998999999</v>
      </c>
      <c r="F80" s="27">
        <v>0.19029884920000001</v>
      </c>
      <c r="G80" s="79">
        <v>551.45425090000003</v>
      </c>
      <c r="H80" s="27">
        <v>4.4926092799999998E-2</v>
      </c>
      <c r="I80" s="27">
        <v>250.08830667000001</v>
      </c>
      <c r="J80" s="27">
        <v>1.6598100671</v>
      </c>
      <c r="K80" s="27">
        <v>197.71749610000001</v>
      </c>
      <c r="L80" s="27">
        <v>1.2222481460000001</v>
      </c>
      <c r="M80" s="27">
        <v>98.194096618000003</v>
      </c>
      <c r="N80" s="27">
        <v>0.72119992759999996</v>
      </c>
      <c r="O80" s="80" t="s">
        <v>136</v>
      </c>
      <c r="P80" s="80">
        <v>0</v>
      </c>
      <c r="Q80" s="27">
        <v>185.96323240999999</v>
      </c>
      <c r="R80" s="27">
        <v>0.26074964560000002</v>
      </c>
      <c r="S80" s="80" t="s">
        <v>136</v>
      </c>
      <c r="T80" s="80">
        <v>0</v>
      </c>
      <c r="U80" s="80" t="s">
        <v>136</v>
      </c>
      <c r="V80" s="80">
        <v>0</v>
      </c>
      <c r="W80" s="27">
        <v>3.3228597897999999</v>
      </c>
      <c r="X80" s="27">
        <v>2.6800917300000001E-2</v>
      </c>
      <c r="Y80" s="27">
        <v>191.83396819000001</v>
      </c>
      <c r="Z80" s="27">
        <v>3.6093516935999999</v>
      </c>
      <c r="AA80" s="80" t="s">
        <v>136</v>
      </c>
      <c r="AB80" s="80">
        <v>0</v>
      </c>
      <c r="AC80" s="27">
        <v>2.6411863999999999E-3</v>
      </c>
      <c r="AD80" s="27">
        <v>1.6199299999999999E-5</v>
      </c>
      <c r="AE80" s="80" t="s">
        <v>136</v>
      </c>
      <c r="AF80" s="80">
        <v>0</v>
      </c>
      <c r="AG80" s="80" t="s">
        <v>136</v>
      </c>
      <c r="AH80" s="80">
        <v>0</v>
      </c>
      <c r="AI80" s="27">
        <f t="shared" si="8"/>
        <v>2.6411863999999999E-3</v>
      </c>
      <c r="AJ80" s="27">
        <f t="shared" si="9"/>
        <v>1.6199299999999999E-5</v>
      </c>
      <c r="AK80" s="27">
        <v>229.56008753</v>
      </c>
      <c r="AL80" s="27">
        <v>2.6123937010999998</v>
      </c>
      <c r="AM80" s="80" t="s">
        <v>136</v>
      </c>
      <c r="AN80" s="80">
        <v>0</v>
      </c>
      <c r="AO80" s="80" t="s">
        <v>136</v>
      </c>
      <c r="AP80" s="80">
        <v>0</v>
      </c>
      <c r="AQ80" s="80" t="s">
        <v>136</v>
      </c>
      <c r="AR80" s="80">
        <v>0</v>
      </c>
      <c r="AS80" s="27">
        <v>187.66243987999999</v>
      </c>
      <c r="AT80" s="27">
        <v>4.7319983406999997</v>
      </c>
      <c r="AU80" s="27">
        <v>213.03953718</v>
      </c>
      <c r="AV80" s="27">
        <v>1.3115320015</v>
      </c>
      <c r="AW80" s="27">
        <v>83.735076247999999</v>
      </c>
      <c r="AX80" s="27">
        <v>0.78268900230000005</v>
      </c>
      <c r="AY80" s="27">
        <v>21.644034924</v>
      </c>
      <c r="AZ80" s="27">
        <v>0.14893721600000001</v>
      </c>
      <c r="BA80" s="80">
        <f t="shared" si="10"/>
        <v>107.660426008</v>
      </c>
      <c r="BB80" s="80">
        <f t="shared" si="11"/>
        <v>0.37990578320000001</v>
      </c>
      <c r="BC80" s="27">
        <v>0.78069274340000006</v>
      </c>
      <c r="BD80" s="80">
        <v>1.6935410000000001E-4</v>
      </c>
      <c r="BE80" s="27">
        <v>1053.2328586000001</v>
      </c>
      <c r="BF80" s="27">
        <v>5.9815769181</v>
      </c>
      <c r="BG80" s="27">
        <v>0.12742936460000001</v>
      </c>
      <c r="BH80" s="80">
        <v>1.6818792999999999E-3</v>
      </c>
      <c r="BI80" s="27">
        <v>215.7053363</v>
      </c>
      <c r="BJ80" s="27">
        <v>5.7970687410000004</v>
      </c>
      <c r="BK80" s="27">
        <v>805.65168851999999</v>
      </c>
      <c r="BL80" s="27">
        <v>4.2149199705999996</v>
      </c>
      <c r="BM80" s="27">
        <v>102.03597198</v>
      </c>
      <c r="BN80" s="27">
        <v>0.3389944929</v>
      </c>
      <c r="BO80" s="27">
        <v>70.761093869000007</v>
      </c>
      <c r="BP80" s="27">
        <v>3.2486872399999998E-2</v>
      </c>
      <c r="BQ80" s="27">
        <v>0</v>
      </c>
      <c r="BR80" s="92">
        <v>0</v>
      </c>
      <c r="BS80" s="80" t="s">
        <v>136</v>
      </c>
      <c r="BT80" s="80">
        <v>0</v>
      </c>
      <c r="BU80" s="27">
        <v>4.4693079291000002</v>
      </c>
      <c r="BV80" s="27">
        <v>3.9860209799999997E-2</v>
      </c>
      <c r="BW80" s="27">
        <v>93.724788688999993</v>
      </c>
      <c r="BX80" s="27">
        <v>0.68133971790000003</v>
      </c>
      <c r="BY80" s="80" t="s">
        <v>136</v>
      </c>
      <c r="BZ80" s="80">
        <v>0</v>
      </c>
      <c r="CA80" s="80" t="s">
        <v>136</v>
      </c>
      <c r="CB80" s="80">
        <v>0</v>
      </c>
      <c r="CC80" s="27">
        <v>118.88294107999999</v>
      </c>
      <c r="CD80" s="27">
        <v>9.5707305300000003E-2</v>
      </c>
      <c r="CE80" s="27">
        <v>67.080291329000005</v>
      </c>
      <c r="CF80" s="27">
        <v>0.16504234030000001</v>
      </c>
      <c r="CG80" s="80" t="s">
        <v>136</v>
      </c>
      <c r="CH80" s="80">
        <v>0</v>
      </c>
      <c r="CI80" s="80" t="s">
        <v>136</v>
      </c>
      <c r="CJ80" s="80">
        <v>0</v>
      </c>
      <c r="CK80" s="80" t="s">
        <v>136</v>
      </c>
      <c r="CL80" s="80">
        <v>0</v>
      </c>
      <c r="CM80" s="80" t="s">
        <v>136</v>
      </c>
      <c r="CN80" s="80">
        <v>0</v>
      </c>
      <c r="CO80" s="27">
        <v>1.7420319962999999</v>
      </c>
      <c r="CP80" s="27">
        <v>1.36872264E-2</v>
      </c>
      <c r="CQ80" s="27">
        <v>1.5808277935999999</v>
      </c>
      <c r="CR80" s="27">
        <v>1.3113690799999999E-2</v>
      </c>
      <c r="CS80" s="27">
        <v>37.750652932000001</v>
      </c>
      <c r="CT80" s="27">
        <v>0.26390247999999999</v>
      </c>
      <c r="CU80" s="27">
        <v>154.08331526000001</v>
      </c>
      <c r="CV80" s="27">
        <v>3.3454492135999998</v>
      </c>
      <c r="CW80" s="93" t="s">
        <v>136</v>
      </c>
      <c r="CX80" s="80">
        <v>0</v>
      </c>
      <c r="CY80" s="80" t="s">
        <v>136</v>
      </c>
      <c r="CZ80" s="94">
        <v>0</v>
      </c>
      <c r="DA80" s="27">
        <v>95.385791535999999</v>
      </c>
      <c r="DB80" s="27">
        <v>1.7759495086999999</v>
      </c>
      <c r="DC80" s="27">
        <v>92.276648343999994</v>
      </c>
      <c r="DD80" s="27">
        <v>2.956048832</v>
      </c>
      <c r="DE80" s="27">
        <v>449.55182952000001</v>
      </c>
      <c r="DF80" s="27">
        <v>2.7737497100000001</v>
      </c>
      <c r="DG80" s="27">
        <v>603.68102911000005</v>
      </c>
      <c r="DH80" s="27">
        <v>3.2078272080999999</v>
      </c>
      <c r="DI80" s="95">
        <v>4.1313503500000001E-2</v>
      </c>
      <c r="DJ80" s="96">
        <v>7.3980290899999995E-2</v>
      </c>
      <c r="DK80" s="96">
        <v>9.2330902399999998E-2</v>
      </c>
      <c r="DL80" s="96">
        <v>0.1018993254</v>
      </c>
      <c r="DM80" s="96">
        <v>0.1074002864</v>
      </c>
      <c r="DN80" s="96">
        <v>0.1110740399</v>
      </c>
      <c r="DO80" s="96">
        <v>0.11368028299999999</v>
      </c>
      <c r="DP80" s="96">
        <v>0.115611401</v>
      </c>
      <c r="DQ80" s="96">
        <v>0.11706347709999999</v>
      </c>
      <c r="DR80" s="97">
        <v>0.11821704719999999</v>
      </c>
      <c r="DS80" s="93">
        <v>154.1516474</v>
      </c>
      <c r="DT80" s="80">
        <v>1.0611948962</v>
      </c>
      <c r="DU80" s="80">
        <v>94.690858083999998</v>
      </c>
      <c r="DV80" s="80">
        <v>0.67026260209999999</v>
      </c>
      <c r="DW80" s="80">
        <v>58.648915713999997</v>
      </c>
      <c r="DX80" s="80">
        <v>0.42682718110000001</v>
      </c>
      <c r="DY80" s="80">
        <v>36.968438724000002</v>
      </c>
      <c r="DZ80" s="80">
        <v>0.2778617129</v>
      </c>
      <c r="EA80" s="80">
        <v>23.934345168</v>
      </c>
      <c r="EB80" s="80">
        <v>0.18712598080000001</v>
      </c>
      <c r="EC80" s="80">
        <v>15.983556921</v>
      </c>
      <c r="ED80" s="80">
        <v>0.131006391</v>
      </c>
      <c r="EE80" s="80">
        <v>11.030044644</v>
      </c>
      <c r="EF80" s="80">
        <v>9.5533895199999996E-2</v>
      </c>
      <c r="EG80" s="80">
        <v>7.8349163824000003</v>
      </c>
      <c r="EH80" s="80">
        <v>7.21718264E-2</v>
      </c>
      <c r="EI80" s="80">
        <v>5.7239614981000004</v>
      </c>
      <c r="EJ80" s="80">
        <v>5.6327424299999998E-2</v>
      </c>
      <c r="EK80" s="80">
        <v>4.28308585</v>
      </c>
      <c r="EL80" s="94">
        <v>4.5158285399999998E-2</v>
      </c>
    </row>
    <row r="81" spans="1:142" x14ac:dyDescent="0.2">
      <c r="A81" s="79">
        <v>100000</v>
      </c>
      <c r="B81" s="27">
        <v>18949</v>
      </c>
      <c r="C81" s="79">
        <v>6095.9357418999998</v>
      </c>
      <c r="D81" s="27">
        <v>67371.902222000004</v>
      </c>
      <c r="E81" s="27">
        <v>331.15415036000002</v>
      </c>
      <c r="F81" s="27">
        <v>0.1973632173</v>
      </c>
      <c r="G81" s="79">
        <v>853.52158965000001</v>
      </c>
      <c r="H81" s="27">
        <v>5.5600564300000002E-2</v>
      </c>
      <c r="I81" s="27">
        <v>254.36265097</v>
      </c>
      <c r="J81" s="27">
        <v>1.6825337473999999</v>
      </c>
      <c r="K81" s="27">
        <v>209.06365571000001</v>
      </c>
      <c r="L81" s="27">
        <v>1.2663126378</v>
      </c>
      <c r="M81" s="27">
        <v>101.70631595</v>
      </c>
      <c r="N81" s="27">
        <v>0.74184496529999999</v>
      </c>
      <c r="O81" s="80" t="s">
        <v>136</v>
      </c>
      <c r="P81" s="80">
        <v>0</v>
      </c>
      <c r="Q81" s="27">
        <v>206.74307734999999</v>
      </c>
      <c r="R81" s="27">
        <v>0.28662366350000001</v>
      </c>
      <c r="S81" s="80" t="s">
        <v>136</v>
      </c>
      <c r="T81" s="80">
        <v>0</v>
      </c>
      <c r="U81" s="80" t="s">
        <v>136</v>
      </c>
      <c r="V81" s="80">
        <v>0</v>
      </c>
      <c r="W81" s="27">
        <v>3.7144914193999998</v>
      </c>
      <c r="X81" s="27">
        <v>2.9631291399999999E-2</v>
      </c>
      <c r="Y81" s="27">
        <v>204.3487145</v>
      </c>
      <c r="Z81" s="27">
        <v>3.7402516037</v>
      </c>
      <c r="AA81" s="80" t="s">
        <v>136</v>
      </c>
      <c r="AB81" s="80">
        <v>0</v>
      </c>
      <c r="AC81" s="27">
        <v>2.6302646E-3</v>
      </c>
      <c r="AD81" s="27">
        <v>1.6129000000000001E-5</v>
      </c>
      <c r="AE81" s="80" t="s">
        <v>136</v>
      </c>
      <c r="AF81" s="80">
        <v>0</v>
      </c>
      <c r="AG81" s="80" t="s">
        <v>136</v>
      </c>
      <c r="AH81" s="80">
        <v>0</v>
      </c>
      <c r="AI81" s="27">
        <f t="shared" si="8"/>
        <v>2.6302646E-3</v>
      </c>
      <c r="AJ81" s="27">
        <f t="shared" si="9"/>
        <v>1.6129000000000001E-5</v>
      </c>
      <c r="AK81" s="27">
        <v>233.11860098</v>
      </c>
      <c r="AL81" s="27">
        <v>2.6531238117</v>
      </c>
      <c r="AM81" s="80" t="s">
        <v>136</v>
      </c>
      <c r="AN81" s="80">
        <v>0</v>
      </c>
      <c r="AO81" s="80" t="s">
        <v>136</v>
      </c>
      <c r="AP81" s="80">
        <v>0</v>
      </c>
      <c r="AQ81" s="80" t="s">
        <v>136</v>
      </c>
      <c r="AR81" s="80">
        <v>0</v>
      </c>
      <c r="AS81" s="27">
        <v>199.84789444</v>
      </c>
      <c r="AT81" s="27">
        <v>4.9608257761000001</v>
      </c>
      <c r="AU81" s="27">
        <v>246.29874737</v>
      </c>
      <c r="AV81" s="27">
        <v>1.4123570694000001</v>
      </c>
      <c r="AW81" s="27">
        <v>96.129685335000005</v>
      </c>
      <c r="AX81" s="27">
        <v>0.84312262650000003</v>
      </c>
      <c r="AY81" s="27">
        <v>22.222278908</v>
      </c>
      <c r="AZ81" s="27">
        <v>0.15226940219999999</v>
      </c>
      <c r="BA81" s="80">
        <f t="shared" si="10"/>
        <v>127.946783127</v>
      </c>
      <c r="BB81" s="80">
        <f t="shared" si="11"/>
        <v>0.41696504070000007</v>
      </c>
      <c r="BC81" s="27">
        <v>3.2957445714000002</v>
      </c>
      <c r="BD81" s="80">
        <v>5.384621E-4</v>
      </c>
      <c r="BE81" s="27">
        <v>1214.6560191000001</v>
      </c>
      <c r="BF81" s="27">
        <v>6.3667567478000002</v>
      </c>
      <c r="BG81" s="27">
        <v>0.1766979206</v>
      </c>
      <c r="BH81" s="80">
        <v>6.0386385000000004E-3</v>
      </c>
      <c r="BI81" s="27">
        <v>222.34144982999999</v>
      </c>
      <c r="BJ81" s="27">
        <v>5.9259269027999997</v>
      </c>
      <c r="BK81" s="27">
        <v>856.18112038000004</v>
      </c>
      <c r="BL81" s="27">
        <v>4.3752270843999996</v>
      </c>
      <c r="BM81" s="27">
        <v>108.56956853</v>
      </c>
      <c r="BN81" s="27">
        <v>0.3497370669</v>
      </c>
      <c r="BO81" s="27">
        <v>127.01729145</v>
      </c>
      <c r="BP81" s="27">
        <v>4.6524680499999999E-2</v>
      </c>
      <c r="BQ81" s="27">
        <v>0</v>
      </c>
      <c r="BR81" s="92">
        <v>0</v>
      </c>
      <c r="BS81" s="80" t="s">
        <v>136</v>
      </c>
      <c r="BT81" s="80">
        <v>0</v>
      </c>
      <c r="BU81" s="27">
        <v>5.4255937162999999</v>
      </c>
      <c r="BV81" s="27">
        <v>4.3548574499999999E-2</v>
      </c>
      <c r="BW81" s="27">
        <v>96.280722233000006</v>
      </c>
      <c r="BX81" s="27">
        <v>0.69829639080000006</v>
      </c>
      <c r="BY81" s="80" t="s">
        <v>136</v>
      </c>
      <c r="BZ81" s="80">
        <v>0</v>
      </c>
      <c r="CA81" s="80" t="s">
        <v>136</v>
      </c>
      <c r="CB81" s="80">
        <v>0</v>
      </c>
      <c r="CC81" s="27">
        <v>133.11022853</v>
      </c>
      <c r="CD81" s="27">
        <v>0.105440169</v>
      </c>
      <c r="CE81" s="27">
        <v>73.632848823000003</v>
      </c>
      <c r="CF81" s="27">
        <v>0.18118349459999999</v>
      </c>
      <c r="CG81" s="80" t="s">
        <v>136</v>
      </c>
      <c r="CH81" s="80">
        <v>0</v>
      </c>
      <c r="CI81" s="80" t="s">
        <v>136</v>
      </c>
      <c r="CJ81" s="80">
        <v>0</v>
      </c>
      <c r="CK81" s="80" t="s">
        <v>136</v>
      </c>
      <c r="CL81" s="80">
        <v>0</v>
      </c>
      <c r="CM81" s="80" t="s">
        <v>136</v>
      </c>
      <c r="CN81" s="80">
        <v>0</v>
      </c>
      <c r="CO81" s="27">
        <v>2.0165661294000001</v>
      </c>
      <c r="CP81" s="27">
        <v>1.57034107E-2</v>
      </c>
      <c r="CQ81" s="27">
        <v>1.6979252899999999</v>
      </c>
      <c r="CR81" s="27">
        <v>1.3927880700000001E-2</v>
      </c>
      <c r="CS81" s="27">
        <v>44.407707762000001</v>
      </c>
      <c r="CT81" s="27">
        <v>0.2960691801</v>
      </c>
      <c r="CU81" s="27">
        <v>159.94100674000001</v>
      </c>
      <c r="CV81" s="27">
        <v>3.4441824235</v>
      </c>
      <c r="CW81" s="93" t="s">
        <v>136</v>
      </c>
      <c r="CX81" s="80">
        <v>0</v>
      </c>
      <c r="CY81" s="80" t="s">
        <v>136</v>
      </c>
      <c r="CZ81" s="94">
        <v>0</v>
      </c>
      <c r="DA81" s="27">
        <v>102.86912900999999</v>
      </c>
      <c r="DB81" s="27">
        <v>1.8945852528</v>
      </c>
      <c r="DC81" s="27">
        <v>96.978765433999996</v>
      </c>
      <c r="DD81" s="27">
        <v>3.0662405232999999</v>
      </c>
      <c r="DE81" s="27">
        <v>539.20236293999994</v>
      </c>
      <c r="DF81" s="27">
        <v>2.9965933848000001</v>
      </c>
      <c r="DG81" s="27">
        <v>675.45365618000005</v>
      </c>
      <c r="DH81" s="27">
        <v>3.3701633631000001</v>
      </c>
      <c r="DI81" s="95">
        <v>4.8389331200000003E-2</v>
      </c>
      <c r="DJ81" s="96">
        <v>8.7434783000000002E-2</v>
      </c>
      <c r="DK81" s="96">
        <v>0.111222398</v>
      </c>
      <c r="DL81" s="96">
        <v>0.12500069280000001</v>
      </c>
      <c r="DM81" s="96">
        <v>0.13386972450000001</v>
      </c>
      <c r="DN81" s="96">
        <v>0.1403639975</v>
      </c>
      <c r="DO81" s="96">
        <v>0.14531082419999999</v>
      </c>
      <c r="DP81" s="96">
        <v>0.14919128879999999</v>
      </c>
      <c r="DQ81" s="96">
        <v>0.15227912439999999</v>
      </c>
      <c r="DR81" s="97">
        <v>0.15481878800000001</v>
      </c>
      <c r="DS81" s="93">
        <v>158.10779912999999</v>
      </c>
      <c r="DT81" s="80">
        <v>1.0823290249999999</v>
      </c>
      <c r="DU81" s="80">
        <v>98.154257736999995</v>
      </c>
      <c r="DV81" s="80">
        <v>0.68879900080000001</v>
      </c>
      <c r="DW81" s="80">
        <v>61.565738201999999</v>
      </c>
      <c r="DX81" s="80">
        <v>0.44239734450000001</v>
      </c>
      <c r="DY81" s="80">
        <v>39.367794830000001</v>
      </c>
      <c r="DZ81" s="80">
        <v>0.29059598110000001</v>
      </c>
      <c r="EA81" s="80">
        <v>25.885661445</v>
      </c>
      <c r="EB81" s="80">
        <v>0.1973919391</v>
      </c>
      <c r="EC81" s="80">
        <v>17.553413105000001</v>
      </c>
      <c r="ED81" s="80">
        <v>0.1391976734</v>
      </c>
      <c r="EE81" s="80">
        <v>12.282461949</v>
      </c>
      <c r="EF81" s="80">
        <v>0.10202633210000001</v>
      </c>
      <c r="EG81" s="80">
        <v>8.8322669086999994</v>
      </c>
      <c r="EH81" s="80">
        <v>7.7326628699999997E-2</v>
      </c>
      <c r="EI81" s="80">
        <v>6.5160219254999996</v>
      </c>
      <c r="EJ81" s="80">
        <v>6.0418581300000003E-2</v>
      </c>
      <c r="EK81" s="80">
        <v>4.9131805646000002</v>
      </c>
      <c r="EL81" s="94">
        <v>4.8411217600000001E-2</v>
      </c>
    </row>
    <row r="82" spans="1:142" x14ac:dyDescent="0.2">
      <c r="A82" s="79">
        <v>200000</v>
      </c>
      <c r="B82" s="27">
        <v>5588</v>
      </c>
      <c r="C82" s="79">
        <v>6352.2417402000001</v>
      </c>
      <c r="D82" s="27">
        <v>135121.95542000001</v>
      </c>
      <c r="E82" s="27">
        <v>341.29100942000002</v>
      </c>
      <c r="F82" s="27">
        <v>0.20047711160000001</v>
      </c>
      <c r="G82" s="79">
        <v>1061.4397091999999</v>
      </c>
      <c r="H82" s="27">
        <v>6.0980759000000002E-2</v>
      </c>
      <c r="I82" s="27">
        <v>256.80376796000002</v>
      </c>
      <c r="J82" s="27">
        <v>1.6910060391999999</v>
      </c>
      <c r="K82" s="27">
        <v>216.91203272000001</v>
      </c>
      <c r="L82" s="27">
        <v>1.2838396806000001</v>
      </c>
      <c r="M82" s="27">
        <v>102.7170138</v>
      </c>
      <c r="N82" s="27">
        <v>0.74778167539999996</v>
      </c>
      <c r="O82" s="80" t="s">
        <v>136</v>
      </c>
      <c r="P82" s="80">
        <v>0</v>
      </c>
      <c r="Q82" s="27">
        <v>220.13606711</v>
      </c>
      <c r="R82" s="27">
        <v>0.30309828010000001</v>
      </c>
      <c r="S82" s="80" t="s">
        <v>136</v>
      </c>
      <c r="T82" s="80">
        <v>0</v>
      </c>
      <c r="U82" s="80" t="s">
        <v>136</v>
      </c>
      <c r="V82" s="80">
        <v>0</v>
      </c>
      <c r="W82" s="27">
        <v>3.8976741824999999</v>
      </c>
      <c r="X82" s="27">
        <v>3.0733718600000001E-2</v>
      </c>
      <c r="Y82" s="27">
        <v>207.76526826</v>
      </c>
      <c r="Z82" s="27">
        <v>3.7657695128999999</v>
      </c>
      <c r="AA82" s="80" t="s">
        <v>136</v>
      </c>
      <c r="AB82" s="80">
        <v>0</v>
      </c>
      <c r="AC82" s="27">
        <v>2.8280776999999998E-3</v>
      </c>
      <c r="AD82" s="27">
        <v>1.7498300000000002E-5</v>
      </c>
      <c r="AE82" s="80" t="s">
        <v>136</v>
      </c>
      <c r="AF82" s="80">
        <v>0</v>
      </c>
      <c r="AG82" s="80" t="s">
        <v>136</v>
      </c>
      <c r="AH82" s="80">
        <v>0</v>
      </c>
      <c r="AI82" s="27">
        <f t="shared" si="8"/>
        <v>2.8280776999999998E-3</v>
      </c>
      <c r="AJ82" s="27">
        <f t="shared" si="9"/>
        <v>1.7498300000000002E-5</v>
      </c>
      <c r="AK82" s="27">
        <v>234.48604214</v>
      </c>
      <c r="AL82" s="27">
        <v>2.6695553240000001</v>
      </c>
      <c r="AM82" s="80" t="s">
        <v>136</v>
      </c>
      <c r="AN82" s="80">
        <v>0</v>
      </c>
      <c r="AO82" s="80" t="s">
        <v>136</v>
      </c>
      <c r="AP82" s="80">
        <v>0</v>
      </c>
      <c r="AQ82" s="80" t="s">
        <v>136</v>
      </c>
      <c r="AR82" s="80">
        <v>0</v>
      </c>
      <c r="AS82" s="27">
        <v>207.10440788</v>
      </c>
      <c r="AT82" s="27">
        <v>5.0929000209000002</v>
      </c>
      <c r="AU82" s="27">
        <v>272.49491719999997</v>
      </c>
      <c r="AV82" s="27">
        <v>1.4664776748999999</v>
      </c>
      <c r="AW82" s="27">
        <v>103.66080908000001</v>
      </c>
      <c r="AX82" s="27">
        <v>0.87211876460000004</v>
      </c>
      <c r="AY82" s="27">
        <v>22.424637811</v>
      </c>
      <c r="AZ82" s="27">
        <v>0.15342350299999999</v>
      </c>
      <c r="BA82" s="80">
        <f t="shared" si="10"/>
        <v>146.40947030899997</v>
      </c>
      <c r="BB82" s="80">
        <f t="shared" si="11"/>
        <v>0.4409354072999998</v>
      </c>
      <c r="BC82" s="27">
        <v>5.2783578735000001</v>
      </c>
      <c r="BD82" s="80">
        <v>7.577549E-4</v>
      </c>
      <c r="BE82" s="27">
        <v>1331.0265354000001</v>
      </c>
      <c r="BF82" s="27">
        <v>6.6188870317999999</v>
      </c>
      <c r="BG82" s="27">
        <v>0.21292894879999999</v>
      </c>
      <c r="BH82" s="80">
        <v>9.4581131000000002E-3</v>
      </c>
      <c r="BI82" s="27">
        <v>225.45733285</v>
      </c>
      <c r="BJ82" s="27">
        <v>5.9784955826999999</v>
      </c>
      <c r="BK82" s="27">
        <v>871.30172717000005</v>
      </c>
      <c r="BL82" s="27">
        <v>4.4216962657999996</v>
      </c>
      <c r="BM82" s="27">
        <v>110.9547324</v>
      </c>
      <c r="BN82" s="27">
        <v>0.35308239270000003</v>
      </c>
      <c r="BO82" s="27">
        <v>143.35640781000001</v>
      </c>
      <c r="BP82" s="27">
        <v>4.9905450599999998E-2</v>
      </c>
      <c r="BQ82" s="27">
        <v>0</v>
      </c>
      <c r="BR82" s="92">
        <v>0</v>
      </c>
      <c r="BS82" s="80" t="s">
        <v>136</v>
      </c>
      <c r="BT82" s="80">
        <v>0</v>
      </c>
      <c r="BU82" s="27">
        <v>5.7569174137000001</v>
      </c>
      <c r="BV82" s="27">
        <v>4.4913719300000002E-2</v>
      </c>
      <c r="BW82" s="27">
        <v>96.960096382000003</v>
      </c>
      <c r="BX82" s="27">
        <v>0.70286795609999997</v>
      </c>
      <c r="BY82" s="80" t="s">
        <v>136</v>
      </c>
      <c r="BZ82" s="80">
        <v>0</v>
      </c>
      <c r="CA82" s="80" t="s">
        <v>136</v>
      </c>
      <c r="CB82" s="80">
        <v>0</v>
      </c>
      <c r="CC82" s="27">
        <v>142.62756793</v>
      </c>
      <c r="CD82" s="27">
        <v>0.1119338914</v>
      </c>
      <c r="CE82" s="27">
        <v>77.508499173999994</v>
      </c>
      <c r="CF82" s="27">
        <v>0.19116438869999999</v>
      </c>
      <c r="CG82" s="80" t="s">
        <v>136</v>
      </c>
      <c r="CH82" s="80">
        <v>0</v>
      </c>
      <c r="CI82" s="80" t="s">
        <v>136</v>
      </c>
      <c r="CJ82" s="80">
        <v>0</v>
      </c>
      <c r="CK82" s="80" t="s">
        <v>136</v>
      </c>
      <c r="CL82" s="80">
        <v>0</v>
      </c>
      <c r="CM82" s="80" t="s">
        <v>136</v>
      </c>
      <c r="CN82" s="80">
        <v>0</v>
      </c>
      <c r="CO82" s="27">
        <v>2.1864168629999998</v>
      </c>
      <c r="CP82" s="27">
        <v>1.6704747999999998E-2</v>
      </c>
      <c r="CQ82" s="27">
        <v>1.7112573194</v>
      </c>
      <c r="CR82" s="27">
        <v>1.4028970599999999E-2</v>
      </c>
      <c r="CS82" s="27">
        <v>46.731505052999999</v>
      </c>
      <c r="CT82" s="27">
        <v>0.30611745959999997</v>
      </c>
      <c r="CU82" s="27">
        <v>161.03376320999999</v>
      </c>
      <c r="CV82" s="27">
        <v>3.4596520533000001</v>
      </c>
      <c r="CW82" s="93" t="s">
        <v>136</v>
      </c>
      <c r="CX82" s="80">
        <v>0</v>
      </c>
      <c r="CY82" s="80" t="s">
        <v>136</v>
      </c>
      <c r="CZ82" s="94">
        <v>0</v>
      </c>
      <c r="DA82" s="27">
        <v>107.75272489</v>
      </c>
      <c r="DB82" s="27">
        <v>1.9691927674</v>
      </c>
      <c r="DC82" s="27">
        <v>99.351682991000004</v>
      </c>
      <c r="DD82" s="27">
        <v>3.1237072535000001</v>
      </c>
      <c r="DE82" s="27">
        <v>608.29396496000004</v>
      </c>
      <c r="DF82" s="27">
        <v>3.1508463986000002</v>
      </c>
      <c r="DG82" s="27">
        <v>722.73257042</v>
      </c>
      <c r="DH82" s="27">
        <v>3.4680406331999998</v>
      </c>
      <c r="DI82" s="95">
        <v>5.0846528100000003E-2</v>
      </c>
      <c r="DJ82" s="96">
        <v>9.2280669100000004E-2</v>
      </c>
      <c r="DK82" s="96">
        <v>0.1183397479</v>
      </c>
      <c r="DL82" s="96">
        <v>0.13422561129999999</v>
      </c>
      <c r="DM82" s="96">
        <v>0.14501372109999999</v>
      </c>
      <c r="DN82" s="96">
        <v>0.1532528255</v>
      </c>
      <c r="DO82" s="96">
        <v>0.1597795041</v>
      </c>
      <c r="DP82" s="96">
        <v>0.1651135235</v>
      </c>
      <c r="DQ82" s="96">
        <v>0.16953782140000001</v>
      </c>
      <c r="DR82" s="97">
        <v>0.17330660480000001</v>
      </c>
      <c r="DS82" s="93">
        <v>160.3779466</v>
      </c>
      <c r="DT82" s="80">
        <v>1.0903605154</v>
      </c>
      <c r="DU82" s="80">
        <v>100.20538928000001</v>
      </c>
      <c r="DV82" s="80">
        <v>0.69607931280000002</v>
      </c>
      <c r="DW82" s="80">
        <v>63.379009556</v>
      </c>
      <c r="DX82" s="80">
        <v>0.44877187060000001</v>
      </c>
      <c r="DY82" s="80">
        <v>40.943764088999998</v>
      </c>
      <c r="DZ82" s="80">
        <v>0.29604019619999999</v>
      </c>
      <c r="EA82" s="80">
        <v>27.242978633</v>
      </c>
      <c r="EB82" s="80">
        <v>0.20197415539999999</v>
      </c>
      <c r="EC82" s="80">
        <v>18.715045242999999</v>
      </c>
      <c r="ED82" s="80">
        <v>0.1430121754</v>
      </c>
      <c r="EE82" s="80">
        <v>13.277009569000001</v>
      </c>
      <c r="EF82" s="80">
        <v>0.1051965696</v>
      </c>
      <c r="EG82" s="80">
        <v>9.6781280553000002</v>
      </c>
      <c r="EH82" s="80">
        <v>7.9946371700000005E-2</v>
      </c>
      <c r="EI82" s="80">
        <v>7.2337237076000003</v>
      </c>
      <c r="EJ82" s="80">
        <v>6.2587235099999999E-2</v>
      </c>
      <c r="EK82" s="80">
        <v>5.5253845216000004</v>
      </c>
      <c r="EL82" s="94">
        <v>5.0210668999999999E-2</v>
      </c>
    </row>
    <row r="83" spans="1:142" x14ac:dyDescent="0.2">
      <c r="A83" s="79">
        <v>300000</v>
      </c>
      <c r="B83" s="27">
        <v>1182</v>
      </c>
      <c r="C83" s="79">
        <v>6441.0963916000001</v>
      </c>
      <c r="D83" s="27">
        <v>240693.24307</v>
      </c>
      <c r="E83" s="27">
        <v>344.36043890000002</v>
      </c>
      <c r="F83" s="27">
        <v>0.20143101890000001</v>
      </c>
      <c r="G83" s="79">
        <v>1137.4910993999999</v>
      </c>
      <c r="H83" s="27">
        <v>6.2573155599999999E-2</v>
      </c>
      <c r="I83" s="27">
        <v>257.83616030000002</v>
      </c>
      <c r="J83" s="27">
        <v>1.6929640690000001</v>
      </c>
      <c r="K83" s="27">
        <v>219.36145483000001</v>
      </c>
      <c r="L83" s="27">
        <v>1.2883972248</v>
      </c>
      <c r="M83" s="27">
        <v>102.80722809</v>
      </c>
      <c r="N83" s="27">
        <v>0.74832974689999998</v>
      </c>
      <c r="O83" s="80" t="s">
        <v>136</v>
      </c>
      <c r="P83" s="80">
        <v>0</v>
      </c>
      <c r="Q83" s="27">
        <v>224.75642678</v>
      </c>
      <c r="R83" s="27">
        <v>0.30865913</v>
      </c>
      <c r="S83" s="80" t="s">
        <v>136</v>
      </c>
      <c r="T83" s="80">
        <v>0</v>
      </c>
      <c r="U83" s="80" t="s">
        <v>136</v>
      </c>
      <c r="V83" s="80">
        <v>0</v>
      </c>
      <c r="W83" s="27">
        <v>3.9866924264999999</v>
      </c>
      <c r="X83" s="27">
        <v>3.1259590400000002E-2</v>
      </c>
      <c r="Y83" s="27">
        <v>208.68540665</v>
      </c>
      <c r="Z83" s="27">
        <v>3.7700730108</v>
      </c>
      <c r="AA83" s="80" t="s">
        <v>136</v>
      </c>
      <c r="AB83" s="80">
        <v>0</v>
      </c>
      <c r="AC83" s="27">
        <v>2.8262099E-3</v>
      </c>
      <c r="AD83" s="27">
        <v>1.74868E-5</v>
      </c>
      <c r="AE83" s="80" t="s">
        <v>136</v>
      </c>
      <c r="AF83" s="80">
        <v>0</v>
      </c>
      <c r="AG83" s="80" t="s">
        <v>136</v>
      </c>
      <c r="AH83" s="80">
        <v>0</v>
      </c>
      <c r="AI83" s="27">
        <f t="shared" si="8"/>
        <v>2.8262099E-3</v>
      </c>
      <c r="AJ83" s="27">
        <f t="shared" si="9"/>
        <v>1.74868E-5</v>
      </c>
      <c r="AK83" s="27">
        <v>234.80872425000001</v>
      </c>
      <c r="AL83" s="27">
        <v>2.6742723562999999</v>
      </c>
      <c r="AM83" s="80" t="s">
        <v>136</v>
      </c>
      <c r="AN83" s="80">
        <v>0</v>
      </c>
      <c r="AO83" s="80" t="s">
        <v>136</v>
      </c>
      <c r="AP83" s="80">
        <v>0</v>
      </c>
      <c r="AQ83" s="80" t="s">
        <v>136</v>
      </c>
      <c r="AR83" s="80">
        <v>0</v>
      </c>
      <c r="AS83" s="27">
        <v>209.78559446</v>
      </c>
      <c r="AT83" s="27">
        <v>5.1418389954999997</v>
      </c>
      <c r="AU83" s="27">
        <v>280.50725592999999</v>
      </c>
      <c r="AV83" s="27">
        <v>1.4807224788</v>
      </c>
      <c r="AW83" s="27">
        <v>105.77116148</v>
      </c>
      <c r="AX83" s="27">
        <v>0.87920324900000002</v>
      </c>
      <c r="AY83" s="27">
        <v>22.460255963000002</v>
      </c>
      <c r="AZ83" s="27">
        <v>0.15359604060000001</v>
      </c>
      <c r="BA83" s="80">
        <f t="shared" si="10"/>
        <v>152.27583848699999</v>
      </c>
      <c r="BB83" s="80">
        <f t="shared" si="11"/>
        <v>0.44792318919999996</v>
      </c>
      <c r="BC83" s="27">
        <v>6.4199791267000004</v>
      </c>
      <c r="BD83" s="80">
        <v>8.7266969999999998E-4</v>
      </c>
      <c r="BE83" s="27">
        <v>1386.4217745999999</v>
      </c>
      <c r="BF83" s="27">
        <v>6.7136586961000004</v>
      </c>
      <c r="BG83" s="27">
        <v>0.226218013</v>
      </c>
      <c r="BH83" s="80">
        <v>1.16065126E-2</v>
      </c>
      <c r="BI83" s="27">
        <v>226.47962516000001</v>
      </c>
      <c r="BJ83" s="27">
        <v>5.9916695765999997</v>
      </c>
      <c r="BK83" s="27">
        <v>875.11764509</v>
      </c>
      <c r="BL83" s="27">
        <v>4.4312965269999998</v>
      </c>
      <c r="BM83" s="27">
        <v>111.46844830000001</v>
      </c>
      <c r="BN83" s="27">
        <v>0.35375301219999999</v>
      </c>
      <c r="BO83" s="27">
        <v>148.87682124</v>
      </c>
      <c r="BP83" s="27">
        <v>5.0973879999999999E-2</v>
      </c>
      <c r="BQ83" s="27">
        <v>0</v>
      </c>
      <c r="BR83" s="92">
        <v>0</v>
      </c>
      <c r="BS83" s="80" t="s">
        <v>136</v>
      </c>
      <c r="BT83" s="80">
        <v>0</v>
      </c>
      <c r="BU83" s="27">
        <v>5.7776925935000003</v>
      </c>
      <c r="BV83" s="27">
        <v>4.5032174299999998E-2</v>
      </c>
      <c r="BW83" s="27">
        <v>97.029535495999994</v>
      </c>
      <c r="BX83" s="27">
        <v>0.70329757250000002</v>
      </c>
      <c r="BY83" s="80" t="s">
        <v>136</v>
      </c>
      <c r="BZ83" s="80">
        <v>0</v>
      </c>
      <c r="CA83" s="80" t="s">
        <v>136</v>
      </c>
      <c r="CB83" s="80">
        <v>0</v>
      </c>
      <c r="CC83" s="27">
        <v>146.07495519</v>
      </c>
      <c r="CD83" s="27">
        <v>0.11420998490000001</v>
      </c>
      <c r="CE83" s="27">
        <v>78.681471583000004</v>
      </c>
      <c r="CF83" s="27">
        <v>0.1944491451</v>
      </c>
      <c r="CG83" s="80" t="s">
        <v>136</v>
      </c>
      <c r="CH83" s="80">
        <v>0</v>
      </c>
      <c r="CI83" s="80" t="s">
        <v>136</v>
      </c>
      <c r="CJ83" s="80">
        <v>0</v>
      </c>
      <c r="CK83" s="80" t="s">
        <v>136</v>
      </c>
      <c r="CL83" s="80">
        <v>0</v>
      </c>
      <c r="CM83" s="80" t="s">
        <v>136</v>
      </c>
      <c r="CN83" s="80">
        <v>0</v>
      </c>
      <c r="CO83" s="27">
        <v>2.2664389361000001</v>
      </c>
      <c r="CP83" s="27">
        <v>1.7155370900000001E-2</v>
      </c>
      <c r="CQ83" s="27">
        <v>1.7202534903</v>
      </c>
      <c r="CR83" s="27">
        <v>1.4104219600000001E-2</v>
      </c>
      <c r="CS83" s="27">
        <v>47.528099499</v>
      </c>
      <c r="CT83" s="27">
        <v>0.30888786439999999</v>
      </c>
      <c r="CU83" s="27">
        <v>161.15730715000001</v>
      </c>
      <c r="CV83" s="27">
        <v>3.4611851465000001</v>
      </c>
      <c r="CW83" s="93" t="s">
        <v>136</v>
      </c>
      <c r="CX83" s="80">
        <v>0</v>
      </c>
      <c r="CY83" s="80" t="s">
        <v>136</v>
      </c>
      <c r="CZ83" s="94">
        <v>0</v>
      </c>
      <c r="DA83" s="27">
        <v>109.72180037</v>
      </c>
      <c r="DB83" s="27">
        <v>1.9992602373999999</v>
      </c>
      <c r="DC83" s="27">
        <v>100.06379409</v>
      </c>
      <c r="DD83" s="27">
        <v>3.1425787581</v>
      </c>
      <c r="DE83" s="27">
        <v>641.35788524999998</v>
      </c>
      <c r="DF83" s="27">
        <v>3.2085849979000001</v>
      </c>
      <c r="DG83" s="27">
        <v>745.06388934999995</v>
      </c>
      <c r="DH83" s="27">
        <v>3.5050736980999999</v>
      </c>
      <c r="DI83" s="95">
        <v>5.1366131199999998E-2</v>
      </c>
      <c r="DJ83" s="96">
        <v>9.3319239400000004E-2</v>
      </c>
      <c r="DK83" s="96">
        <v>0.1198885821</v>
      </c>
      <c r="DL83" s="96">
        <v>0.1362718124</v>
      </c>
      <c r="DM83" s="96">
        <v>0.1475365995</v>
      </c>
      <c r="DN83" s="96">
        <v>0.15623760759999999</v>
      </c>
      <c r="DO83" s="96">
        <v>0.16321139870000001</v>
      </c>
      <c r="DP83" s="96">
        <v>0.168971962</v>
      </c>
      <c r="DQ83" s="96">
        <v>0.17380794199999999</v>
      </c>
      <c r="DR83" s="97">
        <v>0.17796647970000001</v>
      </c>
      <c r="DS83" s="93">
        <v>161.36012876000001</v>
      </c>
      <c r="DT83" s="80">
        <v>1.0922467328000001</v>
      </c>
      <c r="DU83" s="80">
        <v>101.12655352</v>
      </c>
      <c r="DV83" s="80">
        <v>0.69783676650000004</v>
      </c>
      <c r="DW83" s="80">
        <v>64.233574786999995</v>
      </c>
      <c r="DX83" s="80">
        <v>0.45036467089999999</v>
      </c>
      <c r="DY83" s="80">
        <v>41.736047309</v>
      </c>
      <c r="DZ83" s="80">
        <v>0.29744827889999997</v>
      </c>
      <c r="EA83" s="80">
        <v>27.974893328</v>
      </c>
      <c r="EB83" s="80">
        <v>0.20320366040000001</v>
      </c>
      <c r="EC83" s="80">
        <v>19.390284301000001</v>
      </c>
      <c r="ED83" s="80">
        <v>0.1440815564</v>
      </c>
      <c r="EE83" s="80">
        <v>13.89908353</v>
      </c>
      <c r="EF83" s="80">
        <v>0.1061259903</v>
      </c>
      <c r="EG83" s="80">
        <v>10.250045659</v>
      </c>
      <c r="EH83" s="80">
        <v>8.0753740199999993E-2</v>
      </c>
      <c r="EI83" s="80">
        <v>7.7573605015</v>
      </c>
      <c r="EJ83" s="80">
        <v>6.3283056399999996E-2</v>
      </c>
      <c r="EK83" s="80">
        <v>6.0023433876999999</v>
      </c>
      <c r="EL83" s="94">
        <v>5.0804483499999997E-2</v>
      </c>
    </row>
    <row r="84" spans="1:142" x14ac:dyDescent="0.2">
      <c r="A84" s="79">
        <v>400000</v>
      </c>
      <c r="B84" s="27">
        <v>464</v>
      </c>
      <c r="C84" s="79">
        <v>6482.3207835000003</v>
      </c>
      <c r="D84" s="27">
        <v>342937.21435000002</v>
      </c>
      <c r="E84" s="27">
        <v>345.63554821999998</v>
      </c>
      <c r="F84" s="27">
        <v>0.20175472150000001</v>
      </c>
      <c r="G84" s="79">
        <v>1190.1102169000001</v>
      </c>
      <c r="H84" s="27">
        <v>6.3503296000000001E-2</v>
      </c>
      <c r="I84" s="27">
        <v>258.06448903</v>
      </c>
      <c r="J84" s="27">
        <v>1.6936987817</v>
      </c>
      <c r="K84" s="27">
        <v>220.9036332</v>
      </c>
      <c r="L84" s="27">
        <v>1.2904477005999999</v>
      </c>
      <c r="M84" s="27">
        <v>102.84728610000001</v>
      </c>
      <c r="N84" s="27">
        <v>0.74855319490000005</v>
      </c>
      <c r="O84" s="80" t="s">
        <v>136</v>
      </c>
      <c r="P84" s="80">
        <v>0</v>
      </c>
      <c r="Q84" s="27">
        <v>226.92880416</v>
      </c>
      <c r="R84" s="27">
        <v>0.31132130250000001</v>
      </c>
      <c r="S84" s="80" t="s">
        <v>136</v>
      </c>
      <c r="T84" s="80">
        <v>0</v>
      </c>
      <c r="U84" s="80" t="s">
        <v>136</v>
      </c>
      <c r="V84" s="80">
        <v>0</v>
      </c>
      <c r="W84" s="27">
        <v>4.0057446405999997</v>
      </c>
      <c r="X84" s="27">
        <v>3.1399536700000001E-2</v>
      </c>
      <c r="Y84" s="27">
        <v>208.88470151999999</v>
      </c>
      <c r="Z84" s="27">
        <v>3.7714818509999999</v>
      </c>
      <c r="AA84" s="80" t="s">
        <v>136</v>
      </c>
      <c r="AB84" s="80">
        <v>0</v>
      </c>
      <c r="AC84" s="27">
        <v>2.8656648999999998E-3</v>
      </c>
      <c r="AD84" s="27">
        <v>1.79503E-5</v>
      </c>
      <c r="AE84" s="80" t="s">
        <v>136</v>
      </c>
      <c r="AF84" s="80">
        <v>0</v>
      </c>
      <c r="AG84" s="80" t="s">
        <v>136</v>
      </c>
      <c r="AH84" s="80">
        <v>0</v>
      </c>
      <c r="AI84" s="27">
        <f t="shared" si="8"/>
        <v>2.8656648999999998E-3</v>
      </c>
      <c r="AJ84" s="27">
        <f t="shared" si="9"/>
        <v>1.79503E-5</v>
      </c>
      <c r="AK84" s="27">
        <v>234.97056253</v>
      </c>
      <c r="AL84" s="27">
        <v>2.6766534953000001</v>
      </c>
      <c r="AM84" s="80" t="s">
        <v>136</v>
      </c>
      <c r="AN84" s="80">
        <v>0</v>
      </c>
      <c r="AO84" s="80" t="s">
        <v>136</v>
      </c>
      <c r="AP84" s="80">
        <v>0</v>
      </c>
      <c r="AQ84" s="80" t="s">
        <v>136</v>
      </c>
      <c r="AR84" s="80">
        <v>0</v>
      </c>
      <c r="AS84" s="27">
        <v>211.41305123999999</v>
      </c>
      <c r="AT84" s="27">
        <v>5.1686744362999999</v>
      </c>
      <c r="AU84" s="27">
        <v>283.96440276999999</v>
      </c>
      <c r="AV84" s="27">
        <v>1.4867842471999999</v>
      </c>
      <c r="AW84" s="27">
        <v>106.56472306000001</v>
      </c>
      <c r="AX84" s="27">
        <v>0.88232804499999995</v>
      </c>
      <c r="AY84" s="27">
        <v>22.466180636000001</v>
      </c>
      <c r="AZ84" s="27">
        <v>0.15364493630000001</v>
      </c>
      <c r="BA84" s="80">
        <f t="shared" si="10"/>
        <v>154.933499074</v>
      </c>
      <c r="BB84" s="80">
        <f t="shared" si="11"/>
        <v>0.45081126589999987</v>
      </c>
      <c r="BC84" s="27">
        <v>6.8685694293999999</v>
      </c>
      <c r="BD84" s="80">
        <v>9.32641E-4</v>
      </c>
      <c r="BE84" s="27">
        <v>1415.8594662999999</v>
      </c>
      <c r="BF84" s="27">
        <v>6.7597147056000004</v>
      </c>
      <c r="BG84" s="27">
        <v>0.23497323149999999</v>
      </c>
      <c r="BH84" s="80">
        <v>1.3868219100000001E-2</v>
      </c>
      <c r="BI84" s="27">
        <v>226.99299789</v>
      </c>
      <c r="BJ84" s="27">
        <v>5.9974777855000001</v>
      </c>
      <c r="BK84" s="27">
        <v>877.28756341999997</v>
      </c>
      <c r="BL84" s="27">
        <v>4.4351365887999998</v>
      </c>
      <c r="BM84" s="27">
        <v>111.70039722999999</v>
      </c>
      <c r="BN84" s="27">
        <v>0.3539963391</v>
      </c>
      <c r="BO84" s="27">
        <v>150.8172649</v>
      </c>
      <c r="BP84" s="27">
        <v>5.13617959E-2</v>
      </c>
      <c r="BQ84" s="27">
        <v>0</v>
      </c>
      <c r="BR84" s="92">
        <v>0</v>
      </c>
      <c r="BS84" s="80" t="s">
        <v>136</v>
      </c>
      <c r="BT84" s="80">
        <v>0</v>
      </c>
      <c r="BU84" s="27">
        <v>5.7871781100000002</v>
      </c>
      <c r="BV84" s="27">
        <v>4.5069159599999999E-2</v>
      </c>
      <c r="BW84" s="27">
        <v>97.060107985000002</v>
      </c>
      <c r="BX84" s="27">
        <v>0.70348403530000003</v>
      </c>
      <c r="BY84" s="80" t="s">
        <v>136</v>
      </c>
      <c r="BZ84" s="80">
        <v>0</v>
      </c>
      <c r="CA84" s="80" t="s">
        <v>136</v>
      </c>
      <c r="CB84" s="80">
        <v>0</v>
      </c>
      <c r="CC84" s="27">
        <v>147.80045152</v>
      </c>
      <c r="CD84" s="27">
        <v>0.1153404223</v>
      </c>
      <c r="CE84" s="27">
        <v>79.128352644000003</v>
      </c>
      <c r="CF84" s="27">
        <v>0.19598088020000001</v>
      </c>
      <c r="CG84" s="80" t="s">
        <v>136</v>
      </c>
      <c r="CH84" s="80">
        <v>0</v>
      </c>
      <c r="CI84" s="80" t="s">
        <v>136</v>
      </c>
      <c r="CJ84" s="80">
        <v>0</v>
      </c>
      <c r="CK84" s="80" t="s">
        <v>136</v>
      </c>
      <c r="CL84" s="80">
        <v>0</v>
      </c>
      <c r="CM84" s="80" t="s">
        <v>136</v>
      </c>
      <c r="CN84" s="80">
        <v>0</v>
      </c>
      <c r="CO84" s="27">
        <v>2.2856170109999998</v>
      </c>
      <c r="CP84" s="27">
        <v>1.7296878799999998E-2</v>
      </c>
      <c r="CQ84" s="27">
        <v>1.7201276296000001</v>
      </c>
      <c r="CR84" s="27">
        <v>1.4102657899999999E-2</v>
      </c>
      <c r="CS84" s="27">
        <v>47.681193702000002</v>
      </c>
      <c r="CT84" s="27">
        <v>0.31008550600000001</v>
      </c>
      <c r="CU84" s="27">
        <v>161.20350782</v>
      </c>
      <c r="CV84" s="27">
        <v>3.4613963449999998</v>
      </c>
      <c r="CW84" s="93" t="s">
        <v>136</v>
      </c>
      <c r="CX84" s="80">
        <v>0</v>
      </c>
      <c r="CY84" s="80" t="s">
        <v>136</v>
      </c>
      <c r="CZ84" s="94">
        <v>0</v>
      </c>
      <c r="DA84" s="27">
        <v>110.98605664</v>
      </c>
      <c r="DB84" s="27">
        <v>2.0157784270999999</v>
      </c>
      <c r="DC84" s="27">
        <v>100.4269946</v>
      </c>
      <c r="DD84" s="27">
        <v>3.1528960092</v>
      </c>
      <c r="DE84" s="27">
        <v>661.91297024999994</v>
      </c>
      <c r="DF84" s="27">
        <v>3.2399866736999998</v>
      </c>
      <c r="DG84" s="27">
        <v>753.94649605999996</v>
      </c>
      <c r="DH84" s="27">
        <v>3.5197280320000002</v>
      </c>
      <c r="DI84" s="95">
        <v>5.1595981300000003E-2</v>
      </c>
      <c r="DJ84" s="96">
        <v>9.3774469499999999E-2</v>
      </c>
      <c r="DK84" s="96">
        <v>0.1205674975</v>
      </c>
      <c r="DL84" s="96">
        <v>0.137174025</v>
      </c>
      <c r="DM84" s="96">
        <v>0.1486568402</v>
      </c>
      <c r="DN84" s="96">
        <v>0.15757333700000001</v>
      </c>
      <c r="DO84" s="96">
        <v>0.1647594148</v>
      </c>
      <c r="DP84" s="96">
        <v>0.17072329589999999</v>
      </c>
      <c r="DQ84" s="96">
        <v>0.175760731</v>
      </c>
      <c r="DR84" s="97">
        <v>0.18011693540000001</v>
      </c>
      <c r="DS84" s="93">
        <v>161.57287914</v>
      </c>
      <c r="DT84" s="80">
        <v>1.0929529896000001</v>
      </c>
      <c r="DU84" s="80">
        <v>101.31983289999999</v>
      </c>
      <c r="DV84" s="80">
        <v>0.69849256559999995</v>
      </c>
      <c r="DW84" s="80">
        <v>64.408275837999994</v>
      </c>
      <c r="DX84" s="80">
        <v>0.45095822839999999</v>
      </c>
      <c r="DY84" s="80">
        <v>41.891732232999999</v>
      </c>
      <c r="DZ84" s="80">
        <v>0.29796894509999999</v>
      </c>
      <c r="EA84" s="80">
        <v>28.112709908999999</v>
      </c>
      <c r="EB84" s="80">
        <v>0.20365723359999999</v>
      </c>
      <c r="EC84" s="80">
        <v>19.510901933</v>
      </c>
      <c r="ED84" s="80">
        <v>0.14447170849999999</v>
      </c>
      <c r="EE84" s="80">
        <v>14.007398711</v>
      </c>
      <c r="EF84" s="80">
        <v>0.10646733160000001</v>
      </c>
      <c r="EG84" s="80">
        <v>10.346977467</v>
      </c>
      <c r="EH84" s="80">
        <v>8.1052812299999999E-2</v>
      </c>
      <c r="EI84" s="80">
        <v>7.8434340743000002</v>
      </c>
      <c r="EJ84" s="80">
        <v>6.35426402E-2</v>
      </c>
      <c r="EK84" s="80">
        <v>6.0782401455999997</v>
      </c>
      <c r="EL84" s="94">
        <v>5.1028712400000002E-2</v>
      </c>
    </row>
    <row r="85" spans="1:142" x14ac:dyDescent="0.2">
      <c r="A85" s="79">
        <v>500000</v>
      </c>
      <c r="B85" s="27">
        <v>184</v>
      </c>
      <c r="C85" s="79">
        <v>6504.4168170000003</v>
      </c>
      <c r="D85" s="27">
        <v>447308.48184999998</v>
      </c>
      <c r="E85" s="27">
        <v>345.97286797999999</v>
      </c>
      <c r="F85" s="27">
        <v>0.20185442470000001</v>
      </c>
      <c r="G85" s="79">
        <v>1215.6439574999999</v>
      </c>
      <c r="H85" s="27">
        <v>6.3882001600000002E-2</v>
      </c>
      <c r="I85" s="27">
        <v>258.16115797999998</v>
      </c>
      <c r="J85" s="27">
        <v>1.6939857481</v>
      </c>
      <c r="K85" s="27">
        <v>221.19052083</v>
      </c>
      <c r="L85" s="27">
        <v>1.2913252223</v>
      </c>
      <c r="M85" s="27">
        <v>102.84851566</v>
      </c>
      <c r="N85" s="27">
        <v>0.74856242370000003</v>
      </c>
      <c r="O85" s="80" t="s">
        <v>136</v>
      </c>
      <c r="P85" s="80">
        <v>0</v>
      </c>
      <c r="Q85" s="27">
        <v>228.01147308</v>
      </c>
      <c r="R85" s="27">
        <v>0.31249999880000001</v>
      </c>
      <c r="S85" s="80" t="s">
        <v>136</v>
      </c>
      <c r="T85" s="80">
        <v>0</v>
      </c>
      <c r="U85" s="80" t="s">
        <v>136</v>
      </c>
      <c r="V85" s="80">
        <v>0</v>
      </c>
      <c r="W85" s="27">
        <v>4.0699707903000002</v>
      </c>
      <c r="X85" s="27">
        <v>3.14652297E-2</v>
      </c>
      <c r="Y85" s="27">
        <v>208.96173673000001</v>
      </c>
      <c r="Z85" s="27">
        <v>3.7717984361000001</v>
      </c>
      <c r="AA85" s="80" t="s">
        <v>136</v>
      </c>
      <c r="AB85" s="80">
        <v>0</v>
      </c>
      <c r="AC85" s="27">
        <v>2.8650883000000001E-3</v>
      </c>
      <c r="AD85" s="27">
        <v>1.7946599999999999E-5</v>
      </c>
      <c r="AE85" s="80" t="s">
        <v>136</v>
      </c>
      <c r="AF85" s="80">
        <v>0</v>
      </c>
      <c r="AG85" s="80" t="s">
        <v>136</v>
      </c>
      <c r="AH85" s="80">
        <v>0</v>
      </c>
      <c r="AI85" s="27">
        <f t="shared" si="8"/>
        <v>2.8650883000000001E-3</v>
      </c>
      <c r="AJ85" s="27">
        <f t="shared" si="9"/>
        <v>1.7946599999999999E-5</v>
      </c>
      <c r="AK85" s="27">
        <v>235.03941130000001</v>
      </c>
      <c r="AL85" s="27">
        <v>2.6775587704000001</v>
      </c>
      <c r="AM85" s="80" t="s">
        <v>136</v>
      </c>
      <c r="AN85" s="80">
        <v>0</v>
      </c>
      <c r="AO85" s="80" t="s">
        <v>136</v>
      </c>
      <c r="AP85" s="80">
        <v>0</v>
      </c>
      <c r="AQ85" s="80" t="s">
        <v>136</v>
      </c>
      <c r="AR85" s="80">
        <v>0</v>
      </c>
      <c r="AS85" s="27">
        <v>212.09934637000001</v>
      </c>
      <c r="AT85" s="27">
        <v>5.1787804169999996</v>
      </c>
      <c r="AU85" s="27">
        <v>285.79289410000001</v>
      </c>
      <c r="AV85" s="27">
        <v>1.4891758344999999</v>
      </c>
      <c r="AW85" s="27">
        <v>106.81595224</v>
      </c>
      <c r="AX85" s="27">
        <v>0.88344564349999999</v>
      </c>
      <c r="AY85" s="27">
        <v>22.468986960999999</v>
      </c>
      <c r="AZ85" s="27">
        <v>0.153668745</v>
      </c>
      <c r="BA85" s="80">
        <f t="shared" si="10"/>
        <v>156.50795489900003</v>
      </c>
      <c r="BB85" s="80">
        <f t="shared" si="11"/>
        <v>0.45206144599999987</v>
      </c>
      <c r="BC85" s="27">
        <v>7.4348525783000001</v>
      </c>
      <c r="BD85" s="80">
        <v>9.8418690000000005E-4</v>
      </c>
      <c r="BE85" s="27">
        <v>1431.9429221</v>
      </c>
      <c r="BF85" s="27">
        <v>6.7834078944999998</v>
      </c>
      <c r="BG85" s="27">
        <v>0.23898536070000001</v>
      </c>
      <c r="BH85" s="80">
        <v>1.53634349E-2</v>
      </c>
      <c r="BI85" s="27">
        <v>227.33099956999999</v>
      </c>
      <c r="BJ85" s="27">
        <v>5.9997794735000003</v>
      </c>
      <c r="BK85" s="27">
        <v>878.20357594999996</v>
      </c>
      <c r="BL85" s="27">
        <v>4.4369236726999999</v>
      </c>
      <c r="BM85" s="27">
        <v>111.75725079999999</v>
      </c>
      <c r="BN85" s="27">
        <v>0.35409961769999998</v>
      </c>
      <c r="BO85" s="27">
        <v>152.54662771</v>
      </c>
      <c r="BP85" s="27">
        <v>5.1593401699999999E-2</v>
      </c>
      <c r="BQ85" s="27">
        <v>0</v>
      </c>
      <c r="BR85" s="92">
        <v>0</v>
      </c>
      <c r="BS85" s="80" t="s">
        <v>136</v>
      </c>
      <c r="BT85" s="80">
        <v>0</v>
      </c>
      <c r="BU85" s="27">
        <v>5.7867912872999998</v>
      </c>
      <c r="BV85" s="27">
        <v>4.5068507399999999E-2</v>
      </c>
      <c r="BW85" s="27">
        <v>97.061724373999994</v>
      </c>
      <c r="BX85" s="27">
        <v>0.70349391630000002</v>
      </c>
      <c r="BY85" s="80" t="s">
        <v>136</v>
      </c>
      <c r="BZ85" s="80">
        <v>0</v>
      </c>
      <c r="CA85" s="80" t="s">
        <v>136</v>
      </c>
      <c r="CB85" s="80">
        <v>0</v>
      </c>
      <c r="CC85" s="27">
        <v>148.63275892999999</v>
      </c>
      <c r="CD85" s="27">
        <v>0.1158358587</v>
      </c>
      <c r="CE85" s="27">
        <v>79.378714150999997</v>
      </c>
      <c r="CF85" s="27">
        <v>0.1966641402</v>
      </c>
      <c r="CG85" s="80" t="s">
        <v>136</v>
      </c>
      <c r="CH85" s="80">
        <v>0</v>
      </c>
      <c r="CI85" s="80" t="s">
        <v>136</v>
      </c>
      <c r="CJ85" s="80">
        <v>0</v>
      </c>
      <c r="CK85" s="80" t="s">
        <v>136</v>
      </c>
      <c r="CL85" s="80">
        <v>0</v>
      </c>
      <c r="CM85" s="80" t="s">
        <v>136</v>
      </c>
      <c r="CN85" s="80">
        <v>0</v>
      </c>
      <c r="CO85" s="27">
        <v>2.3501165292000001</v>
      </c>
      <c r="CP85" s="27">
        <v>1.73648177E-2</v>
      </c>
      <c r="CQ85" s="27">
        <v>1.7198542612000001</v>
      </c>
      <c r="CR85" s="27">
        <v>1.4100412099999999E-2</v>
      </c>
      <c r="CS85" s="27">
        <v>47.749130430999998</v>
      </c>
      <c r="CT85" s="27">
        <v>0.3103901396</v>
      </c>
      <c r="CU85" s="27">
        <v>161.2126063</v>
      </c>
      <c r="CV85" s="27">
        <v>3.4614082965000001</v>
      </c>
      <c r="CW85" s="93" t="s">
        <v>136</v>
      </c>
      <c r="CX85" s="80">
        <v>0</v>
      </c>
      <c r="CY85" s="80" t="s">
        <v>136</v>
      </c>
      <c r="CZ85" s="94">
        <v>0</v>
      </c>
      <c r="DA85" s="27">
        <v>111.52789066</v>
      </c>
      <c r="DB85" s="27">
        <v>2.0225516024000001</v>
      </c>
      <c r="DC85" s="27">
        <v>100.57145571</v>
      </c>
      <c r="DD85" s="27">
        <v>3.1562288145999999</v>
      </c>
      <c r="DE85" s="27">
        <v>673.28821000999994</v>
      </c>
      <c r="DF85" s="27">
        <v>3.2570652170000001</v>
      </c>
      <c r="DG85" s="27">
        <v>758.65471213000001</v>
      </c>
      <c r="DH85" s="27">
        <v>3.5263426774000002</v>
      </c>
      <c r="DI85" s="95">
        <v>5.1681939199999999E-2</v>
      </c>
      <c r="DJ85" s="96">
        <v>9.3947661900000007E-2</v>
      </c>
      <c r="DK85" s="96">
        <v>0.1208276527</v>
      </c>
      <c r="DL85" s="96">
        <v>0.13752009870000001</v>
      </c>
      <c r="DM85" s="96">
        <v>0.14908630040000001</v>
      </c>
      <c r="DN85" s="96">
        <v>0.15808391969999999</v>
      </c>
      <c r="DO85" s="96">
        <v>0.16534995359999999</v>
      </c>
      <c r="DP85" s="96">
        <v>0.1713932319</v>
      </c>
      <c r="DQ85" s="96">
        <v>0.1765074398</v>
      </c>
      <c r="DR85" s="97">
        <v>0.18094052150000001</v>
      </c>
      <c r="DS85" s="93">
        <v>161.66501629000001</v>
      </c>
      <c r="DT85" s="80">
        <v>1.0932322072</v>
      </c>
      <c r="DU85" s="80">
        <v>101.40608536000001</v>
      </c>
      <c r="DV85" s="80">
        <v>0.69875464919999997</v>
      </c>
      <c r="DW85" s="80">
        <v>64.488555880999996</v>
      </c>
      <c r="DX85" s="80">
        <v>0.4512013587</v>
      </c>
      <c r="DY85" s="80">
        <v>41.965209160999997</v>
      </c>
      <c r="DZ85" s="80">
        <v>0.29818714699999999</v>
      </c>
      <c r="EA85" s="80">
        <v>28.179257959000001</v>
      </c>
      <c r="EB85" s="80">
        <v>0.2038485719</v>
      </c>
      <c r="EC85" s="80">
        <v>19.570886015999999</v>
      </c>
      <c r="ED85" s="80">
        <v>0.1446383591</v>
      </c>
      <c r="EE85" s="80">
        <v>14.061076604</v>
      </c>
      <c r="EF85" s="80">
        <v>0.1066107514</v>
      </c>
      <c r="EG85" s="80">
        <v>10.394808852000001</v>
      </c>
      <c r="EH85" s="80">
        <v>8.1176113899999999E-2</v>
      </c>
      <c r="EI85" s="80">
        <v>7.8856129797000003</v>
      </c>
      <c r="EJ85" s="80">
        <v>6.364686E-2</v>
      </c>
      <c r="EK85" s="80">
        <v>6.1150277648999998</v>
      </c>
      <c r="EL85" s="94">
        <v>5.11151798E-2</v>
      </c>
    </row>
    <row r="86" spans="1:142" x14ac:dyDescent="0.2">
      <c r="A86" s="79">
        <v>1000000</v>
      </c>
      <c r="B86" s="27">
        <v>214</v>
      </c>
      <c r="C86" s="79">
        <v>6536.0096818000002</v>
      </c>
      <c r="D86" s="27">
        <v>639642.38392000005</v>
      </c>
      <c r="E86" s="27">
        <v>346.76970520999998</v>
      </c>
      <c r="F86" s="27">
        <v>0.20207118900000001</v>
      </c>
      <c r="G86" s="79">
        <v>1266.8384079</v>
      </c>
      <c r="H86" s="27">
        <v>6.4467080999999996E-2</v>
      </c>
      <c r="I86" s="27">
        <v>258.24548637999999</v>
      </c>
      <c r="J86" s="27">
        <v>1.6942700150000001</v>
      </c>
      <c r="K86" s="27">
        <v>221.45699083</v>
      </c>
      <c r="L86" s="27">
        <v>1.2923263002000001</v>
      </c>
      <c r="M86" s="27">
        <v>102.86953013</v>
      </c>
      <c r="N86" s="27">
        <v>0.74870958529999998</v>
      </c>
      <c r="O86" s="80" t="s">
        <v>136</v>
      </c>
      <c r="P86" s="80">
        <v>0</v>
      </c>
      <c r="Q86" s="27">
        <v>229.00623074000001</v>
      </c>
      <c r="R86" s="27">
        <v>0.31356213040000003</v>
      </c>
      <c r="S86" s="80" t="s">
        <v>136</v>
      </c>
      <c r="T86" s="80">
        <v>0</v>
      </c>
      <c r="U86" s="80" t="s">
        <v>136</v>
      </c>
      <c r="V86" s="80">
        <v>0</v>
      </c>
      <c r="W86" s="27">
        <v>4.1279736546999999</v>
      </c>
      <c r="X86" s="27">
        <v>3.1705500300000002E-2</v>
      </c>
      <c r="Y86" s="27">
        <v>209.57270500000001</v>
      </c>
      <c r="Z86" s="27">
        <v>3.7724339775</v>
      </c>
      <c r="AA86" s="80" t="s">
        <v>136</v>
      </c>
      <c r="AB86" s="80">
        <v>0</v>
      </c>
      <c r="AC86" s="27">
        <v>2.8640056E-3</v>
      </c>
      <c r="AD86" s="27">
        <v>1.7939800000000001E-5</v>
      </c>
      <c r="AE86" s="80" t="s">
        <v>136</v>
      </c>
      <c r="AF86" s="80">
        <v>0</v>
      </c>
      <c r="AG86" s="80" t="s">
        <v>136</v>
      </c>
      <c r="AH86" s="80">
        <v>0</v>
      </c>
      <c r="AI86" s="27">
        <f t="shared" si="8"/>
        <v>2.8640056E-3</v>
      </c>
      <c r="AJ86" s="27">
        <f t="shared" si="9"/>
        <v>1.7939800000000001E-5</v>
      </c>
      <c r="AK86" s="27">
        <v>235.13560382</v>
      </c>
      <c r="AL86" s="27">
        <v>2.6791938191</v>
      </c>
      <c r="AM86" s="80" t="s">
        <v>136</v>
      </c>
      <c r="AN86" s="80">
        <v>0</v>
      </c>
      <c r="AO86" s="80" t="s">
        <v>136</v>
      </c>
      <c r="AP86" s="80">
        <v>0</v>
      </c>
      <c r="AQ86" s="80" t="s">
        <v>136</v>
      </c>
      <c r="AR86" s="80">
        <v>0</v>
      </c>
      <c r="AS86" s="27">
        <v>213.28611026999999</v>
      </c>
      <c r="AT86" s="27">
        <v>5.1950267644999997</v>
      </c>
      <c r="AU86" s="27">
        <v>287.27194614000001</v>
      </c>
      <c r="AV86" s="27">
        <v>1.4918617554</v>
      </c>
      <c r="AW86" s="27">
        <v>107.12387323999999</v>
      </c>
      <c r="AX86" s="27">
        <v>0.88485790200000003</v>
      </c>
      <c r="AY86" s="27">
        <v>22.477124993</v>
      </c>
      <c r="AZ86" s="27">
        <v>0.1537167045</v>
      </c>
      <c r="BA86" s="80">
        <f t="shared" si="10"/>
        <v>157.67094790700003</v>
      </c>
      <c r="BB86" s="80">
        <f t="shared" si="11"/>
        <v>0.45328714889999988</v>
      </c>
      <c r="BC86" s="27">
        <v>8.0529087753000006</v>
      </c>
      <c r="BD86" s="80">
        <v>1.0430337999999999E-3</v>
      </c>
      <c r="BE86" s="27">
        <v>1462.3886596</v>
      </c>
      <c r="BF86" s="27">
        <v>6.8120509525999999</v>
      </c>
      <c r="BG86" s="27">
        <v>0.247084371</v>
      </c>
      <c r="BH86" s="80">
        <v>1.6889392E-2</v>
      </c>
      <c r="BI86" s="27">
        <v>227.90794529999999</v>
      </c>
      <c r="BJ86" s="27">
        <v>6.0028254081999997</v>
      </c>
      <c r="BK86" s="27">
        <v>879.26015142999995</v>
      </c>
      <c r="BL86" s="27">
        <v>4.4391613611</v>
      </c>
      <c r="BM86" s="27">
        <v>111.84520070000001</v>
      </c>
      <c r="BN86" s="27">
        <v>0.35423209589999999</v>
      </c>
      <c r="BO86" s="27">
        <v>153.97490366</v>
      </c>
      <c r="BP86" s="27">
        <v>5.1817233400000003E-2</v>
      </c>
      <c r="BQ86" s="27">
        <v>0</v>
      </c>
      <c r="BR86" s="92">
        <v>0</v>
      </c>
      <c r="BS86" s="80" t="s">
        <v>136</v>
      </c>
      <c r="BT86" s="80">
        <v>0</v>
      </c>
      <c r="BU86" s="27">
        <v>5.7876187359999998</v>
      </c>
      <c r="BV86" s="27">
        <v>4.5078805899999998E-2</v>
      </c>
      <c r="BW86" s="27">
        <v>97.081911392999999</v>
      </c>
      <c r="BX86" s="27">
        <v>0.70363077939999996</v>
      </c>
      <c r="BY86" s="80" t="s">
        <v>136</v>
      </c>
      <c r="BZ86" s="80">
        <v>0</v>
      </c>
      <c r="CA86" s="80" t="s">
        <v>136</v>
      </c>
      <c r="CB86" s="80">
        <v>0</v>
      </c>
      <c r="CC86" s="27">
        <v>149.42474010000001</v>
      </c>
      <c r="CD86" s="27">
        <v>0.1162691559</v>
      </c>
      <c r="CE86" s="27">
        <v>79.581490639999998</v>
      </c>
      <c r="CF86" s="27">
        <v>0.1972929745</v>
      </c>
      <c r="CG86" s="80" t="s">
        <v>136</v>
      </c>
      <c r="CH86" s="80">
        <v>0</v>
      </c>
      <c r="CI86" s="80" t="s">
        <v>136</v>
      </c>
      <c r="CJ86" s="80">
        <v>0</v>
      </c>
      <c r="CK86" s="80" t="s">
        <v>136</v>
      </c>
      <c r="CL86" s="80">
        <v>0</v>
      </c>
      <c r="CM86" s="80" t="s">
        <v>136</v>
      </c>
      <c r="CN86" s="80">
        <v>0</v>
      </c>
      <c r="CO86" s="27">
        <v>2.4085983050999999</v>
      </c>
      <c r="CP86" s="27">
        <v>1.76090302E-2</v>
      </c>
      <c r="CQ86" s="27">
        <v>1.7193753496999999</v>
      </c>
      <c r="CR86" s="27">
        <v>1.4096470099999999E-2</v>
      </c>
      <c r="CS86" s="27">
        <v>48.348402577999998</v>
      </c>
      <c r="CT86" s="27">
        <v>0.31106215990000002</v>
      </c>
      <c r="CU86" s="27">
        <v>161.22430242999999</v>
      </c>
      <c r="CV86" s="27">
        <v>3.4613718174999999</v>
      </c>
      <c r="CW86" s="93" t="s">
        <v>136</v>
      </c>
      <c r="CX86" s="80">
        <v>0</v>
      </c>
      <c r="CY86" s="80" t="s">
        <v>136</v>
      </c>
      <c r="CZ86" s="94">
        <v>0</v>
      </c>
      <c r="DA86" s="27">
        <v>112.34520856</v>
      </c>
      <c r="DB86" s="27">
        <v>2.0324991066</v>
      </c>
      <c r="DC86" s="27">
        <v>100.9409017</v>
      </c>
      <c r="DD86" s="27">
        <v>3.1625276579000001</v>
      </c>
      <c r="DE86" s="27">
        <v>692.91047581999999</v>
      </c>
      <c r="DF86" s="27">
        <v>3.2751812883000002</v>
      </c>
      <c r="DG86" s="27">
        <v>769.47818380000001</v>
      </c>
      <c r="DH86" s="27">
        <v>3.5368696643000002</v>
      </c>
      <c r="DI86" s="95">
        <v>5.1794477399999997E-2</v>
      </c>
      <c r="DJ86" s="96">
        <v>9.4173090000000001E-2</v>
      </c>
      <c r="DK86" s="96">
        <v>0.12116635319999999</v>
      </c>
      <c r="DL86" s="96">
        <v>0.13797158600000001</v>
      </c>
      <c r="DM86" s="96">
        <v>0.14964918490000001</v>
      </c>
      <c r="DN86" s="96">
        <v>0.1587575796</v>
      </c>
      <c r="DO86" s="96">
        <v>0.1661346766</v>
      </c>
      <c r="DP86" s="96">
        <v>0.17228753299999999</v>
      </c>
      <c r="DQ86" s="96">
        <v>0.17751147440000001</v>
      </c>
      <c r="DR86" s="97">
        <v>0.1820532141</v>
      </c>
      <c r="DS86" s="93">
        <v>161.74307838999999</v>
      </c>
      <c r="DT86" s="80">
        <v>1.0935077234999999</v>
      </c>
      <c r="DU86" s="80">
        <v>101.47502618999999</v>
      </c>
      <c r="DV86" s="80">
        <v>0.69900332710000002</v>
      </c>
      <c r="DW86" s="80">
        <v>64.548832618000006</v>
      </c>
      <c r="DX86" s="80">
        <v>0.4514212427</v>
      </c>
      <c r="DY86" s="80">
        <v>42.018114486000002</v>
      </c>
      <c r="DZ86" s="80">
        <v>0.29838390619999999</v>
      </c>
      <c r="EA86" s="80">
        <v>28.224053474000002</v>
      </c>
      <c r="EB86" s="80">
        <v>0.20401742149999999</v>
      </c>
      <c r="EC86" s="80">
        <v>19.608152465</v>
      </c>
      <c r="ED86" s="80">
        <v>0.14478162010000001</v>
      </c>
      <c r="EE86" s="80">
        <v>14.091696975</v>
      </c>
      <c r="EF86" s="80">
        <v>0.1067329129</v>
      </c>
      <c r="EG86" s="80">
        <v>10.419364662</v>
      </c>
      <c r="EH86" s="80">
        <v>8.1280033400000007E-2</v>
      </c>
      <c r="EI86" s="80">
        <v>7.9043993769999998</v>
      </c>
      <c r="EJ86" s="80">
        <v>6.3734104400000005E-2</v>
      </c>
      <c r="EK86" s="80">
        <v>6.1283550355000003</v>
      </c>
      <c r="EL86" s="94">
        <v>5.1188105900000003E-2</v>
      </c>
    </row>
    <row r="87" spans="1:142" x14ac:dyDescent="0.2">
      <c r="A87" s="79">
        <v>2000000</v>
      </c>
      <c r="B87" s="27">
        <v>32</v>
      </c>
      <c r="C87" s="79">
        <v>6542.7899343999998</v>
      </c>
      <c r="D87" s="27">
        <v>1276174.2006999999</v>
      </c>
      <c r="E87" s="27">
        <v>346.84269468000002</v>
      </c>
      <c r="F87" s="27">
        <v>0.2020868338</v>
      </c>
      <c r="G87" s="79">
        <v>1284.8314665</v>
      </c>
      <c r="H87" s="27">
        <v>6.4569846799999997E-2</v>
      </c>
      <c r="I87" s="27">
        <v>258.25095654</v>
      </c>
      <c r="J87" s="27">
        <v>1.6942929427</v>
      </c>
      <c r="K87" s="27">
        <v>221.47592205000001</v>
      </c>
      <c r="L87" s="27">
        <v>1.2924276709</v>
      </c>
      <c r="M87" s="27">
        <v>102.87245236</v>
      </c>
      <c r="N87" s="27">
        <v>0.74872406960000004</v>
      </c>
      <c r="O87" s="80" t="s">
        <v>136</v>
      </c>
      <c r="P87" s="80">
        <v>0</v>
      </c>
      <c r="Q87" s="27">
        <v>229.09258582999999</v>
      </c>
      <c r="R87" s="27">
        <v>0.3136389477</v>
      </c>
      <c r="S87" s="80" t="s">
        <v>136</v>
      </c>
      <c r="T87" s="80">
        <v>0</v>
      </c>
      <c r="U87" s="80" t="s">
        <v>136</v>
      </c>
      <c r="V87" s="80">
        <v>0</v>
      </c>
      <c r="W87" s="27">
        <v>4.1277262981999998</v>
      </c>
      <c r="X87" s="27">
        <v>3.1703512699999999E-2</v>
      </c>
      <c r="Y87" s="27">
        <v>209.57402149000001</v>
      </c>
      <c r="Z87" s="27">
        <v>3.7724687480000001</v>
      </c>
      <c r="AA87" s="80" t="s">
        <v>136</v>
      </c>
      <c r="AB87" s="80">
        <v>0</v>
      </c>
      <c r="AC87" s="27">
        <v>2.8637273E-3</v>
      </c>
      <c r="AD87" s="27">
        <v>1.79381E-5</v>
      </c>
      <c r="AE87" s="80" t="s">
        <v>136</v>
      </c>
      <c r="AF87" s="80">
        <v>0</v>
      </c>
      <c r="AG87" s="80" t="s">
        <v>136</v>
      </c>
      <c r="AH87" s="80">
        <v>0</v>
      </c>
      <c r="AI87" s="27">
        <f t="shared" si="8"/>
        <v>2.8637273E-3</v>
      </c>
      <c r="AJ87" s="27">
        <f t="shared" si="9"/>
        <v>1.79381E-5</v>
      </c>
      <c r="AK87" s="27">
        <v>235.14550729999999</v>
      </c>
      <c r="AL87" s="27">
        <v>2.6793157294999999</v>
      </c>
      <c r="AM87" s="80" t="s">
        <v>136</v>
      </c>
      <c r="AN87" s="80">
        <v>0</v>
      </c>
      <c r="AO87" s="80" t="s">
        <v>136</v>
      </c>
      <c r="AP87" s="80">
        <v>0</v>
      </c>
      <c r="AQ87" s="80" t="s">
        <v>136</v>
      </c>
      <c r="AR87" s="80">
        <v>0</v>
      </c>
      <c r="AS87" s="27">
        <v>213.38271141999999</v>
      </c>
      <c r="AT87" s="27">
        <v>5.1963249077000002</v>
      </c>
      <c r="AU87" s="27">
        <v>287.3020052</v>
      </c>
      <c r="AV87" s="27">
        <v>1.4920114209999999</v>
      </c>
      <c r="AW87" s="27">
        <v>107.13599176</v>
      </c>
      <c r="AX87" s="27">
        <v>0.8849513389</v>
      </c>
      <c r="AY87" s="27">
        <v>22.477565183999999</v>
      </c>
      <c r="AZ87" s="27">
        <v>0.15371901039999999</v>
      </c>
      <c r="BA87" s="80">
        <f t="shared" si="10"/>
        <v>157.68844825600002</v>
      </c>
      <c r="BB87" s="80">
        <f t="shared" si="11"/>
        <v>0.45334107169999993</v>
      </c>
      <c r="BC87" s="27">
        <v>8.1271020273999994</v>
      </c>
      <c r="BD87" s="80">
        <v>1.0543034000000001E-3</v>
      </c>
      <c r="BE87" s="27">
        <v>1468.7169945999999</v>
      </c>
      <c r="BF87" s="27">
        <v>6.8138633697</v>
      </c>
      <c r="BG87" s="27">
        <v>0.24905959750000001</v>
      </c>
      <c r="BH87" s="80">
        <v>1.7084639799999999E-2</v>
      </c>
      <c r="BI87" s="27">
        <v>227.93105334000001</v>
      </c>
      <c r="BJ87" s="27">
        <v>6.0030675883000004</v>
      </c>
      <c r="BK87" s="27">
        <v>879.67063633999999</v>
      </c>
      <c r="BL87" s="27">
        <v>4.4394909104</v>
      </c>
      <c r="BM87" s="27">
        <v>112.06069013</v>
      </c>
      <c r="BN87" s="27">
        <v>0.3542782612</v>
      </c>
      <c r="BO87" s="27">
        <v>154.05650578999999</v>
      </c>
      <c r="BP87" s="27">
        <v>5.1834453400000001E-2</v>
      </c>
      <c r="BQ87" s="27">
        <v>0</v>
      </c>
      <c r="BR87" s="92">
        <v>0</v>
      </c>
      <c r="BS87" s="80" t="s">
        <v>136</v>
      </c>
      <c r="BT87" s="80">
        <v>0</v>
      </c>
      <c r="BU87" s="27">
        <v>5.7875320185000003</v>
      </c>
      <c r="BV87" s="27">
        <v>4.50781003E-2</v>
      </c>
      <c r="BW87" s="27">
        <v>97.084920342000004</v>
      </c>
      <c r="BX87" s="27">
        <v>0.70364596930000001</v>
      </c>
      <c r="BY87" s="80" t="s">
        <v>136</v>
      </c>
      <c r="BZ87" s="80">
        <v>0</v>
      </c>
      <c r="CA87" s="80" t="s">
        <v>136</v>
      </c>
      <c r="CB87" s="80">
        <v>0</v>
      </c>
      <c r="CC87" s="27">
        <v>149.48014663000001</v>
      </c>
      <c r="CD87" s="27">
        <v>0.1162961265</v>
      </c>
      <c r="CE87" s="27">
        <v>79.612439191999997</v>
      </c>
      <c r="CF87" s="27">
        <v>0.19734282119999999</v>
      </c>
      <c r="CG87" s="80" t="s">
        <v>136</v>
      </c>
      <c r="CH87" s="80">
        <v>0</v>
      </c>
      <c r="CI87" s="80" t="s">
        <v>136</v>
      </c>
      <c r="CJ87" s="80">
        <v>0</v>
      </c>
      <c r="CK87" s="80" t="s">
        <v>136</v>
      </c>
      <c r="CL87" s="80">
        <v>0</v>
      </c>
      <c r="CM87" s="80" t="s">
        <v>136</v>
      </c>
      <c r="CN87" s="80">
        <v>0</v>
      </c>
      <c r="CO87" s="27">
        <v>2.4084703108999999</v>
      </c>
      <c r="CP87" s="27">
        <v>1.7608026799999999E-2</v>
      </c>
      <c r="CQ87" s="27">
        <v>1.7192559873</v>
      </c>
      <c r="CR87" s="27">
        <v>1.4095485899999999E-2</v>
      </c>
      <c r="CS87" s="27">
        <v>48.348241731999998</v>
      </c>
      <c r="CT87" s="27">
        <v>0.31106158820000002</v>
      </c>
      <c r="CU87" s="27">
        <v>161.22577974999999</v>
      </c>
      <c r="CV87" s="27">
        <v>3.4614071597999998</v>
      </c>
      <c r="CW87" s="93" t="s">
        <v>136</v>
      </c>
      <c r="CX87" s="80">
        <v>0</v>
      </c>
      <c r="CY87" s="80" t="s">
        <v>136</v>
      </c>
      <c r="CZ87" s="94">
        <v>0</v>
      </c>
      <c r="DA87" s="27">
        <v>112.3962765</v>
      </c>
      <c r="DB87" s="27">
        <v>2.0331976553</v>
      </c>
      <c r="DC87" s="27">
        <v>100.98643491999999</v>
      </c>
      <c r="DD87" s="27">
        <v>3.1631272524999998</v>
      </c>
      <c r="DE87" s="27">
        <v>694.76565502999995</v>
      </c>
      <c r="DF87" s="27">
        <v>3.2762366781000001</v>
      </c>
      <c r="DG87" s="27">
        <v>773.95133954999994</v>
      </c>
      <c r="DH87" s="27">
        <v>3.5376266916999999</v>
      </c>
      <c r="DI87" s="95">
        <v>5.1810674000000001E-2</v>
      </c>
      <c r="DJ87" s="96">
        <v>9.4205723300000002E-2</v>
      </c>
      <c r="DK87" s="96">
        <v>0.1212141377</v>
      </c>
      <c r="DL87" s="96">
        <v>0.13803480030000001</v>
      </c>
      <c r="DM87" s="96">
        <v>0.1497272227</v>
      </c>
      <c r="DN87" s="96">
        <v>0.15885049809999999</v>
      </c>
      <c r="DO87" s="96">
        <v>0.16624251549999999</v>
      </c>
      <c r="DP87" s="96">
        <v>0.1724103209</v>
      </c>
      <c r="DQ87" s="96">
        <v>0.17764923260000001</v>
      </c>
      <c r="DR87" s="97">
        <v>0.18220595840000001</v>
      </c>
      <c r="DS87" s="93">
        <v>161.74826318000001</v>
      </c>
      <c r="DT87" s="80">
        <v>1.0935314603999999</v>
      </c>
      <c r="DU87" s="80">
        <v>101.47981022</v>
      </c>
      <c r="DV87" s="80">
        <v>0.69902648899999997</v>
      </c>
      <c r="DW87" s="80">
        <v>64.553003931999996</v>
      </c>
      <c r="DX87" s="80">
        <v>0.45144267399999999</v>
      </c>
      <c r="DY87" s="80">
        <v>42.02184244</v>
      </c>
      <c r="DZ87" s="80">
        <v>0.29840349849999998</v>
      </c>
      <c r="EA87" s="80">
        <v>28.227483975999998</v>
      </c>
      <c r="EB87" s="80">
        <v>0.2040354254</v>
      </c>
      <c r="EC87" s="80">
        <v>19.611163024</v>
      </c>
      <c r="ED87" s="80">
        <v>0.14479718790000001</v>
      </c>
      <c r="EE87" s="80">
        <v>14.094305052999999</v>
      </c>
      <c r="EF87" s="80">
        <v>0.10674597969999999</v>
      </c>
      <c r="EG87" s="80">
        <v>10.421523729</v>
      </c>
      <c r="EH87" s="80">
        <v>8.12902712E-2</v>
      </c>
      <c r="EI87" s="80">
        <v>7.9062217154000001</v>
      </c>
      <c r="EJ87" s="80">
        <v>6.3742588000000003E-2</v>
      </c>
      <c r="EK87" s="80">
        <v>6.1298209946000002</v>
      </c>
      <c r="EL87" s="94">
        <v>5.1194698300000001E-2</v>
      </c>
    </row>
    <row r="88" spans="1:142" x14ac:dyDescent="0.2">
      <c r="A88" s="82" t="s">
        <v>11</v>
      </c>
      <c r="B88" s="83">
        <v>2</v>
      </c>
      <c r="C88" s="82">
        <v>6543.4746992</v>
      </c>
      <c r="D88" s="83">
        <v>2600012.7618</v>
      </c>
      <c r="E88" s="83">
        <v>346.85046297999997</v>
      </c>
      <c r="F88" s="83">
        <v>0.20208875300000001</v>
      </c>
      <c r="G88" s="82">
        <v>1287.5356022000001</v>
      </c>
      <c r="H88" s="83">
        <v>6.4580679599999996E-2</v>
      </c>
      <c r="I88" s="83">
        <v>258.2506199</v>
      </c>
      <c r="J88" s="83">
        <v>1.6942907372</v>
      </c>
      <c r="K88" s="83">
        <v>221.47629931</v>
      </c>
      <c r="L88" s="83">
        <v>1.2924295577</v>
      </c>
      <c r="M88" s="83">
        <v>102.87233591</v>
      </c>
      <c r="N88" s="83">
        <v>0.74872321050000001</v>
      </c>
      <c r="O88" s="98" t="s">
        <v>136</v>
      </c>
      <c r="P88" s="98">
        <v>0</v>
      </c>
      <c r="Q88" s="83">
        <v>229.09403287000001</v>
      </c>
      <c r="R88" s="83">
        <v>0.31364045429999998</v>
      </c>
      <c r="S88" s="98" t="s">
        <v>136</v>
      </c>
      <c r="T88" s="98">
        <v>0</v>
      </c>
      <c r="U88" s="98" t="s">
        <v>136</v>
      </c>
      <c r="V88" s="98">
        <v>0</v>
      </c>
      <c r="W88" s="83">
        <v>4.1277235477999996</v>
      </c>
      <c r="X88" s="83">
        <v>3.1703497499999997E-2</v>
      </c>
      <c r="Y88" s="83">
        <v>209.57372601</v>
      </c>
      <c r="Z88" s="83">
        <v>3.7724633824999998</v>
      </c>
      <c r="AA88" s="98" t="s">
        <v>136</v>
      </c>
      <c r="AB88" s="98">
        <v>0</v>
      </c>
      <c r="AC88" s="83">
        <v>2.8637273E-3</v>
      </c>
      <c r="AD88" s="83">
        <v>1.79381E-5</v>
      </c>
      <c r="AE88" s="98" t="s">
        <v>136</v>
      </c>
      <c r="AF88" s="98">
        <v>0</v>
      </c>
      <c r="AG88" s="98" t="s">
        <v>136</v>
      </c>
      <c r="AH88" s="98">
        <v>0</v>
      </c>
      <c r="AI88" s="83">
        <f t="shared" si="8"/>
        <v>2.8637273E-3</v>
      </c>
      <c r="AJ88" s="83">
        <f t="shared" si="9"/>
        <v>1.79381E-5</v>
      </c>
      <c r="AK88" s="83">
        <v>235.14939441999999</v>
      </c>
      <c r="AL88" s="83">
        <v>2.6793537397999998</v>
      </c>
      <c r="AM88" s="98" t="s">
        <v>136</v>
      </c>
      <c r="AN88" s="98">
        <v>0</v>
      </c>
      <c r="AO88" s="98" t="s">
        <v>136</v>
      </c>
      <c r="AP88" s="98">
        <v>0</v>
      </c>
      <c r="AQ88" s="98" t="s">
        <v>136</v>
      </c>
      <c r="AR88" s="98">
        <v>0</v>
      </c>
      <c r="AS88" s="83">
        <v>213.42160411</v>
      </c>
      <c r="AT88" s="83">
        <v>5.1968830124999998</v>
      </c>
      <c r="AU88" s="83">
        <v>287.30934259000003</v>
      </c>
      <c r="AV88" s="83">
        <v>1.4920263883</v>
      </c>
      <c r="AW88" s="83">
        <v>107.13727487</v>
      </c>
      <c r="AX88" s="83">
        <v>0.88495881180000002</v>
      </c>
      <c r="AY88" s="83">
        <v>22.477512275999999</v>
      </c>
      <c r="AZ88" s="83">
        <v>0.15371869599999999</v>
      </c>
      <c r="BA88" s="98">
        <f t="shared" si="10"/>
        <v>157.69455544400003</v>
      </c>
      <c r="BB88" s="98">
        <f t="shared" si="11"/>
        <v>0.45334888049999988</v>
      </c>
      <c r="BC88" s="83">
        <v>8.1270823502000002</v>
      </c>
      <c r="BD88" s="98">
        <v>1.0543010999999999E-3</v>
      </c>
      <c r="BE88" s="83">
        <v>1468.8729458</v>
      </c>
      <c r="BF88" s="83">
        <v>6.8140530734000002</v>
      </c>
      <c r="BG88" s="83">
        <v>0.24919649890000001</v>
      </c>
      <c r="BH88" s="98">
        <v>1.7084605199999998E-2</v>
      </c>
      <c r="BI88" s="83">
        <v>227.94016977999999</v>
      </c>
      <c r="BJ88" s="83">
        <v>6.0031060030000001</v>
      </c>
      <c r="BK88" s="83">
        <v>879.69368936000001</v>
      </c>
      <c r="BL88" s="83">
        <v>4.4395309379999999</v>
      </c>
      <c r="BM88" s="83">
        <v>112.06053713</v>
      </c>
      <c r="BN88" s="83">
        <v>0.3542781834</v>
      </c>
      <c r="BO88" s="83">
        <v>154.05626720999999</v>
      </c>
      <c r="BP88" s="83">
        <v>5.1834367800000003E-2</v>
      </c>
      <c r="BQ88" s="83">
        <v>0</v>
      </c>
      <c r="BR88" s="99">
        <v>0</v>
      </c>
      <c r="BS88" s="98" t="s">
        <v>136</v>
      </c>
      <c r="BT88" s="98">
        <v>0</v>
      </c>
      <c r="BU88" s="83">
        <v>5.7875252903999996</v>
      </c>
      <c r="BV88" s="83">
        <v>4.5078048699999998E-2</v>
      </c>
      <c r="BW88" s="83">
        <v>97.084810617000002</v>
      </c>
      <c r="BX88" s="83">
        <v>0.70364516180000003</v>
      </c>
      <c r="BY88" s="98" t="s">
        <v>136</v>
      </c>
      <c r="BZ88" s="98">
        <v>0</v>
      </c>
      <c r="CA88" s="98" t="s">
        <v>136</v>
      </c>
      <c r="CB88" s="98">
        <v>0</v>
      </c>
      <c r="CC88" s="83">
        <v>149.48157214</v>
      </c>
      <c r="CD88" s="83">
        <v>0.116296944</v>
      </c>
      <c r="CE88" s="83">
        <v>79.612460729999995</v>
      </c>
      <c r="CF88" s="83">
        <v>0.1973435103</v>
      </c>
      <c r="CG88" s="98" t="s">
        <v>136</v>
      </c>
      <c r="CH88" s="98">
        <v>0</v>
      </c>
      <c r="CI88" s="98" t="s">
        <v>136</v>
      </c>
      <c r="CJ88" s="98">
        <v>0</v>
      </c>
      <c r="CK88" s="98" t="s">
        <v>136</v>
      </c>
      <c r="CL88" s="98">
        <v>0</v>
      </c>
      <c r="CM88" s="98" t="s">
        <v>136</v>
      </c>
      <c r="CN88" s="98">
        <v>0</v>
      </c>
      <c r="CO88" s="83">
        <v>2.4084677267000001</v>
      </c>
      <c r="CP88" s="83">
        <v>1.76080131E-2</v>
      </c>
      <c r="CQ88" s="83">
        <v>1.7192558211</v>
      </c>
      <c r="CR88" s="83">
        <v>1.40954844E-2</v>
      </c>
      <c r="CS88" s="83">
        <v>48.348170854000003</v>
      </c>
      <c r="CT88" s="83">
        <v>0.31106112219999998</v>
      </c>
      <c r="CU88" s="83">
        <v>161.22555516</v>
      </c>
      <c r="CV88" s="83">
        <v>3.4614022602999999</v>
      </c>
      <c r="CW88" s="103" t="s">
        <v>136</v>
      </c>
      <c r="CX88" s="98">
        <v>0</v>
      </c>
      <c r="CY88" s="98" t="s">
        <v>136</v>
      </c>
      <c r="CZ88" s="104">
        <v>0</v>
      </c>
      <c r="DA88" s="83">
        <v>112.43222480999999</v>
      </c>
      <c r="DB88" s="83">
        <v>2.0337325233999999</v>
      </c>
      <c r="DC88" s="83">
        <v>100.9893793</v>
      </c>
      <c r="DD88" s="83">
        <v>3.1631504891</v>
      </c>
      <c r="DE88" s="83">
        <v>694.87685622000004</v>
      </c>
      <c r="DF88" s="83">
        <v>3.2763831374999999</v>
      </c>
      <c r="DG88" s="83">
        <v>773.99608961000001</v>
      </c>
      <c r="DH88" s="83">
        <v>3.5376699358999999</v>
      </c>
      <c r="DI88" s="100">
        <v>5.18117139E-2</v>
      </c>
      <c r="DJ88" s="101">
        <v>9.4207818799999996E-2</v>
      </c>
      <c r="DK88" s="101">
        <v>0.12121732</v>
      </c>
      <c r="DL88" s="101">
        <v>0.13803909180000001</v>
      </c>
      <c r="DM88" s="101">
        <v>0.14973263419999999</v>
      </c>
      <c r="DN88" s="101">
        <v>0.15885703470000001</v>
      </c>
      <c r="DO88" s="101">
        <v>0.16625018059999999</v>
      </c>
      <c r="DP88" s="101">
        <v>0.17241911679999999</v>
      </c>
      <c r="DQ88" s="101">
        <v>0.17765916130000001</v>
      </c>
      <c r="DR88" s="102">
        <v>0.18221702100000001</v>
      </c>
      <c r="DS88" s="103">
        <v>161.74804517000001</v>
      </c>
      <c r="DT88" s="98">
        <v>1.0935300023000001</v>
      </c>
      <c r="DU88" s="98">
        <v>101.47967180000001</v>
      </c>
      <c r="DV88" s="98">
        <v>0.69902555180000003</v>
      </c>
      <c r="DW88" s="98">
        <v>64.552915811000005</v>
      </c>
      <c r="DX88" s="98">
        <v>0.45144207219999999</v>
      </c>
      <c r="DY88" s="98">
        <v>42.021785252999997</v>
      </c>
      <c r="DZ88" s="98">
        <v>0.29840310469999998</v>
      </c>
      <c r="EA88" s="98">
        <v>28.227445503999999</v>
      </c>
      <c r="EB88" s="98">
        <v>0.2040351581</v>
      </c>
      <c r="EC88" s="98">
        <v>19.611136147</v>
      </c>
      <c r="ED88" s="98">
        <v>0.14479699900000001</v>
      </c>
      <c r="EE88" s="98">
        <v>14.094285534000001</v>
      </c>
      <c r="EF88" s="98">
        <v>0.10674584030000001</v>
      </c>
      <c r="EG88" s="98">
        <v>10.421509131000001</v>
      </c>
      <c r="EH88" s="98">
        <v>8.1290164799999995E-2</v>
      </c>
      <c r="EI88" s="98">
        <v>7.9062104979000001</v>
      </c>
      <c r="EJ88" s="98">
        <v>6.3742504199999994E-2</v>
      </c>
      <c r="EK88" s="98">
        <v>6.1298121826000003</v>
      </c>
      <c r="EL88" s="104">
        <v>5.1194630499999998E-2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 enableFormatConditionsCalculation="0"/>
  <dimension ref="A1:EW88"/>
  <sheetViews>
    <sheetView zoomScale="80" zoomScaleNormal="80" zoomScalePageLayoutView="80" workbookViewId="0">
      <pane xSplit="4" ySplit="4" topLeftCell="F5" activePane="bottomRight" state="frozen"/>
      <selection activeCell="I95" sqref="I95"/>
      <selection pane="topRight" activeCell="I95" sqref="I95"/>
      <selection pane="bottomLeft" activeCell="I95" sqref="I95"/>
      <selection pane="bottomRight" activeCell="K6" sqref="K6:K88"/>
    </sheetView>
  </sheetViews>
  <sheetFormatPr baseColWidth="10" defaultColWidth="8.83203125" defaultRowHeight="15" x14ac:dyDescent="0.2"/>
  <cols>
    <col min="1" max="3" width="12.5" style="81" customWidth="1"/>
    <col min="4" max="4" width="15.1640625" style="81" customWidth="1"/>
    <col min="5" max="11" width="12.5" style="81" customWidth="1"/>
    <col min="12" max="12" width="12.1640625" style="81" customWidth="1"/>
    <col min="13" max="14" width="12.5" style="81" customWidth="1"/>
    <col min="15" max="15" width="13.83203125" style="81" bestFit="1" customWidth="1"/>
    <col min="16" max="17" width="12.5" style="81" hidden="1" customWidth="1"/>
    <col min="18" max="19" width="12.5" style="81" customWidth="1"/>
    <col min="20" max="23" width="12.5" style="81" hidden="1" customWidth="1"/>
    <col min="24" max="27" width="12.5" style="81" customWidth="1"/>
    <col min="28" max="29" width="12.5" style="81" hidden="1" customWidth="1"/>
    <col min="30" max="31" width="12.5" style="81" customWidth="1"/>
    <col min="32" max="35" width="12.5" style="81" hidden="1" customWidth="1"/>
    <col min="36" max="36" width="12.5" style="81" customWidth="1"/>
    <col min="37" max="39" width="12.1640625" style="81" customWidth="1"/>
    <col min="40" max="45" width="12.1640625" style="81" hidden="1" customWidth="1"/>
    <col min="46" max="56" width="12.1640625" style="81" customWidth="1"/>
    <col min="57" max="65" width="12.5" style="81" customWidth="1"/>
    <col min="66" max="69" width="12.83203125" style="81" customWidth="1"/>
    <col min="70" max="73" width="12.83203125" style="81" hidden="1" customWidth="1"/>
    <col min="74" max="75" width="12.83203125" style="81" customWidth="1"/>
    <col min="76" max="77" width="13" style="81" customWidth="1"/>
    <col min="78" max="81" width="13" style="81" hidden="1" customWidth="1"/>
    <col min="82" max="85" width="13" style="81" customWidth="1"/>
    <col min="86" max="93" width="13" style="81" hidden="1" customWidth="1"/>
    <col min="94" max="101" width="13" style="81" customWidth="1"/>
    <col min="102" max="105" width="13" style="81" hidden="1" customWidth="1"/>
    <col min="106" max="113" width="13" style="81" customWidth="1"/>
    <col min="114" max="16384" width="8.83203125" style="81"/>
  </cols>
  <sheetData>
    <row r="1" spans="1:153" x14ac:dyDescent="0.2">
      <c r="A1" s="86" t="s">
        <v>18</v>
      </c>
    </row>
    <row r="2" spans="1:153" x14ac:dyDescent="0.2">
      <c r="A2" s="86" t="s">
        <v>19</v>
      </c>
    </row>
    <row r="3" spans="1:153" x14ac:dyDescent="0.2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</row>
    <row r="4" spans="1:153" s="91" customFormat="1" ht="45" customHeight="1" x14ac:dyDescent="0.2">
      <c r="A4" s="87" t="s">
        <v>10</v>
      </c>
      <c r="B4" s="88" t="s">
        <v>20</v>
      </c>
      <c r="C4" s="87" t="s">
        <v>21</v>
      </c>
      <c r="D4" s="88" t="s">
        <v>12</v>
      </c>
      <c r="E4" s="87" t="s">
        <v>28</v>
      </c>
      <c r="F4" s="88" t="s">
        <v>29</v>
      </c>
      <c r="G4" s="87" t="s">
        <v>30</v>
      </c>
      <c r="H4" s="88" t="s">
        <v>31</v>
      </c>
      <c r="I4" s="88" t="s">
        <v>32</v>
      </c>
      <c r="J4" s="88" t="s">
        <v>33</v>
      </c>
      <c r="K4" s="88"/>
      <c r="L4" s="88" t="s">
        <v>34</v>
      </c>
      <c r="M4" s="88" t="s">
        <v>35</v>
      </c>
      <c r="N4" s="88" t="s">
        <v>36</v>
      </c>
      <c r="O4" s="88" t="s">
        <v>37</v>
      </c>
      <c r="P4" s="88" t="s">
        <v>38</v>
      </c>
      <c r="Q4" s="88" t="s">
        <v>38</v>
      </c>
      <c r="R4" s="88" t="s">
        <v>39</v>
      </c>
      <c r="S4" s="88" t="s">
        <v>40</v>
      </c>
      <c r="T4" s="88" t="s">
        <v>38</v>
      </c>
      <c r="U4" s="88" t="s">
        <v>38</v>
      </c>
      <c r="V4" s="88" t="s">
        <v>38</v>
      </c>
      <c r="W4" s="88" t="s">
        <v>38</v>
      </c>
      <c r="X4" s="88" t="s">
        <v>41</v>
      </c>
      <c r="Y4" s="88" t="s">
        <v>42</v>
      </c>
      <c r="Z4" s="88" t="s">
        <v>43</v>
      </c>
      <c r="AA4" s="88" t="s">
        <v>44</v>
      </c>
      <c r="AB4" s="88" t="s">
        <v>38</v>
      </c>
      <c r="AC4" s="88" t="s">
        <v>38</v>
      </c>
      <c r="AD4" s="88" t="s">
        <v>45</v>
      </c>
      <c r="AE4" s="88" t="s">
        <v>46</v>
      </c>
      <c r="AF4" s="88" t="s">
        <v>38</v>
      </c>
      <c r="AG4" s="88" t="s">
        <v>38</v>
      </c>
      <c r="AH4" s="88" t="s">
        <v>38</v>
      </c>
      <c r="AI4" s="88" t="s">
        <v>38</v>
      </c>
      <c r="AJ4" s="88" t="s">
        <v>47</v>
      </c>
      <c r="AK4" s="88" t="s">
        <v>48</v>
      </c>
      <c r="AL4" s="88" t="s">
        <v>49</v>
      </c>
      <c r="AM4" s="88" t="s">
        <v>50</v>
      </c>
      <c r="AN4" s="88" t="s">
        <v>38</v>
      </c>
      <c r="AO4" s="88" t="s">
        <v>38</v>
      </c>
      <c r="AP4" s="88" t="s">
        <v>38</v>
      </c>
      <c r="AQ4" s="88" t="s">
        <v>38</v>
      </c>
      <c r="AR4" s="88" t="s">
        <v>38</v>
      </c>
      <c r="AS4" s="88" t="s">
        <v>38</v>
      </c>
      <c r="AT4" s="88" t="s">
        <v>51</v>
      </c>
      <c r="AU4" s="88" t="s">
        <v>52</v>
      </c>
      <c r="AV4" s="88" t="s">
        <v>53</v>
      </c>
      <c r="AW4" s="88" t="s">
        <v>54</v>
      </c>
      <c r="AX4" s="88" t="s">
        <v>55</v>
      </c>
      <c r="AY4" s="88" t="s">
        <v>56</v>
      </c>
      <c r="AZ4" s="88" t="s">
        <v>57</v>
      </c>
      <c r="BA4" s="88" t="s">
        <v>58</v>
      </c>
      <c r="BB4" s="88" t="s">
        <v>59</v>
      </c>
      <c r="BC4" s="88" t="s">
        <v>60</v>
      </c>
      <c r="BD4" s="88" t="s">
        <v>61</v>
      </c>
      <c r="BE4" s="88" t="s">
        <v>62</v>
      </c>
      <c r="BF4" s="88" t="s">
        <v>63</v>
      </c>
      <c r="BG4" s="88" t="s">
        <v>64</v>
      </c>
      <c r="BH4" s="87" t="s">
        <v>65</v>
      </c>
      <c r="BI4" s="89" t="s">
        <v>66</v>
      </c>
      <c r="BJ4" s="88" t="s">
        <v>67</v>
      </c>
      <c r="BK4" s="88" t="s">
        <v>68</v>
      </c>
      <c r="BL4" s="88" t="s">
        <v>69</v>
      </c>
      <c r="BM4" s="88" t="s">
        <v>70</v>
      </c>
      <c r="BN4" s="88" t="s">
        <v>71</v>
      </c>
      <c r="BO4" s="88" t="s">
        <v>72</v>
      </c>
      <c r="BP4" s="88" t="s">
        <v>73</v>
      </c>
      <c r="BQ4" s="88" t="s">
        <v>74</v>
      </c>
      <c r="BR4" s="88" t="s">
        <v>75</v>
      </c>
      <c r="BS4" s="88" t="s">
        <v>76</v>
      </c>
      <c r="BT4" s="88" t="s">
        <v>63</v>
      </c>
      <c r="BU4" s="88" t="s">
        <v>77</v>
      </c>
      <c r="BV4" s="87" t="s">
        <v>78</v>
      </c>
      <c r="BW4" s="88" t="s">
        <v>79</v>
      </c>
      <c r="BX4" s="88" t="s">
        <v>80</v>
      </c>
      <c r="BY4" s="88" t="s">
        <v>81</v>
      </c>
      <c r="BZ4" s="90" t="s">
        <v>82</v>
      </c>
      <c r="CA4" s="88" t="s">
        <v>83</v>
      </c>
      <c r="CB4" s="90" t="s">
        <v>84</v>
      </c>
      <c r="CC4" s="88" t="s">
        <v>85</v>
      </c>
      <c r="CD4" s="88" t="s">
        <v>86</v>
      </c>
      <c r="CE4" s="88" t="s">
        <v>87</v>
      </c>
      <c r="CF4" s="88" t="s">
        <v>88</v>
      </c>
      <c r="CG4" s="89" t="s">
        <v>89</v>
      </c>
      <c r="CH4" s="88" t="s">
        <v>38</v>
      </c>
      <c r="CI4" s="88" t="s">
        <v>38</v>
      </c>
      <c r="CJ4" s="88" t="s">
        <v>38</v>
      </c>
      <c r="CK4" s="88" t="s">
        <v>38</v>
      </c>
      <c r="CL4" s="88" t="s">
        <v>38</v>
      </c>
      <c r="CM4" s="88" t="s">
        <v>38</v>
      </c>
      <c r="CN4" s="88" t="s">
        <v>38</v>
      </c>
      <c r="CO4" s="88" t="s">
        <v>38</v>
      </c>
      <c r="CP4" s="87" t="s">
        <v>90</v>
      </c>
      <c r="CQ4" s="88" t="s">
        <v>91</v>
      </c>
      <c r="CR4" s="88" t="s">
        <v>92</v>
      </c>
      <c r="CS4" s="88" t="s">
        <v>93</v>
      </c>
      <c r="CT4" s="88" t="s">
        <v>94</v>
      </c>
      <c r="CU4" s="88" t="s">
        <v>95</v>
      </c>
      <c r="CV4" s="88" t="s">
        <v>96</v>
      </c>
      <c r="CW4" s="89" t="s">
        <v>97</v>
      </c>
      <c r="CX4" s="87" t="s">
        <v>38</v>
      </c>
      <c r="CY4" s="88" t="s">
        <v>38</v>
      </c>
      <c r="CZ4" s="88" t="s">
        <v>38</v>
      </c>
      <c r="DA4" s="89" t="s">
        <v>38</v>
      </c>
      <c r="DB4" s="87" t="s">
        <v>98</v>
      </c>
      <c r="DC4" s="88" t="s">
        <v>99</v>
      </c>
      <c r="DD4" s="88" t="s">
        <v>100</v>
      </c>
      <c r="DE4" s="88" t="s">
        <v>101</v>
      </c>
      <c r="DF4" s="88" t="s">
        <v>102</v>
      </c>
      <c r="DG4" s="88" t="s">
        <v>103</v>
      </c>
      <c r="DH4" s="88" t="s">
        <v>104</v>
      </c>
      <c r="DI4" s="89" t="s">
        <v>105</v>
      </c>
      <c r="DJ4" s="87" t="s">
        <v>106</v>
      </c>
      <c r="DK4" s="88" t="s">
        <v>107</v>
      </c>
      <c r="DL4" s="88" t="s">
        <v>108</v>
      </c>
      <c r="DM4" s="88" t="s">
        <v>109</v>
      </c>
      <c r="DN4" s="88" t="s">
        <v>110</v>
      </c>
      <c r="DO4" s="88" t="s">
        <v>111</v>
      </c>
      <c r="DP4" s="88" t="s">
        <v>112</v>
      </c>
      <c r="DQ4" s="88" t="s">
        <v>113</v>
      </c>
      <c r="DR4" s="88" t="s">
        <v>114</v>
      </c>
      <c r="DS4" s="89" t="s">
        <v>115</v>
      </c>
      <c r="DT4" s="87" t="s">
        <v>116</v>
      </c>
      <c r="DU4" s="88" t="s">
        <v>117</v>
      </c>
      <c r="DV4" s="88" t="s">
        <v>118</v>
      </c>
      <c r="DW4" s="88" t="s">
        <v>119</v>
      </c>
      <c r="DX4" s="88" t="s">
        <v>120</v>
      </c>
      <c r="DY4" s="88" t="s">
        <v>121</v>
      </c>
      <c r="DZ4" s="88" t="s">
        <v>122</v>
      </c>
      <c r="EA4" s="88" t="s">
        <v>123</v>
      </c>
      <c r="EB4" s="88" t="s">
        <v>124</v>
      </c>
      <c r="EC4" s="88" t="s">
        <v>125</v>
      </c>
      <c r="ED4" s="88" t="s">
        <v>126</v>
      </c>
      <c r="EE4" s="88" t="s">
        <v>127</v>
      </c>
      <c r="EF4" s="88" t="s">
        <v>128</v>
      </c>
      <c r="EG4" s="88" t="s">
        <v>129</v>
      </c>
      <c r="EH4" s="88" t="s">
        <v>130</v>
      </c>
      <c r="EI4" s="88" t="s">
        <v>131</v>
      </c>
      <c r="EJ4" s="88" t="s">
        <v>132</v>
      </c>
      <c r="EK4" s="88" t="s">
        <v>133</v>
      </c>
      <c r="EL4" s="88" t="s">
        <v>134</v>
      </c>
      <c r="EM4" s="89" t="s">
        <v>135</v>
      </c>
      <c r="EN4" s="88"/>
      <c r="EO4" s="88"/>
      <c r="EP4" s="88"/>
      <c r="EQ4" s="88"/>
      <c r="ER4" s="88"/>
      <c r="ES4" s="88"/>
      <c r="ET4" s="88"/>
      <c r="EU4" s="88"/>
      <c r="EV4" s="88"/>
      <c r="EW4" s="89"/>
    </row>
    <row r="5" spans="1:153" x14ac:dyDescent="0.2">
      <c r="A5" s="79">
        <v>0</v>
      </c>
      <c r="B5" s="27">
        <v>479830</v>
      </c>
      <c r="C5" s="79">
        <v>0</v>
      </c>
      <c r="D5" s="27">
        <v>0</v>
      </c>
      <c r="E5" s="27">
        <v>0</v>
      </c>
      <c r="F5" s="27">
        <v>3.0013571999999999E-6</v>
      </c>
      <c r="G5" s="79">
        <v>0</v>
      </c>
      <c r="H5" s="27">
        <v>0</v>
      </c>
      <c r="I5" s="27">
        <v>0</v>
      </c>
      <c r="J5" s="27">
        <v>0</v>
      </c>
      <c r="K5" s="27"/>
      <c r="L5" s="27">
        <v>0</v>
      </c>
      <c r="M5" s="27">
        <v>7.3934715999999999E-6</v>
      </c>
      <c r="N5" s="27">
        <v>0</v>
      </c>
      <c r="O5" s="27">
        <v>0</v>
      </c>
      <c r="P5" s="80" t="s">
        <v>136</v>
      </c>
      <c r="Q5" s="80">
        <v>0</v>
      </c>
      <c r="R5" s="27">
        <v>0</v>
      </c>
      <c r="S5" s="27">
        <v>0</v>
      </c>
      <c r="T5" s="80" t="s">
        <v>136</v>
      </c>
      <c r="U5" s="80">
        <v>0</v>
      </c>
      <c r="V5" s="80" t="s">
        <v>136</v>
      </c>
      <c r="W5" s="80">
        <v>0</v>
      </c>
      <c r="X5" s="27">
        <v>0</v>
      </c>
      <c r="Y5" s="27">
        <v>0</v>
      </c>
      <c r="Z5" s="27">
        <v>0</v>
      </c>
      <c r="AA5" s="27">
        <v>5.7707700000000003E-5</v>
      </c>
      <c r="AB5" s="80" t="s">
        <v>136</v>
      </c>
      <c r="AC5" s="80">
        <v>0</v>
      </c>
      <c r="AD5" s="27">
        <v>0</v>
      </c>
      <c r="AE5" s="27">
        <v>0</v>
      </c>
      <c r="AF5" s="80" t="s">
        <v>136</v>
      </c>
      <c r="AG5" s="80">
        <v>0</v>
      </c>
      <c r="AH5" s="80" t="s">
        <v>136</v>
      </c>
      <c r="AI5" s="80">
        <v>0</v>
      </c>
      <c r="AJ5" s="27">
        <f t="shared" ref="AJ5:AJ36" si="0">AD5</f>
        <v>0</v>
      </c>
      <c r="AK5" s="27">
        <f t="shared" ref="AK5:AK36" si="1">AE5</f>
        <v>0</v>
      </c>
      <c r="AL5" s="27">
        <v>0</v>
      </c>
      <c r="AM5" s="27">
        <v>1.3511E-5</v>
      </c>
      <c r="AN5" s="80" t="s">
        <v>136</v>
      </c>
      <c r="AO5" s="80">
        <v>0</v>
      </c>
      <c r="AP5" s="80" t="s">
        <v>136</v>
      </c>
      <c r="AQ5" s="80">
        <v>0</v>
      </c>
      <c r="AR5" s="80" t="s">
        <v>136</v>
      </c>
      <c r="AS5" s="80">
        <v>0</v>
      </c>
      <c r="AT5" s="27">
        <v>0</v>
      </c>
      <c r="AU5" s="27">
        <v>1.35372E-5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  <c r="BA5" s="27">
        <v>0</v>
      </c>
      <c r="BB5" s="80">
        <v>0</v>
      </c>
      <c r="BC5" s="80">
        <v>0</v>
      </c>
      <c r="BD5" s="27">
        <v>0</v>
      </c>
      <c r="BE5" s="80">
        <v>0</v>
      </c>
      <c r="BF5" s="27">
        <v>0</v>
      </c>
      <c r="BG5" s="27">
        <v>1.8661900000000002E-5</v>
      </c>
      <c r="BH5" s="27">
        <v>0</v>
      </c>
      <c r="BI5" s="80">
        <v>0</v>
      </c>
      <c r="BJ5" s="27">
        <v>0</v>
      </c>
      <c r="BK5" s="27">
        <v>0</v>
      </c>
      <c r="BL5" s="27">
        <v>0</v>
      </c>
      <c r="BM5" s="27">
        <v>0</v>
      </c>
      <c r="BN5" s="27">
        <v>0</v>
      </c>
      <c r="BO5" s="27">
        <v>0</v>
      </c>
      <c r="BP5" s="27">
        <v>0</v>
      </c>
      <c r="BQ5" s="27">
        <v>0</v>
      </c>
      <c r="BR5" s="27">
        <v>0</v>
      </c>
      <c r="BS5" s="92">
        <v>0</v>
      </c>
      <c r="BT5" s="80" t="s">
        <v>136</v>
      </c>
      <c r="BU5" s="80">
        <v>0</v>
      </c>
      <c r="BV5" s="27">
        <v>0</v>
      </c>
      <c r="BW5" s="27">
        <v>0</v>
      </c>
      <c r="BX5" s="27">
        <v>0</v>
      </c>
      <c r="BY5" s="27">
        <v>0</v>
      </c>
      <c r="BZ5" s="80" t="s">
        <v>136</v>
      </c>
      <c r="CA5" s="80">
        <v>0</v>
      </c>
      <c r="CB5" s="80" t="s">
        <v>136</v>
      </c>
      <c r="CC5" s="80">
        <v>0</v>
      </c>
      <c r="CD5" s="27">
        <v>0</v>
      </c>
      <c r="CE5" s="27">
        <v>0</v>
      </c>
      <c r="CF5" s="27">
        <v>0</v>
      </c>
      <c r="CG5" s="27">
        <v>0</v>
      </c>
      <c r="CH5" s="80" t="s">
        <v>136</v>
      </c>
      <c r="CI5" s="80">
        <v>0</v>
      </c>
      <c r="CJ5" s="80" t="s">
        <v>136</v>
      </c>
      <c r="CK5" s="80">
        <v>0</v>
      </c>
      <c r="CL5" s="80" t="s">
        <v>136</v>
      </c>
      <c r="CM5" s="80">
        <v>0</v>
      </c>
      <c r="CN5" s="80" t="s">
        <v>136</v>
      </c>
      <c r="CO5" s="80">
        <v>0</v>
      </c>
      <c r="CP5" s="27">
        <v>0</v>
      </c>
      <c r="CQ5" s="27">
        <v>0</v>
      </c>
      <c r="CR5" s="27">
        <v>0</v>
      </c>
      <c r="CS5" s="27">
        <v>0</v>
      </c>
      <c r="CT5" s="27">
        <v>0</v>
      </c>
      <c r="CU5" s="27">
        <v>0</v>
      </c>
      <c r="CV5" s="27">
        <v>0</v>
      </c>
      <c r="CW5" s="27">
        <v>5.7707700000000003E-5</v>
      </c>
      <c r="CX5" s="93" t="s">
        <v>136</v>
      </c>
      <c r="CY5" s="80">
        <v>0</v>
      </c>
      <c r="CZ5" s="80" t="s">
        <v>136</v>
      </c>
      <c r="DA5" s="94">
        <v>0</v>
      </c>
      <c r="DB5" s="27">
        <v>0</v>
      </c>
      <c r="DC5" s="27">
        <v>0</v>
      </c>
      <c r="DD5" s="27">
        <v>0</v>
      </c>
      <c r="DE5" s="27">
        <v>1.35372E-5</v>
      </c>
      <c r="DF5" s="27">
        <v>0</v>
      </c>
      <c r="DG5" s="27">
        <v>2.3032630000000001E-6</v>
      </c>
      <c r="DH5" s="27">
        <v>0</v>
      </c>
      <c r="DI5" s="27">
        <v>1.63586E-5</v>
      </c>
      <c r="DJ5" s="95">
        <v>0</v>
      </c>
      <c r="DK5" s="96">
        <v>0</v>
      </c>
      <c r="DL5" s="96">
        <v>0</v>
      </c>
      <c r="DM5" s="96">
        <v>0</v>
      </c>
      <c r="DN5" s="96">
        <v>0</v>
      </c>
      <c r="DO5" s="96">
        <v>0</v>
      </c>
      <c r="DP5" s="96">
        <v>0</v>
      </c>
      <c r="DQ5" s="96">
        <v>0</v>
      </c>
      <c r="DR5" s="96">
        <v>0</v>
      </c>
      <c r="DS5" s="97">
        <v>0</v>
      </c>
      <c r="DT5" s="93">
        <v>0</v>
      </c>
      <c r="DU5" s="80">
        <v>0</v>
      </c>
      <c r="DV5" s="80">
        <v>0</v>
      </c>
      <c r="DW5" s="80">
        <v>0</v>
      </c>
      <c r="DX5" s="80">
        <v>0</v>
      </c>
      <c r="DY5" s="80">
        <v>0</v>
      </c>
      <c r="DZ5" s="80">
        <v>0</v>
      </c>
      <c r="EA5" s="80">
        <v>0</v>
      </c>
      <c r="EB5" s="80">
        <v>0</v>
      </c>
      <c r="EC5" s="80">
        <v>0</v>
      </c>
      <c r="ED5" s="80">
        <v>0</v>
      </c>
      <c r="EE5" s="80">
        <v>0</v>
      </c>
      <c r="EF5" s="80">
        <v>0</v>
      </c>
      <c r="EG5" s="80">
        <v>0</v>
      </c>
      <c r="EH5" s="80">
        <v>0</v>
      </c>
      <c r="EI5" s="80">
        <v>0</v>
      </c>
      <c r="EJ5" s="80">
        <v>0</v>
      </c>
      <c r="EK5" s="80">
        <v>0</v>
      </c>
      <c r="EL5" s="80">
        <v>0</v>
      </c>
      <c r="EM5" s="94">
        <v>0</v>
      </c>
      <c r="EN5" s="80"/>
      <c r="EO5" s="80"/>
      <c r="EP5" s="80"/>
      <c r="EQ5" s="80"/>
      <c r="ER5" s="80"/>
      <c r="ES5" s="80"/>
      <c r="ET5" s="80"/>
      <c r="EU5" s="80"/>
      <c r="EV5" s="80"/>
      <c r="EW5" s="94"/>
    </row>
    <row r="6" spans="1:153" x14ac:dyDescent="0.2">
      <c r="A6" s="79">
        <v>100</v>
      </c>
      <c r="B6" s="27">
        <v>96726</v>
      </c>
      <c r="C6" s="79">
        <v>85.025465659000005</v>
      </c>
      <c r="D6" s="27">
        <v>46.92172901</v>
      </c>
      <c r="E6" s="27">
        <v>8.3626655999999994E-3</v>
      </c>
      <c r="F6" s="27">
        <v>1.6790960000000001E-4</v>
      </c>
      <c r="G6" s="79">
        <v>3.2743800000000003E-5</v>
      </c>
      <c r="H6" s="27">
        <v>1.4440433E-6</v>
      </c>
      <c r="I6" s="27">
        <v>0.87330250880000004</v>
      </c>
      <c r="J6" s="27">
        <v>1.14973148E-2</v>
      </c>
      <c r="K6" s="27">
        <f>I6/J6</f>
        <v>75.957084240226251</v>
      </c>
      <c r="L6" s="27">
        <v>0.31515425190000002</v>
      </c>
      <c r="M6" s="27">
        <v>4.0684247E-3</v>
      </c>
      <c r="N6" s="27">
        <v>4.8002308700000003E-2</v>
      </c>
      <c r="O6" s="27">
        <v>6.7736160000000001E-4</v>
      </c>
      <c r="P6" s="80" t="s">
        <v>136</v>
      </c>
      <c r="Q6" s="80">
        <v>0</v>
      </c>
      <c r="R6" s="27">
        <v>1.0518086E-3</v>
      </c>
      <c r="S6" s="27">
        <v>3.0858000000000002E-5</v>
      </c>
      <c r="T6" s="80" t="s">
        <v>136</v>
      </c>
      <c r="U6" s="80">
        <v>0</v>
      </c>
      <c r="V6" s="80" t="s">
        <v>136</v>
      </c>
      <c r="W6" s="80">
        <v>0</v>
      </c>
      <c r="X6" s="27">
        <v>4.45785E-5</v>
      </c>
      <c r="Y6" s="27">
        <v>1.8800711999999999E-6</v>
      </c>
      <c r="Z6" s="27">
        <v>7.5540348300000004E-2</v>
      </c>
      <c r="AA6" s="27">
        <v>2.5866559000000001E-3</v>
      </c>
      <c r="AB6" s="80" t="s">
        <v>136</v>
      </c>
      <c r="AC6" s="80">
        <v>0</v>
      </c>
      <c r="AD6" s="27">
        <v>0</v>
      </c>
      <c r="AE6" s="27">
        <v>0</v>
      </c>
      <c r="AF6" s="80" t="s">
        <v>136</v>
      </c>
      <c r="AG6" s="80">
        <v>0</v>
      </c>
      <c r="AH6" s="80" t="s">
        <v>136</v>
      </c>
      <c r="AI6" s="80">
        <v>0</v>
      </c>
      <c r="AJ6" s="27">
        <f t="shared" si="0"/>
        <v>0</v>
      </c>
      <c r="AK6" s="27">
        <f t="shared" si="1"/>
        <v>0</v>
      </c>
      <c r="AL6" s="27">
        <v>1.230236753</v>
      </c>
      <c r="AM6" s="27">
        <v>2.8001287600000001E-2</v>
      </c>
      <c r="AN6" s="80" t="s">
        <v>136</v>
      </c>
      <c r="AO6" s="80">
        <v>0</v>
      </c>
      <c r="AP6" s="80" t="s">
        <v>136</v>
      </c>
      <c r="AQ6" s="80">
        <v>0</v>
      </c>
      <c r="AR6" s="80" t="s">
        <v>136</v>
      </c>
      <c r="AS6" s="80">
        <v>0</v>
      </c>
      <c r="AT6" s="27">
        <v>0.25322531349999999</v>
      </c>
      <c r="AU6" s="27">
        <v>1.74617613E-2</v>
      </c>
      <c r="AV6" s="27">
        <v>8.7676154100000001E-2</v>
      </c>
      <c r="AW6" s="27">
        <v>2.4021607999999998E-3</v>
      </c>
      <c r="AX6" s="27">
        <v>6.7467537399999999E-2</v>
      </c>
      <c r="AY6" s="27">
        <v>1.9961000999999998E-3</v>
      </c>
      <c r="AZ6" s="27">
        <v>6.0685686999999997E-3</v>
      </c>
      <c r="BA6" s="27">
        <v>1.4400130000000001E-4</v>
      </c>
      <c r="BB6" s="80">
        <f t="shared" ref="BB6:BB37" si="2">AV6-(AX6+AZ6)</f>
        <v>1.4140048000000002E-2</v>
      </c>
      <c r="BC6" s="80">
        <f t="shared" ref="BC6:BC37" si="3">AW6-(AY6+BA6)</f>
        <v>2.6205939999999995E-4</v>
      </c>
      <c r="BD6" s="27">
        <v>0</v>
      </c>
      <c r="BE6" s="80">
        <v>0</v>
      </c>
      <c r="BF6" s="27">
        <v>1.3686886947000001</v>
      </c>
      <c r="BG6" s="27">
        <v>4.6554219500000001E-2</v>
      </c>
      <c r="BH6" s="27">
        <v>4.33213E-6</v>
      </c>
      <c r="BI6" s="27">
        <v>0</v>
      </c>
      <c r="BJ6" s="27">
        <v>3.2044398404000001</v>
      </c>
      <c r="BK6" s="27">
        <v>0.23253329119999999</v>
      </c>
      <c r="BL6" s="27">
        <v>0.15843359509999999</v>
      </c>
      <c r="BM6" s="27">
        <v>3.7549077999999999E-3</v>
      </c>
      <c r="BN6" s="27">
        <v>0.10753872890000001</v>
      </c>
      <c r="BO6" s="27">
        <v>2.5239626E-3</v>
      </c>
      <c r="BP6" s="27">
        <v>1.9820370000000001E-4</v>
      </c>
      <c r="BQ6" s="27">
        <v>2.3840788999999999E-6</v>
      </c>
      <c r="BR6" s="27">
        <v>0</v>
      </c>
      <c r="BS6" s="92">
        <v>0</v>
      </c>
      <c r="BT6" s="80" t="s">
        <v>136</v>
      </c>
      <c r="BU6" s="80">
        <v>0</v>
      </c>
      <c r="BV6" s="27">
        <v>5.4531009999999995E-4</v>
      </c>
      <c r="BW6" s="27">
        <v>1.4645500000000001E-5</v>
      </c>
      <c r="BX6" s="27">
        <v>4.7456998600000001E-2</v>
      </c>
      <c r="BY6" s="27">
        <v>6.627162E-4</v>
      </c>
      <c r="BZ6" s="80" t="s">
        <v>136</v>
      </c>
      <c r="CA6" s="80">
        <v>0</v>
      </c>
      <c r="CB6" s="80" t="s">
        <v>136</v>
      </c>
      <c r="CC6" s="80">
        <v>0</v>
      </c>
      <c r="CD6" s="27">
        <v>2.74329E-5</v>
      </c>
      <c r="CE6" s="27">
        <v>5.5255193999999999E-6</v>
      </c>
      <c r="CF6" s="27">
        <v>1.0243756999999999E-3</v>
      </c>
      <c r="CG6" s="27">
        <v>2.5332499999999998E-5</v>
      </c>
      <c r="CH6" s="80" t="s">
        <v>136</v>
      </c>
      <c r="CI6" s="80">
        <v>0</v>
      </c>
      <c r="CJ6" s="80" t="s">
        <v>136</v>
      </c>
      <c r="CK6" s="80">
        <v>0</v>
      </c>
      <c r="CL6" s="80" t="s">
        <v>136</v>
      </c>
      <c r="CM6" s="80">
        <v>0</v>
      </c>
      <c r="CN6" s="80" t="s">
        <v>136</v>
      </c>
      <c r="CO6" s="80">
        <v>0</v>
      </c>
      <c r="CP6" s="27">
        <v>0</v>
      </c>
      <c r="CQ6" s="27">
        <v>0</v>
      </c>
      <c r="CR6" s="27">
        <v>4.45785E-5</v>
      </c>
      <c r="CS6" s="27">
        <v>1.8800711999999999E-6</v>
      </c>
      <c r="CT6" s="27">
        <v>2.9455099999999999E-5</v>
      </c>
      <c r="CU6" s="27">
        <v>1.6690004E-6</v>
      </c>
      <c r="CV6" s="27">
        <v>7.5510893199999998E-2</v>
      </c>
      <c r="CW6" s="27">
        <v>2.5849868999999999E-3</v>
      </c>
      <c r="CX6" s="80" t="s">
        <v>136</v>
      </c>
      <c r="CY6" s="80">
        <v>0</v>
      </c>
      <c r="CZ6" s="80" t="s">
        <v>136</v>
      </c>
      <c r="DA6" s="80">
        <v>0</v>
      </c>
      <c r="DB6" s="27">
        <v>4.4827236299999997E-2</v>
      </c>
      <c r="DC6" s="27">
        <v>2.0622028999999998E-3</v>
      </c>
      <c r="DD6" s="27">
        <v>0.2083980772</v>
      </c>
      <c r="DE6" s="27">
        <v>1.5399558400000001E-2</v>
      </c>
      <c r="DF6" s="27">
        <v>2.4601733000000001E-2</v>
      </c>
      <c r="DG6" s="27">
        <v>4.4107564999999998E-3</v>
      </c>
      <c r="DH6" s="27">
        <v>1.3440869617</v>
      </c>
      <c r="DI6" s="27">
        <v>4.2143462999999999E-2</v>
      </c>
      <c r="DJ6" s="95">
        <v>1.4440433E-6</v>
      </c>
      <c r="DK6" s="96">
        <v>2.8880866E-6</v>
      </c>
      <c r="DL6" s="96">
        <v>4.33213E-6</v>
      </c>
      <c r="DM6" s="96">
        <v>4.33213E-6</v>
      </c>
      <c r="DN6" s="96">
        <v>4.33213E-6</v>
      </c>
      <c r="DO6" s="96">
        <v>4.33213E-6</v>
      </c>
      <c r="DP6" s="96">
        <v>4.33213E-6</v>
      </c>
      <c r="DQ6" s="96">
        <v>4.33213E-6</v>
      </c>
      <c r="DR6" s="96">
        <v>4.33213E-6</v>
      </c>
      <c r="DS6" s="97">
        <v>4.33213E-6</v>
      </c>
      <c r="DT6" s="93">
        <v>7.8872937000000008E-3</v>
      </c>
      <c r="DU6" s="80">
        <v>3.485389E-4</v>
      </c>
      <c r="DV6" s="80">
        <v>1.166706E-3</v>
      </c>
      <c r="DW6" s="80">
        <v>6.5824899999999994E-5</v>
      </c>
      <c r="DX6" s="80">
        <v>2.1004960000000001E-4</v>
      </c>
      <c r="DY6" s="80">
        <v>1.7065999999999999E-5</v>
      </c>
      <c r="DZ6" s="80">
        <v>2.5268600000000001E-5</v>
      </c>
      <c r="EA6" s="80">
        <v>3.0670435999999998E-6</v>
      </c>
      <c r="EB6" s="80">
        <v>0</v>
      </c>
      <c r="EC6" s="80">
        <v>0</v>
      </c>
      <c r="ED6" s="80">
        <v>0</v>
      </c>
      <c r="EE6" s="80">
        <v>0</v>
      </c>
      <c r="EF6" s="80">
        <v>0</v>
      </c>
      <c r="EG6" s="80">
        <v>0</v>
      </c>
      <c r="EH6" s="80">
        <v>0</v>
      </c>
      <c r="EI6" s="80">
        <v>0</v>
      </c>
      <c r="EJ6" s="80">
        <v>0</v>
      </c>
      <c r="EK6" s="80">
        <v>0</v>
      </c>
      <c r="EL6" s="80">
        <v>0</v>
      </c>
      <c r="EM6" s="94">
        <v>0</v>
      </c>
      <c r="EN6" s="80"/>
      <c r="EO6" s="80"/>
      <c r="EP6" s="80"/>
      <c r="EQ6" s="80"/>
      <c r="ER6" s="80"/>
      <c r="ES6" s="80"/>
      <c r="ET6" s="80"/>
      <c r="EU6" s="80"/>
      <c r="EV6" s="80"/>
      <c r="EW6" s="94"/>
    </row>
    <row r="7" spans="1:153" x14ac:dyDescent="0.2">
      <c r="A7" s="79">
        <v>200</v>
      </c>
      <c r="B7" s="27">
        <v>147714</v>
      </c>
      <c r="C7" s="79">
        <v>167.05415164999999</v>
      </c>
      <c r="D7" s="27">
        <v>151.36886636</v>
      </c>
      <c r="E7" s="27">
        <v>0.1133551606</v>
      </c>
      <c r="F7" s="27">
        <v>8.6679490000000003E-4</v>
      </c>
      <c r="G7" s="79">
        <v>1.804105E-4</v>
      </c>
      <c r="H7" s="27">
        <v>4.4190035999999999E-6</v>
      </c>
      <c r="I7" s="27">
        <v>10.597666078</v>
      </c>
      <c r="J7" s="27">
        <v>9.1228764700000006E-2</v>
      </c>
      <c r="K7" s="27">
        <f t="shared" ref="K7:K70" si="4">I7/J7</f>
        <v>116.16583993929711</v>
      </c>
      <c r="L7" s="27">
        <v>3.5900464772</v>
      </c>
      <c r="M7" s="27">
        <v>3.0189349800000001E-2</v>
      </c>
      <c r="N7" s="27">
        <v>0.3769993667</v>
      </c>
      <c r="O7" s="27">
        <v>3.7846251999999999E-3</v>
      </c>
      <c r="P7" s="80" t="s">
        <v>136</v>
      </c>
      <c r="Q7" s="80">
        <v>0</v>
      </c>
      <c r="R7" s="27">
        <v>1.32918685E-2</v>
      </c>
      <c r="S7" s="27">
        <v>1.621894E-4</v>
      </c>
      <c r="T7" s="80" t="s">
        <v>136</v>
      </c>
      <c r="U7" s="80">
        <v>0</v>
      </c>
      <c r="V7" s="80" t="s">
        <v>136</v>
      </c>
      <c r="W7" s="80">
        <v>0</v>
      </c>
      <c r="X7" s="27">
        <v>5.5652559999999998E-4</v>
      </c>
      <c r="Y7" s="27">
        <v>6.939708E-6</v>
      </c>
      <c r="Z7" s="27">
        <v>0.345722904</v>
      </c>
      <c r="AA7" s="27">
        <v>1.00330314E-2</v>
      </c>
      <c r="AB7" s="80" t="s">
        <v>136</v>
      </c>
      <c r="AC7" s="80">
        <v>0</v>
      </c>
      <c r="AD7" s="27">
        <v>0</v>
      </c>
      <c r="AE7" s="27">
        <v>0</v>
      </c>
      <c r="AF7" s="80" t="s">
        <v>136</v>
      </c>
      <c r="AG7" s="80">
        <v>0</v>
      </c>
      <c r="AH7" s="80" t="s">
        <v>136</v>
      </c>
      <c r="AI7" s="80">
        <v>0</v>
      </c>
      <c r="AJ7" s="27">
        <f t="shared" si="0"/>
        <v>0</v>
      </c>
      <c r="AK7" s="27">
        <f t="shared" si="1"/>
        <v>0</v>
      </c>
      <c r="AL7" s="27">
        <v>4.5480375985999997</v>
      </c>
      <c r="AM7" s="27">
        <v>8.1202157600000005E-2</v>
      </c>
      <c r="AN7" s="80" t="s">
        <v>136</v>
      </c>
      <c r="AO7" s="80">
        <v>0</v>
      </c>
      <c r="AP7" s="80" t="s">
        <v>136</v>
      </c>
      <c r="AQ7" s="80">
        <v>0</v>
      </c>
      <c r="AR7" s="80" t="s">
        <v>136</v>
      </c>
      <c r="AS7" s="80">
        <v>0</v>
      </c>
      <c r="AT7" s="27">
        <v>1.2974240866</v>
      </c>
      <c r="AU7" s="27">
        <v>7.9639042699999996E-2</v>
      </c>
      <c r="AV7" s="27">
        <v>0.47036894089999998</v>
      </c>
      <c r="AW7" s="27">
        <v>9.5762035999999995E-3</v>
      </c>
      <c r="AX7" s="27">
        <v>0.2847129055</v>
      </c>
      <c r="AY7" s="27">
        <v>6.5697020000000002E-3</v>
      </c>
      <c r="AZ7" s="27">
        <v>0.1088033729</v>
      </c>
      <c r="BA7" s="27">
        <v>1.9458975E-3</v>
      </c>
      <c r="BB7" s="80">
        <f t="shared" si="2"/>
        <v>7.6852662499999946E-2</v>
      </c>
      <c r="BC7" s="80">
        <f t="shared" si="3"/>
        <v>1.0606040999999993E-3</v>
      </c>
      <c r="BD7" s="27">
        <v>0</v>
      </c>
      <c r="BE7" s="80">
        <v>0</v>
      </c>
      <c r="BF7" s="27">
        <v>5.4393953058999998</v>
      </c>
      <c r="BG7" s="27">
        <v>0.1057735553</v>
      </c>
      <c r="BH7" s="27">
        <v>1.08937E-5</v>
      </c>
      <c r="BI7" s="27">
        <v>0</v>
      </c>
      <c r="BJ7" s="27">
        <v>6.7423974989</v>
      </c>
      <c r="BK7" s="27">
        <v>0.41283816249999999</v>
      </c>
      <c r="BL7" s="27">
        <v>1.0056490949000001</v>
      </c>
      <c r="BM7" s="27">
        <v>1.20921081E-2</v>
      </c>
      <c r="BN7" s="27">
        <v>0.37976124880000001</v>
      </c>
      <c r="BO7" s="27">
        <v>5.4002288000000002E-3</v>
      </c>
      <c r="BP7" s="27">
        <v>4.2541230000000001E-4</v>
      </c>
      <c r="BQ7" s="27">
        <v>5.4640446999999996E-6</v>
      </c>
      <c r="BR7" s="27">
        <v>0</v>
      </c>
      <c r="BS7" s="92">
        <v>0</v>
      </c>
      <c r="BT7" s="80" t="s">
        <v>136</v>
      </c>
      <c r="BU7" s="80">
        <v>0</v>
      </c>
      <c r="BV7" s="27">
        <v>7.0905283999999997E-3</v>
      </c>
      <c r="BW7" s="27">
        <v>1.2295230000000001E-4</v>
      </c>
      <c r="BX7" s="27">
        <v>0.3699088384</v>
      </c>
      <c r="BY7" s="27">
        <v>3.6616728000000002E-3</v>
      </c>
      <c r="BZ7" s="80" t="s">
        <v>136</v>
      </c>
      <c r="CA7" s="80">
        <v>0</v>
      </c>
      <c r="CB7" s="80" t="s">
        <v>136</v>
      </c>
      <c r="CC7" s="80">
        <v>0</v>
      </c>
      <c r="CD7" s="27">
        <v>1.5175150000000001E-3</v>
      </c>
      <c r="CE7" s="27">
        <v>3.7570300000000002E-5</v>
      </c>
      <c r="CF7" s="27">
        <v>1.1774353499999999E-2</v>
      </c>
      <c r="CG7" s="27">
        <v>1.246191E-4</v>
      </c>
      <c r="CH7" s="80" t="s">
        <v>136</v>
      </c>
      <c r="CI7" s="80">
        <v>0</v>
      </c>
      <c r="CJ7" s="80" t="s">
        <v>136</v>
      </c>
      <c r="CK7" s="80">
        <v>0</v>
      </c>
      <c r="CL7" s="80" t="s">
        <v>136</v>
      </c>
      <c r="CM7" s="80">
        <v>0</v>
      </c>
      <c r="CN7" s="80" t="s">
        <v>136</v>
      </c>
      <c r="CO7" s="80">
        <v>0</v>
      </c>
      <c r="CP7" s="27">
        <v>0</v>
      </c>
      <c r="CQ7" s="27">
        <v>0</v>
      </c>
      <c r="CR7" s="27">
        <v>5.5652559999999998E-4</v>
      </c>
      <c r="CS7" s="27">
        <v>6.939708E-6</v>
      </c>
      <c r="CT7" s="27">
        <v>1.9504646E-3</v>
      </c>
      <c r="CU7" s="27">
        <v>5.6506299999999998E-5</v>
      </c>
      <c r="CV7" s="27">
        <v>0.34377243940000002</v>
      </c>
      <c r="CW7" s="27">
        <v>9.9765250999999996E-3</v>
      </c>
      <c r="CX7" s="80" t="s">
        <v>136</v>
      </c>
      <c r="CY7" s="80">
        <v>0</v>
      </c>
      <c r="CZ7" s="80" t="s">
        <v>136</v>
      </c>
      <c r="DA7" s="80">
        <v>0</v>
      </c>
      <c r="DB7" s="27">
        <v>0.18225926849999999</v>
      </c>
      <c r="DC7" s="27">
        <v>6.8344779999999997E-3</v>
      </c>
      <c r="DD7" s="27">
        <v>1.1151648181</v>
      </c>
      <c r="DE7" s="27">
        <v>7.2804564700000005E-2</v>
      </c>
      <c r="DF7" s="27">
        <v>0.12582653190000001</v>
      </c>
      <c r="DG7" s="27">
        <v>1.3685758399999999E-2</v>
      </c>
      <c r="DH7" s="27">
        <v>5.3135687739000002</v>
      </c>
      <c r="DI7" s="27">
        <v>9.2087796900000005E-2</v>
      </c>
      <c r="DJ7" s="95">
        <v>4.4190035999999999E-6</v>
      </c>
      <c r="DK7" s="96">
        <v>7.8101768000000007E-6</v>
      </c>
      <c r="DL7" s="96">
        <v>9.8658378000000004E-6</v>
      </c>
      <c r="DM7" s="96">
        <v>1.08937E-5</v>
      </c>
      <c r="DN7" s="96">
        <v>1.08937E-5</v>
      </c>
      <c r="DO7" s="96">
        <v>1.08937E-5</v>
      </c>
      <c r="DP7" s="96">
        <v>1.08937E-5</v>
      </c>
      <c r="DQ7" s="96">
        <v>1.08937E-5</v>
      </c>
      <c r="DR7" s="96">
        <v>1.08937E-5</v>
      </c>
      <c r="DS7" s="97">
        <v>1.08937E-5</v>
      </c>
      <c r="DT7" s="93">
        <v>0.15902194</v>
      </c>
      <c r="DU7" s="80">
        <v>2.4051786999999998E-3</v>
      </c>
      <c r="DV7" s="80">
        <v>5.3117879999999996E-3</v>
      </c>
      <c r="DW7" s="80">
        <v>2.007764E-4</v>
      </c>
      <c r="DX7" s="80">
        <v>8.6048400000000001E-4</v>
      </c>
      <c r="DY7" s="80">
        <v>4.5608600000000002E-5</v>
      </c>
      <c r="DZ7" s="80">
        <v>1.803206E-4</v>
      </c>
      <c r="EA7" s="80">
        <v>1.14306E-5</v>
      </c>
      <c r="EB7" s="80">
        <v>0</v>
      </c>
      <c r="EC7" s="80">
        <v>0</v>
      </c>
      <c r="ED7" s="80">
        <v>0</v>
      </c>
      <c r="EE7" s="80">
        <v>0</v>
      </c>
      <c r="EF7" s="80">
        <v>0</v>
      </c>
      <c r="EG7" s="80">
        <v>0</v>
      </c>
      <c r="EH7" s="80">
        <v>0</v>
      </c>
      <c r="EI7" s="80">
        <v>0</v>
      </c>
      <c r="EJ7" s="80">
        <v>0</v>
      </c>
      <c r="EK7" s="80">
        <v>0</v>
      </c>
      <c r="EL7" s="80">
        <v>0</v>
      </c>
      <c r="EM7" s="94">
        <v>0</v>
      </c>
      <c r="EN7" s="80"/>
      <c r="EO7" s="80"/>
      <c r="EP7" s="80"/>
      <c r="EQ7" s="80"/>
      <c r="ER7" s="80"/>
      <c r="ES7" s="80"/>
      <c r="ET7" s="80"/>
      <c r="EU7" s="80"/>
      <c r="EV7" s="80"/>
      <c r="EW7" s="94"/>
    </row>
    <row r="8" spans="1:153" x14ac:dyDescent="0.2">
      <c r="A8" s="79">
        <v>300</v>
      </c>
      <c r="B8" s="27">
        <v>142292</v>
      </c>
      <c r="C8" s="79">
        <v>245.5450275</v>
      </c>
      <c r="D8" s="27">
        <v>248.86385594999999</v>
      </c>
      <c r="E8" s="27">
        <v>0.47189470220000002</v>
      </c>
      <c r="F8" s="27">
        <v>2.3757206999999998E-3</v>
      </c>
      <c r="G8" s="79">
        <v>9.3088269999999998E-4</v>
      </c>
      <c r="H8" s="27">
        <v>1.03573E-5</v>
      </c>
      <c r="I8" s="27">
        <v>21.139105593</v>
      </c>
      <c r="J8" s="27">
        <v>0.16378030260000001</v>
      </c>
      <c r="K8" s="27">
        <f t="shared" si="4"/>
        <v>129.06988970845873</v>
      </c>
      <c r="L8" s="27">
        <v>7.6452370494000004</v>
      </c>
      <c r="M8" s="27">
        <v>5.6638805200000003E-2</v>
      </c>
      <c r="N8" s="27">
        <v>0.78685942789999996</v>
      </c>
      <c r="O8" s="27">
        <v>7.4442505999999997E-3</v>
      </c>
      <c r="P8" s="80" t="s">
        <v>136</v>
      </c>
      <c r="Q8" s="80">
        <v>0</v>
      </c>
      <c r="R8" s="27">
        <v>3.0770477800000001E-2</v>
      </c>
      <c r="S8" s="27">
        <v>2.8373070000000002E-4</v>
      </c>
      <c r="T8" s="80" t="s">
        <v>136</v>
      </c>
      <c r="U8" s="80">
        <v>0</v>
      </c>
      <c r="V8" s="80" t="s">
        <v>136</v>
      </c>
      <c r="W8" s="80">
        <v>0</v>
      </c>
      <c r="X8" s="27">
        <v>1.1275999000000001E-3</v>
      </c>
      <c r="Y8" s="27">
        <v>1.45627E-5</v>
      </c>
      <c r="Z8" s="27">
        <v>0.77983287990000005</v>
      </c>
      <c r="AA8" s="27">
        <v>2.13708474E-2</v>
      </c>
      <c r="AB8" s="80" t="s">
        <v>136</v>
      </c>
      <c r="AC8" s="80">
        <v>0</v>
      </c>
      <c r="AD8" s="27">
        <v>0</v>
      </c>
      <c r="AE8" s="27">
        <v>0</v>
      </c>
      <c r="AF8" s="80" t="s">
        <v>136</v>
      </c>
      <c r="AG8" s="80">
        <v>0</v>
      </c>
      <c r="AH8" s="80" t="s">
        <v>136</v>
      </c>
      <c r="AI8" s="80">
        <v>0</v>
      </c>
      <c r="AJ8" s="27">
        <f t="shared" si="0"/>
        <v>0</v>
      </c>
      <c r="AK8" s="27">
        <f t="shared" si="1"/>
        <v>0</v>
      </c>
      <c r="AL8" s="27">
        <v>8.4725108415000001</v>
      </c>
      <c r="AM8" s="27">
        <v>0.15428903020000001</v>
      </c>
      <c r="AN8" s="80" t="s">
        <v>136</v>
      </c>
      <c r="AO8" s="80">
        <v>0</v>
      </c>
      <c r="AP8" s="80" t="s">
        <v>136</v>
      </c>
      <c r="AQ8" s="80">
        <v>0</v>
      </c>
      <c r="AR8" s="80" t="s">
        <v>136</v>
      </c>
      <c r="AS8" s="80">
        <v>0</v>
      </c>
      <c r="AT8" s="27">
        <v>2.9882461724999998</v>
      </c>
      <c r="AU8" s="27">
        <v>0.1738069679</v>
      </c>
      <c r="AV8" s="27">
        <v>1.2912138580999999</v>
      </c>
      <c r="AW8" s="27">
        <v>2.29029665E-2</v>
      </c>
      <c r="AX8" s="27">
        <v>0.72197443350000001</v>
      </c>
      <c r="AY8" s="27">
        <v>1.48097664E-2</v>
      </c>
      <c r="AZ8" s="27">
        <v>0.34584174429999998</v>
      </c>
      <c r="BA8" s="27">
        <v>5.5262039000000002E-3</v>
      </c>
      <c r="BB8" s="80">
        <f t="shared" si="2"/>
        <v>0.22339768029999996</v>
      </c>
      <c r="BC8" s="80">
        <f t="shared" si="3"/>
        <v>2.5669962000000011E-3</v>
      </c>
      <c r="BD8" s="27">
        <v>0</v>
      </c>
      <c r="BE8" s="80">
        <v>0</v>
      </c>
      <c r="BF8" s="27">
        <v>10.503718348</v>
      </c>
      <c r="BG8" s="27">
        <v>0.17794233070000001</v>
      </c>
      <c r="BH8" s="27">
        <v>2.55231E-5</v>
      </c>
      <c r="BI8" s="27">
        <v>0</v>
      </c>
      <c r="BJ8" s="27">
        <v>10.662044612000001</v>
      </c>
      <c r="BK8" s="27">
        <v>0.59281420060000001</v>
      </c>
      <c r="BL8" s="27">
        <v>2.2335028608999998</v>
      </c>
      <c r="BM8" s="27">
        <v>2.2721819000000001E-2</v>
      </c>
      <c r="BN8" s="27">
        <v>0.77384805860000005</v>
      </c>
      <c r="BO8" s="27">
        <v>8.8119948000000003E-3</v>
      </c>
      <c r="BP8" s="27">
        <v>1.7534734000000001E-3</v>
      </c>
      <c r="BQ8" s="27">
        <v>3.87469E-5</v>
      </c>
      <c r="BR8" s="27">
        <v>0</v>
      </c>
      <c r="BS8" s="92">
        <v>0</v>
      </c>
      <c r="BT8" s="80" t="s">
        <v>136</v>
      </c>
      <c r="BU8" s="80">
        <v>0</v>
      </c>
      <c r="BV8" s="27">
        <v>1.4613997300000001E-2</v>
      </c>
      <c r="BW8" s="27">
        <v>2.3502970000000001E-4</v>
      </c>
      <c r="BX8" s="27">
        <v>0.77224543059999995</v>
      </c>
      <c r="BY8" s="27">
        <v>7.2092209000000004E-3</v>
      </c>
      <c r="BZ8" s="80" t="s">
        <v>136</v>
      </c>
      <c r="CA8" s="80">
        <v>0</v>
      </c>
      <c r="CB8" s="80" t="s">
        <v>136</v>
      </c>
      <c r="CC8" s="80">
        <v>0</v>
      </c>
      <c r="CD8" s="27">
        <v>1.7868491999999999E-3</v>
      </c>
      <c r="CE8" s="27">
        <v>4.8047999999999998E-5</v>
      </c>
      <c r="CF8" s="27">
        <v>2.8983628599999998E-2</v>
      </c>
      <c r="CG8" s="27">
        <v>2.3568269999999999E-4</v>
      </c>
      <c r="CH8" s="80" t="s">
        <v>136</v>
      </c>
      <c r="CI8" s="80">
        <v>0</v>
      </c>
      <c r="CJ8" s="80" t="s">
        <v>136</v>
      </c>
      <c r="CK8" s="80">
        <v>0</v>
      </c>
      <c r="CL8" s="80" t="s">
        <v>136</v>
      </c>
      <c r="CM8" s="80">
        <v>0</v>
      </c>
      <c r="CN8" s="80" t="s">
        <v>136</v>
      </c>
      <c r="CO8" s="80">
        <v>0</v>
      </c>
      <c r="CP8" s="27">
        <v>1.979262E-4</v>
      </c>
      <c r="CQ8" s="27">
        <v>4.5789229999999999E-6</v>
      </c>
      <c r="CR8" s="27">
        <v>9.2967379999999995E-4</v>
      </c>
      <c r="CS8" s="27">
        <v>9.9837352999999995E-6</v>
      </c>
      <c r="CT8" s="27">
        <v>7.2528165000000002E-3</v>
      </c>
      <c r="CU8" s="27">
        <v>1.575526E-4</v>
      </c>
      <c r="CV8" s="27">
        <v>0.77258006339999996</v>
      </c>
      <c r="CW8" s="27">
        <v>2.1213294800000001E-2</v>
      </c>
      <c r="CX8" s="80" t="s">
        <v>136</v>
      </c>
      <c r="CY8" s="80">
        <v>0</v>
      </c>
      <c r="CZ8" s="80" t="s">
        <v>136</v>
      </c>
      <c r="DA8" s="80">
        <v>0</v>
      </c>
      <c r="DB8" s="27">
        <v>0.44884386120000003</v>
      </c>
      <c r="DC8" s="27">
        <v>1.53115835E-2</v>
      </c>
      <c r="DD8" s="27">
        <v>2.5394023112999999</v>
      </c>
      <c r="DE8" s="27">
        <v>0.15849538439999999</v>
      </c>
      <c r="DF8" s="27">
        <v>0.29766933130000001</v>
      </c>
      <c r="DG8" s="27">
        <v>2.88152954E-2</v>
      </c>
      <c r="DH8" s="27">
        <v>10.206049016</v>
      </c>
      <c r="DI8" s="27">
        <v>0.14912703529999999</v>
      </c>
      <c r="DJ8" s="95">
        <v>1.03573E-5</v>
      </c>
      <c r="DK8" s="96">
        <v>1.9927100000000001E-5</v>
      </c>
      <c r="DL8" s="96">
        <v>2.3947999999999998E-5</v>
      </c>
      <c r="DM8" s="96">
        <v>2.55231E-5</v>
      </c>
      <c r="DN8" s="96">
        <v>2.55231E-5</v>
      </c>
      <c r="DO8" s="96">
        <v>2.55231E-5</v>
      </c>
      <c r="DP8" s="96">
        <v>2.55231E-5</v>
      </c>
      <c r="DQ8" s="96">
        <v>2.55231E-5</v>
      </c>
      <c r="DR8" s="96">
        <v>2.55231E-5</v>
      </c>
      <c r="DS8" s="97">
        <v>2.55231E-5</v>
      </c>
      <c r="DT8" s="93">
        <v>1.5631831963</v>
      </c>
      <c r="DU8" s="80">
        <v>1.5809793199999998E-2</v>
      </c>
      <c r="DV8" s="80">
        <v>4.5130945999999998E-2</v>
      </c>
      <c r="DW8" s="80">
        <v>7.8083600000000003E-4</v>
      </c>
      <c r="DX8" s="80">
        <v>3.1166737000000002E-3</v>
      </c>
      <c r="DY8" s="80">
        <v>1.2086719999999999E-4</v>
      </c>
      <c r="DZ8" s="80">
        <v>9.042217E-4</v>
      </c>
      <c r="EA8" s="80">
        <v>3.7401999999999999E-5</v>
      </c>
      <c r="EB8" s="80">
        <v>1.7854740000000001E-4</v>
      </c>
      <c r="EC8" s="80">
        <v>7.9525919000000006E-6</v>
      </c>
      <c r="ED8" s="80">
        <v>1.122877E-4</v>
      </c>
      <c r="EE8" s="80">
        <v>4.4882045000000003E-6</v>
      </c>
      <c r="EF8" s="80">
        <v>6.9217300000000006E-5</v>
      </c>
      <c r="EG8" s="80">
        <v>2.964809E-6</v>
      </c>
      <c r="EH8" s="80">
        <v>4.6144799999999999E-5</v>
      </c>
      <c r="EI8" s="80">
        <v>1.9765392999999999E-6</v>
      </c>
      <c r="EJ8" s="80">
        <v>2.30724E-5</v>
      </c>
      <c r="EK8" s="80">
        <v>9.8826967000000002E-7</v>
      </c>
      <c r="EL8" s="80">
        <v>0</v>
      </c>
      <c r="EM8" s="94">
        <v>0</v>
      </c>
      <c r="EN8" s="80"/>
      <c r="EO8" s="80"/>
      <c r="EP8" s="80"/>
      <c r="EQ8" s="80"/>
      <c r="ER8" s="80"/>
      <c r="ES8" s="80"/>
      <c r="ET8" s="80"/>
      <c r="EU8" s="80"/>
      <c r="EV8" s="80"/>
      <c r="EW8" s="94"/>
    </row>
    <row r="9" spans="1:153" x14ac:dyDescent="0.2">
      <c r="A9" s="79">
        <v>400</v>
      </c>
      <c r="B9" s="27">
        <v>128581</v>
      </c>
      <c r="C9" s="79">
        <v>320.97896011</v>
      </c>
      <c r="D9" s="27">
        <v>349.52035983000002</v>
      </c>
      <c r="E9" s="27">
        <v>1.185144843</v>
      </c>
      <c r="F9" s="27">
        <v>4.6543784E-3</v>
      </c>
      <c r="G9" s="79">
        <v>1.8674424999999999E-3</v>
      </c>
      <c r="H9" s="27">
        <v>1.3574700000000001E-5</v>
      </c>
      <c r="I9" s="27">
        <v>31.489643860000001</v>
      </c>
      <c r="J9" s="27">
        <v>0.2328592343</v>
      </c>
      <c r="K9" s="27">
        <f t="shared" si="4"/>
        <v>135.2303848059162</v>
      </c>
      <c r="L9" s="27">
        <v>11.501139758000001</v>
      </c>
      <c r="M9" s="27">
        <v>8.1181852700000001E-2</v>
      </c>
      <c r="N9" s="27">
        <v>1.2510812152999999</v>
      </c>
      <c r="O9" s="27">
        <v>1.1715813E-2</v>
      </c>
      <c r="P9" s="80" t="s">
        <v>136</v>
      </c>
      <c r="Q9" s="80">
        <v>0</v>
      </c>
      <c r="R9" s="27">
        <v>5.2461037299999999E-2</v>
      </c>
      <c r="S9" s="27">
        <v>4.2245660000000002E-4</v>
      </c>
      <c r="T9" s="80" t="s">
        <v>136</v>
      </c>
      <c r="U9" s="80">
        <v>0</v>
      </c>
      <c r="V9" s="80" t="s">
        <v>136</v>
      </c>
      <c r="W9" s="80">
        <v>0</v>
      </c>
      <c r="X9" s="27">
        <v>1.9069152E-3</v>
      </c>
      <c r="Y9" s="27">
        <v>2.6145699999999999E-5</v>
      </c>
      <c r="Z9" s="27">
        <v>1.2912974714000001</v>
      </c>
      <c r="AA9" s="27">
        <v>3.4289289100000002E-2</v>
      </c>
      <c r="AB9" s="80" t="s">
        <v>136</v>
      </c>
      <c r="AC9" s="80">
        <v>0</v>
      </c>
      <c r="AD9" s="27">
        <v>0</v>
      </c>
      <c r="AE9" s="27">
        <v>0</v>
      </c>
      <c r="AF9" s="80" t="s">
        <v>136</v>
      </c>
      <c r="AG9" s="80">
        <v>0</v>
      </c>
      <c r="AH9" s="80" t="s">
        <v>136</v>
      </c>
      <c r="AI9" s="80">
        <v>0</v>
      </c>
      <c r="AJ9" s="27">
        <f t="shared" si="0"/>
        <v>0</v>
      </c>
      <c r="AK9" s="27">
        <f t="shared" si="1"/>
        <v>0</v>
      </c>
      <c r="AL9" s="27">
        <v>12.764311454</v>
      </c>
      <c r="AM9" s="27">
        <v>0.23435708129999999</v>
      </c>
      <c r="AN9" s="80" t="s">
        <v>136</v>
      </c>
      <c r="AO9" s="80">
        <v>0</v>
      </c>
      <c r="AP9" s="80" t="s">
        <v>136</v>
      </c>
      <c r="AQ9" s="80">
        <v>0</v>
      </c>
      <c r="AR9" s="80" t="s">
        <v>136</v>
      </c>
      <c r="AS9" s="80">
        <v>0</v>
      </c>
      <c r="AT9" s="27">
        <v>5.1974427423999998</v>
      </c>
      <c r="AU9" s="27">
        <v>0.28451783479999998</v>
      </c>
      <c r="AV9" s="27">
        <v>2.3296213802999999</v>
      </c>
      <c r="AW9" s="27">
        <v>3.7368206199999997E-2</v>
      </c>
      <c r="AX9" s="27">
        <v>1.2428984818</v>
      </c>
      <c r="AY9" s="27">
        <v>2.3594186100000001E-2</v>
      </c>
      <c r="AZ9" s="27">
        <v>0.61557730889999995</v>
      </c>
      <c r="BA9" s="27">
        <v>9.2424657000000007E-3</v>
      </c>
      <c r="BB9" s="80">
        <f t="shared" si="2"/>
        <v>0.47114558959999986</v>
      </c>
      <c r="BC9" s="80">
        <f t="shared" si="3"/>
        <v>4.5315543999999916E-3</v>
      </c>
      <c r="BD9" s="27">
        <v>0</v>
      </c>
      <c r="BE9" s="80">
        <v>0</v>
      </c>
      <c r="BF9" s="27">
        <v>15.214142603999999</v>
      </c>
      <c r="BG9" s="27">
        <v>0.247348137</v>
      </c>
      <c r="BH9" s="27">
        <v>3.3795699999999999E-5</v>
      </c>
      <c r="BI9" s="27">
        <v>0</v>
      </c>
      <c r="BJ9" s="27">
        <v>14.786122738</v>
      </c>
      <c r="BK9" s="27">
        <v>0.77522050909999995</v>
      </c>
      <c r="BL9" s="27">
        <v>3.9086921110000001</v>
      </c>
      <c r="BM9" s="27">
        <v>3.6215525700000001E-2</v>
      </c>
      <c r="BN9" s="27">
        <v>1.2780287284</v>
      </c>
      <c r="BO9" s="27">
        <v>1.2745253E-2</v>
      </c>
      <c r="BP9" s="27">
        <v>1.9403440999999999E-3</v>
      </c>
      <c r="BQ9" s="27">
        <v>3.7930199999999998E-5</v>
      </c>
      <c r="BR9" s="27">
        <v>0</v>
      </c>
      <c r="BS9" s="92">
        <v>0</v>
      </c>
      <c r="BT9" s="80" t="s">
        <v>136</v>
      </c>
      <c r="BU9" s="80">
        <v>0</v>
      </c>
      <c r="BV9" s="27">
        <v>2.1051447500000001E-2</v>
      </c>
      <c r="BW9" s="27">
        <v>3.6824820000000002E-4</v>
      </c>
      <c r="BX9" s="27">
        <v>1.2300297678000001</v>
      </c>
      <c r="BY9" s="27">
        <v>1.1347564799999999E-2</v>
      </c>
      <c r="BZ9" s="80" t="s">
        <v>136</v>
      </c>
      <c r="CA9" s="80">
        <v>0</v>
      </c>
      <c r="CB9" s="80" t="s">
        <v>136</v>
      </c>
      <c r="CC9" s="80">
        <v>0</v>
      </c>
      <c r="CD9" s="27">
        <v>3.5540787999999999E-3</v>
      </c>
      <c r="CE9" s="27">
        <v>6.3148100000000006E-5</v>
      </c>
      <c r="CF9" s="27">
        <v>4.8906958399999999E-2</v>
      </c>
      <c r="CG9" s="27">
        <v>3.5930849999999998E-4</v>
      </c>
      <c r="CH9" s="80" t="s">
        <v>136</v>
      </c>
      <c r="CI9" s="80">
        <v>0</v>
      </c>
      <c r="CJ9" s="80" t="s">
        <v>136</v>
      </c>
      <c r="CK9" s="80">
        <v>0</v>
      </c>
      <c r="CL9" s="80" t="s">
        <v>136</v>
      </c>
      <c r="CM9" s="80">
        <v>0</v>
      </c>
      <c r="CN9" s="80" t="s">
        <v>136</v>
      </c>
      <c r="CO9" s="80">
        <v>0</v>
      </c>
      <c r="CP9" s="27">
        <v>7.7602970000000004E-4</v>
      </c>
      <c r="CQ9" s="27">
        <v>1.1113300000000001E-5</v>
      </c>
      <c r="CR9" s="27">
        <v>1.1308855E-3</v>
      </c>
      <c r="CS9" s="27">
        <v>1.50324E-5</v>
      </c>
      <c r="CT9" s="27">
        <v>1.5772617400000001E-2</v>
      </c>
      <c r="CU9" s="27">
        <v>2.9802460000000002E-4</v>
      </c>
      <c r="CV9" s="27">
        <v>1.2755248539999999</v>
      </c>
      <c r="CW9" s="27">
        <v>3.39912645E-2</v>
      </c>
      <c r="CX9" s="80" t="s">
        <v>136</v>
      </c>
      <c r="CY9" s="80">
        <v>0</v>
      </c>
      <c r="CZ9" s="80" t="s">
        <v>136</v>
      </c>
      <c r="DA9" s="80">
        <v>0</v>
      </c>
      <c r="DB9" s="27">
        <v>0.83859235109999997</v>
      </c>
      <c r="DC9" s="27">
        <v>2.6802261899999999E-2</v>
      </c>
      <c r="DD9" s="27">
        <v>4.3588503913999999</v>
      </c>
      <c r="DE9" s="27">
        <v>0.25771557290000002</v>
      </c>
      <c r="DF9" s="27">
        <v>0.51952759790000003</v>
      </c>
      <c r="DG9" s="27">
        <v>4.6559802999999997E-2</v>
      </c>
      <c r="DH9" s="27">
        <v>14.694615005999999</v>
      </c>
      <c r="DI9" s="27">
        <v>0.20078833400000001</v>
      </c>
      <c r="DJ9" s="95">
        <v>1.3574700000000001E-5</v>
      </c>
      <c r="DK9" s="96">
        <v>2.6514300000000001E-5</v>
      </c>
      <c r="DL9" s="96">
        <v>3.2525399999999999E-5</v>
      </c>
      <c r="DM9" s="96">
        <v>3.3795699999999999E-5</v>
      </c>
      <c r="DN9" s="96">
        <v>3.3795699999999999E-5</v>
      </c>
      <c r="DO9" s="96">
        <v>3.3795699999999999E-5</v>
      </c>
      <c r="DP9" s="96">
        <v>3.3795699999999999E-5</v>
      </c>
      <c r="DQ9" s="96">
        <v>3.3795699999999999E-5</v>
      </c>
      <c r="DR9" s="96">
        <v>3.3795699999999999E-5</v>
      </c>
      <c r="DS9" s="97">
        <v>3.3795699999999999E-5</v>
      </c>
      <c r="DT9" s="93">
        <v>4.2495846239999997</v>
      </c>
      <c r="DU9" s="80">
        <v>3.8004320600000002E-2</v>
      </c>
      <c r="DV9" s="80">
        <v>0.31738422469999999</v>
      </c>
      <c r="DW9" s="80">
        <v>3.6225035000000002E-3</v>
      </c>
      <c r="DX9" s="80">
        <v>1.63354881E-2</v>
      </c>
      <c r="DY9" s="80">
        <v>3.2049729999999998E-4</v>
      </c>
      <c r="DZ9" s="80">
        <v>2.0578191999999999E-3</v>
      </c>
      <c r="EA9" s="80">
        <v>7.3709300000000003E-5</v>
      </c>
      <c r="EB9" s="80">
        <v>5.3500919999999999E-4</v>
      </c>
      <c r="EC9" s="80">
        <v>2.65232E-5</v>
      </c>
      <c r="ED9" s="80">
        <v>3.7005440000000001E-4</v>
      </c>
      <c r="EE9" s="80">
        <v>1.8344600000000001E-5</v>
      </c>
      <c r="EF9" s="80">
        <v>2.8179209999999998E-4</v>
      </c>
      <c r="EG9" s="80">
        <v>1.39916E-5</v>
      </c>
      <c r="EH9" s="80">
        <v>2.3228149999999999E-4</v>
      </c>
      <c r="EI9" s="80">
        <v>1.13912E-5</v>
      </c>
      <c r="EJ9" s="80">
        <v>1.82771E-4</v>
      </c>
      <c r="EK9" s="80">
        <v>8.7907366000000002E-6</v>
      </c>
      <c r="EL9" s="80">
        <v>1.3912869999999999E-4</v>
      </c>
      <c r="EM9" s="94">
        <v>6.6061839999999999E-6</v>
      </c>
      <c r="EN9" s="80"/>
      <c r="EO9" s="80"/>
      <c r="EP9" s="80"/>
      <c r="EQ9" s="80"/>
      <c r="ER9" s="80"/>
      <c r="ES9" s="80"/>
      <c r="ET9" s="80"/>
      <c r="EU9" s="80"/>
      <c r="EV9" s="80"/>
      <c r="EW9" s="94"/>
    </row>
    <row r="10" spans="1:153" x14ac:dyDescent="0.2">
      <c r="A10" s="79">
        <v>500</v>
      </c>
      <c r="B10" s="27">
        <v>120044</v>
      </c>
      <c r="C10" s="79">
        <v>393.57660733</v>
      </c>
      <c r="D10" s="27">
        <v>449.46035351</v>
      </c>
      <c r="E10" s="27">
        <v>2.1612004389999999</v>
      </c>
      <c r="F10" s="27">
        <v>7.1978881E-3</v>
      </c>
      <c r="G10" s="79">
        <v>3.6999852999999999E-3</v>
      </c>
      <c r="H10" s="27">
        <v>2.0622400000000001E-5</v>
      </c>
      <c r="I10" s="27">
        <v>41.278062998999999</v>
      </c>
      <c r="J10" s="27">
        <v>0.29580311110000002</v>
      </c>
      <c r="K10" s="27">
        <f t="shared" si="4"/>
        <v>139.54573650527098</v>
      </c>
      <c r="L10" s="27">
        <v>15.256886186999999</v>
      </c>
      <c r="M10" s="27">
        <v>0.1043971803</v>
      </c>
      <c r="N10" s="27">
        <v>1.7601194861</v>
      </c>
      <c r="O10" s="27">
        <v>1.6248077E-2</v>
      </c>
      <c r="P10" s="80" t="s">
        <v>136</v>
      </c>
      <c r="Q10" s="80">
        <v>0</v>
      </c>
      <c r="R10" s="27">
        <v>8.9740504700000001E-2</v>
      </c>
      <c r="S10" s="27">
        <v>6.6305029999999998E-4</v>
      </c>
      <c r="T10" s="80" t="s">
        <v>136</v>
      </c>
      <c r="U10" s="80">
        <v>0</v>
      </c>
      <c r="V10" s="80" t="s">
        <v>136</v>
      </c>
      <c r="W10" s="80">
        <v>0</v>
      </c>
      <c r="X10" s="27">
        <v>3.204489E-3</v>
      </c>
      <c r="Y10" s="27">
        <v>8.1423500000000004E-5</v>
      </c>
      <c r="Z10" s="27">
        <v>1.8798211878</v>
      </c>
      <c r="AA10" s="27">
        <v>4.88477628E-2</v>
      </c>
      <c r="AB10" s="80" t="s">
        <v>136</v>
      </c>
      <c r="AC10" s="80">
        <v>0</v>
      </c>
      <c r="AD10" s="27">
        <v>0</v>
      </c>
      <c r="AE10" s="27">
        <v>0</v>
      </c>
      <c r="AF10" s="80" t="s">
        <v>136</v>
      </c>
      <c r="AG10" s="80">
        <v>0</v>
      </c>
      <c r="AH10" s="80" t="s">
        <v>136</v>
      </c>
      <c r="AI10" s="80">
        <v>0</v>
      </c>
      <c r="AJ10" s="27">
        <f t="shared" si="0"/>
        <v>0</v>
      </c>
      <c r="AK10" s="27">
        <f t="shared" si="1"/>
        <v>0</v>
      </c>
      <c r="AL10" s="27">
        <v>17.498003830999998</v>
      </c>
      <c r="AM10" s="27">
        <v>0.31861705559999998</v>
      </c>
      <c r="AN10" s="80" t="s">
        <v>136</v>
      </c>
      <c r="AO10" s="80">
        <v>0</v>
      </c>
      <c r="AP10" s="80" t="s">
        <v>136</v>
      </c>
      <c r="AQ10" s="80">
        <v>0</v>
      </c>
      <c r="AR10" s="80" t="s">
        <v>136</v>
      </c>
      <c r="AS10" s="80">
        <v>0</v>
      </c>
      <c r="AT10" s="27">
        <v>7.6731454068999998</v>
      </c>
      <c r="AU10" s="27">
        <v>0.39835407519999999</v>
      </c>
      <c r="AV10" s="27">
        <v>3.5364812900000002</v>
      </c>
      <c r="AW10" s="27">
        <v>5.2740607000000002E-2</v>
      </c>
      <c r="AX10" s="27">
        <v>1.8109221714999999</v>
      </c>
      <c r="AY10" s="27">
        <v>3.2669051800000001E-2</v>
      </c>
      <c r="AZ10" s="27">
        <v>0.89805192759999997</v>
      </c>
      <c r="BA10" s="27">
        <v>1.29792031E-2</v>
      </c>
      <c r="BB10" s="80">
        <f t="shared" si="2"/>
        <v>0.82750719090000047</v>
      </c>
      <c r="BC10" s="80">
        <f t="shared" si="3"/>
        <v>7.0923520999999976E-3</v>
      </c>
      <c r="BD10" s="27">
        <v>0</v>
      </c>
      <c r="BE10" s="80">
        <v>0</v>
      </c>
      <c r="BF10" s="27">
        <v>20.009033551000002</v>
      </c>
      <c r="BG10" s="27">
        <v>0.31872111469999997</v>
      </c>
      <c r="BH10" s="27">
        <v>4.8472600000000001E-5</v>
      </c>
      <c r="BI10" s="27">
        <v>0</v>
      </c>
      <c r="BJ10" s="27">
        <v>19.100598151</v>
      </c>
      <c r="BK10" s="27">
        <v>0.95471668970000001</v>
      </c>
      <c r="BL10" s="27">
        <v>5.8569381988</v>
      </c>
      <c r="BM10" s="27">
        <v>5.1517040299999997E-2</v>
      </c>
      <c r="BN10" s="27">
        <v>1.8692335769999999</v>
      </c>
      <c r="BO10" s="27">
        <v>1.68608783E-2</v>
      </c>
      <c r="BP10" s="27">
        <v>3.9157484000000003E-3</v>
      </c>
      <c r="BQ10" s="27">
        <v>6.8416000000000004E-5</v>
      </c>
      <c r="BR10" s="27">
        <v>0</v>
      </c>
      <c r="BS10" s="92">
        <v>0</v>
      </c>
      <c r="BT10" s="80" t="s">
        <v>136</v>
      </c>
      <c r="BU10" s="80">
        <v>0</v>
      </c>
      <c r="BV10" s="27">
        <v>3.10782668E-2</v>
      </c>
      <c r="BW10" s="27">
        <v>5.2592649999999997E-4</v>
      </c>
      <c r="BX10" s="27">
        <v>1.7290412193</v>
      </c>
      <c r="BY10" s="27">
        <v>1.57221505E-2</v>
      </c>
      <c r="BZ10" s="80" t="s">
        <v>136</v>
      </c>
      <c r="CA10" s="80">
        <v>0</v>
      </c>
      <c r="CB10" s="80" t="s">
        <v>136</v>
      </c>
      <c r="CC10" s="80">
        <v>0</v>
      </c>
      <c r="CD10" s="27">
        <v>6.9494654999999999E-3</v>
      </c>
      <c r="CE10" s="27">
        <v>9.4545300000000004E-5</v>
      </c>
      <c r="CF10" s="27">
        <v>8.2791039199999999E-2</v>
      </c>
      <c r="CG10" s="27">
        <v>5.685051E-4</v>
      </c>
      <c r="CH10" s="80" t="s">
        <v>136</v>
      </c>
      <c r="CI10" s="80">
        <v>0</v>
      </c>
      <c r="CJ10" s="80" t="s">
        <v>136</v>
      </c>
      <c r="CK10" s="80">
        <v>0</v>
      </c>
      <c r="CL10" s="80" t="s">
        <v>136</v>
      </c>
      <c r="CM10" s="80">
        <v>0</v>
      </c>
      <c r="CN10" s="80" t="s">
        <v>136</v>
      </c>
      <c r="CO10" s="80">
        <v>0</v>
      </c>
      <c r="CP10" s="27">
        <v>9.9645820000000005E-4</v>
      </c>
      <c r="CQ10" s="27">
        <v>5.2465800000000002E-5</v>
      </c>
      <c r="CR10" s="27">
        <v>2.2080308E-3</v>
      </c>
      <c r="CS10" s="27">
        <v>2.8957699999999999E-5</v>
      </c>
      <c r="CT10" s="27">
        <v>2.9521401799999999E-2</v>
      </c>
      <c r="CU10" s="27">
        <v>5.1512810000000004E-4</v>
      </c>
      <c r="CV10" s="27">
        <v>1.8502997860999999</v>
      </c>
      <c r="CW10" s="27">
        <v>4.8332634700000002E-2</v>
      </c>
      <c r="CX10" s="80" t="s">
        <v>136</v>
      </c>
      <c r="CY10" s="80">
        <v>0</v>
      </c>
      <c r="CZ10" s="80" t="s">
        <v>136</v>
      </c>
      <c r="DA10" s="80">
        <v>0</v>
      </c>
      <c r="DB10" s="27">
        <v>1.3344839310000001</v>
      </c>
      <c r="DC10" s="27">
        <v>4.0294023399999997E-2</v>
      </c>
      <c r="DD10" s="27">
        <v>6.3386614759000004</v>
      </c>
      <c r="DE10" s="27">
        <v>0.3580600518</v>
      </c>
      <c r="DF10" s="27">
        <v>0.77752180309999996</v>
      </c>
      <c r="DG10" s="27">
        <v>6.7244191699999997E-2</v>
      </c>
      <c r="DH10" s="27">
        <v>19.231511747999999</v>
      </c>
      <c r="DI10" s="27">
        <v>0.25147692300000002</v>
      </c>
      <c r="DJ10" s="95">
        <v>2.0622400000000001E-5</v>
      </c>
      <c r="DK10" s="96">
        <v>3.9653300000000002E-5</v>
      </c>
      <c r="DL10" s="96">
        <v>4.7411499999999998E-5</v>
      </c>
      <c r="DM10" s="96">
        <v>4.8472600000000001E-5</v>
      </c>
      <c r="DN10" s="96">
        <v>4.8472600000000001E-5</v>
      </c>
      <c r="DO10" s="96">
        <v>4.8472600000000001E-5</v>
      </c>
      <c r="DP10" s="96">
        <v>4.8472600000000001E-5</v>
      </c>
      <c r="DQ10" s="96">
        <v>4.8472600000000001E-5</v>
      </c>
      <c r="DR10" s="96">
        <v>4.8472600000000001E-5</v>
      </c>
      <c r="DS10" s="97">
        <v>4.8472600000000001E-5</v>
      </c>
      <c r="DT10" s="93">
        <v>7.5744069816000001</v>
      </c>
      <c r="DU10" s="80">
        <v>6.3539643699999995E-2</v>
      </c>
      <c r="DV10" s="80">
        <v>0.94876025779999995</v>
      </c>
      <c r="DW10" s="80">
        <v>9.3816387000000001E-3</v>
      </c>
      <c r="DX10" s="80">
        <v>8.5437389899999994E-2</v>
      </c>
      <c r="DY10" s="80">
        <v>1.0880778000000001E-3</v>
      </c>
      <c r="DZ10" s="80">
        <v>7.3724931000000004E-3</v>
      </c>
      <c r="EA10" s="80">
        <v>1.623319E-4</v>
      </c>
      <c r="EB10" s="80">
        <v>1.3759885E-3</v>
      </c>
      <c r="EC10" s="80">
        <v>5.4484500000000003E-5</v>
      </c>
      <c r="ED10" s="80">
        <v>9.1466539999999997E-4</v>
      </c>
      <c r="EE10" s="80">
        <v>3.7793500000000003E-5</v>
      </c>
      <c r="EF10" s="80">
        <v>6.5129789999999999E-4</v>
      </c>
      <c r="EG10" s="80">
        <v>2.7453E-5</v>
      </c>
      <c r="EH10" s="80">
        <v>4.6491529999999998E-4</v>
      </c>
      <c r="EI10" s="80">
        <v>1.9947599999999999E-5</v>
      </c>
      <c r="EJ10" s="80">
        <v>3.1313400000000001E-4</v>
      </c>
      <c r="EK10" s="80">
        <v>1.37596E-5</v>
      </c>
      <c r="EL10" s="80">
        <v>1.9324629999999999E-4</v>
      </c>
      <c r="EM10" s="94">
        <v>8.9021474000000007E-6</v>
      </c>
      <c r="EN10" s="80"/>
      <c r="EO10" s="80"/>
      <c r="EP10" s="80"/>
      <c r="EQ10" s="80"/>
      <c r="ER10" s="80"/>
      <c r="ES10" s="80"/>
      <c r="ET10" s="80"/>
      <c r="EU10" s="80"/>
      <c r="EV10" s="80"/>
      <c r="EW10" s="94"/>
    </row>
    <row r="11" spans="1:153" x14ac:dyDescent="0.2">
      <c r="A11" s="79">
        <v>600</v>
      </c>
      <c r="B11" s="27">
        <v>111339</v>
      </c>
      <c r="C11" s="79">
        <v>463.6052904</v>
      </c>
      <c r="D11" s="27">
        <v>549.31201269999997</v>
      </c>
      <c r="E11" s="27">
        <v>3.4281615409000001</v>
      </c>
      <c r="F11" s="27">
        <v>1.00657566E-2</v>
      </c>
      <c r="G11" s="79">
        <v>6.0783835999999999E-3</v>
      </c>
      <c r="H11" s="27">
        <v>2.6377399999999999E-5</v>
      </c>
      <c r="I11" s="27">
        <v>50.503198503</v>
      </c>
      <c r="J11" s="27">
        <v>0.3542741888</v>
      </c>
      <c r="K11" s="27">
        <f t="shared" si="4"/>
        <v>142.55398812446592</v>
      </c>
      <c r="L11" s="27">
        <v>18.891498596999998</v>
      </c>
      <c r="M11" s="27">
        <v>0.1266706712</v>
      </c>
      <c r="N11" s="27">
        <v>2.3231712578999999</v>
      </c>
      <c r="O11" s="27">
        <v>2.1203294500000001E-2</v>
      </c>
      <c r="P11" s="80" t="s">
        <v>136</v>
      </c>
      <c r="Q11" s="80">
        <v>0</v>
      </c>
      <c r="R11" s="27">
        <v>0.13455297869999999</v>
      </c>
      <c r="S11" s="27">
        <v>8.9540639999999999E-4</v>
      </c>
      <c r="T11" s="80" t="s">
        <v>136</v>
      </c>
      <c r="U11" s="80">
        <v>0</v>
      </c>
      <c r="V11" s="80" t="s">
        <v>136</v>
      </c>
      <c r="W11" s="80">
        <v>0</v>
      </c>
      <c r="X11" s="27">
        <v>5.7832678000000002E-3</v>
      </c>
      <c r="Y11" s="27">
        <v>1.040309E-4</v>
      </c>
      <c r="Z11" s="27">
        <v>2.5175270502</v>
      </c>
      <c r="AA11" s="27">
        <v>6.4576814100000005E-2</v>
      </c>
      <c r="AB11" s="80" t="s">
        <v>136</v>
      </c>
      <c r="AC11" s="80">
        <v>0</v>
      </c>
      <c r="AD11" s="27">
        <v>0</v>
      </c>
      <c r="AE11" s="27">
        <v>0</v>
      </c>
      <c r="AF11" s="80" t="s">
        <v>136</v>
      </c>
      <c r="AG11" s="80">
        <v>0</v>
      </c>
      <c r="AH11" s="80" t="s">
        <v>136</v>
      </c>
      <c r="AI11" s="80">
        <v>0</v>
      </c>
      <c r="AJ11" s="27">
        <f t="shared" si="0"/>
        <v>0</v>
      </c>
      <c r="AK11" s="27">
        <f t="shared" si="1"/>
        <v>0</v>
      </c>
      <c r="AL11" s="27">
        <v>22.294947960999998</v>
      </c>
      <c r="AM11" s="27">
        <v>0.40171354860000003</v>
      </c>
      <c r="AN11" s="80" t="s">
        <v>136</v>
      </c>
      <c r="AO11" s="80">
        <v>0</v>
      </c>
      <c r="AP11" s="80" t="s">
        <v>136</v>
      </c>
      <c r="AQ11" s="80">
        <v>0</v>
      </c>
      <c r="AR11" s="80" t="s">
        <v>136</v>
      </c>
      <c r="AS11" s="80">
        <v>0</v>
      </c>
      <c r="AT11" s="27">
        <v>10.252969916</v>
      </c>
      <c r="AU11" s="27">
        <v>0.51049085029999997</v>
      </c>
      <c r="AV11" s="27">
        <v>4.8731629676999999</v>
      </c>
      <c r="AW11" s="27">
        <v>6.8539528700000005E-2</v>
      </c>
      <c r="AX11" s="27">
        <v>2.4326245312000001</v>
      </c>
      <c r="AY11" s="27">
        <v>4.2037899500000003E-2</v>
      </c>
      <c r="AZ11" s="27">
        <v>1.1903017767999999</v>
      </c>
      <c r="BA11" s="27">
        <v>1.65598806E-2</v>
      </c>
      <c r="BB11" s="80">
        <f t="shared" si="2"/>
        <v>1.2502366596999996</v>
      </c>
      <c r="BC11" s="80">
        <f t="shared" si="3"/>
        <v>9.9417486000000013E-3</v>
      </c>
      <c r="BD11" s="27">
        <v>0</v>
      </c>
      <c r="BE11" s="80">
        <v>0</v>
      </c>
      <c r="BF11" s="27">
        <v>24.652348014000001</v>
      </c>
      <c r="BG11" s="27">
        <v>0.38823581460000001</v>
      </c>
      <c r="BH11" s="27">
        <v>5.8453599999999999E-5</v>
      </c>
      <c r="BI11" s="27">
        <v>0</v>
      </c>
      <c r="BJ11" s="27">
        <v>23.604796767</v>
      </c>
      <c r="BK11" s="27">
        <v>1.1349660480999999</v>
      </c>
      <c r="BL11" s="27">
        <v>8.0546536154999995</v>
      </c>
      <c r="BM11" s="27">
        <v>6.8496335699999994E-2</v>
      </c>
      <c r="BN11" s="27">
        <v>2.5158964071000001</v>
      </c>
      <c r="BO11" s="27">
        <v>2.1139101099999998E-2</v>
      </c>
      <c r="BP11" s="27">
        <v>5.9471352000000002E-3</v>
      </c>
      <c r="BQ11" s="27">
        <v>8.27503E-5</v>
      </c>
      <c r="BR11" s="27">
        <v>0</v>
      </c>
      <c r="BS11" s="92">
        <v>0</v>
      </c>
      <c r="BT11" s="80" t="s">
        <v>136</v>
      </c>
      <c r="BU11" s="80">
        <v>0</v>
      </c>
      <c r="BV11" s="27">
        <v>4.0487913100000002E-2</v>
      </c>
      <c r="BW11" s="27">
        <v>6.6887100000000003E-4</v>
      </c>
      <c r="BX11" s="27">
        <v>2.2826833448000001</v>
      </c>
      <c r="BY11" s="27">
        <v>2.0534423499999999E-2</v>
      </c>
      <c r="BZ11" s="80" t="s">
        <v>136</v>
      </c>
      <c r="CA11" s="80">
        <v>0</v>
      </c>
      <c r="CB11" s="80" t="s">
        <v>136</v>
      </c>
      <c r="CC11" s="80">
        <v>0</v>
      </c>
      <c r="CD11" s="27">
        <v>1.0653056500000001E-2</v>
      </c>
      <c r="CE11" s="27">
        <v>1.270674E-4</v>
      </c>
      <c r="CF11" s="27">
        <v>0.12389992230000001</v>
      </c>
      <c r="CG11" s="27">
        <v>7.6833890000000001E-4</v>
      </c>
      <c r="CH11" s="80" t="s">
        <v>136</v>
      </c>
      <c r="CI11" s="80">
        <v>0</v>
      </c>
      <c r="CJ11" s="80" t="s">
        <v>136</v>
      </c>
      <c r="CK11" s="80">
        <v>0</v>
      </c>
      <c r="CL11" s="80" t="s">
        <v>136</v>
      </c>
      <c r="CM11" s="80">
        <v>0</v>
      </c>
      <c r="CN11" s="80" t="s">
        <v>136</v>
      </c>
      <c r="CO11" s="80">
        <v>0</v>
      </c>
      <c r="CP11" s="27">
        <v>1.6015157E-3</v>
      </c>
      <c r="CQ11" s="27">
        <v>5.6828099999999999E-5</v>
      </c>
      <c r="CR11" s="27">
        <v>4.1817521E-3</v>
      </c>
      <c r="CS11" s="27">
        <v>4.7202800000000001E-5</v>
      </c>
      <c r="CT11" s="27">
        <v>5.0553431900000001E-2</v>
      </c>
      <c r="CU11" s="27">
        <v>8.5554749999999997E-4</v>
      </c>
      <c r="CV11" s="27">
        <v>2.4669736182999999</v>
      </c>
      <c r="CW11" s="27">
        <v>6.3721266600000007E-2</v>
      </c>
      <c r="CX11" s="80" t="s">
        <v>136</v>
      </c>
      <c r="CY11" s="80">
        <v>0</v>
      </c>
      <c r="CZ11" s="80" t="s">
        <v>136</v>
      </c>
      <c r="DA11" s="80">
        <v>0</v>
      </c>
      <c r="DB11" s="27">
        <v>1.9205749528</v>
      </c>
      <c r="DC11" s="27">
        <v>5.5010102900000003E-2</v>
      </c>
      <c r="DD11" s="27">
        <v>8.3323949632000005</v>
      </c>
      <c r="DE11" s="27">
        <v>0.4554807474</v>
      </c>
      <c r="DF11" s="27">
        <v>1.0489338269999999</v>
      </c>
      <c r="DG11" s="27">
        <v>8.8444713600000002E-2</v>
      </c>
      <c r="DH11" s="27">
        <v>23.603414186999998</v>
      </c>
      <c r="DI11" s="27">
        <v>0.299791101</v>
      </c>
      <c r="DJ11" s="95">
        <v>2.6377399999999999E-5</v>
      </c>
      <c r="DK11" s="96">
        <v>4.8560799999999998E-5</v>
      </c>
      <c r="DL11" s="96">
        <v>5.6634200000000001E-5</v>
      </c>
      <c r="DM11" s="96">
        <v>5.7998799999999998E-5</v>
      </c>
      <c r="DN11" s="96">
        <v>5.8453599999999999E-5</v>
      </c>
      <c r="DO11" s="96">
        <v>5.8453599999999999E-5</v>
      </c>
      <c r="DP11" s="96">
        <v>5.8453599999999999E-5</v>
      </c>
      <c r="DQ11" s="96">
        <v>5.8453599999999999E-5</v>
      </c>
      <c r="DR11" s="96">
        <v>5.8453599999999999E-5</v>
      </c>
      <c r="DS11" s="97">
        <v>5.8453599999999999E-5</v>
      </c>
      <c r="DT11" s="93">
        <v>11.2944023</v>
      </c>
      <c r="DU11" s="80">
        <v>9.0976098500000005E-2</v>
      </c>
      <c r="DV11" s="80">
        <v>1.9357056139</v>
      </c>
      <c r="DW11" s="80">
        <v>1.7757005499999999E-2</v>
      </c>
      <c r="DX11" s="80">
        <v>0.25571038060000001</v>
      </c>
      <c r="DY11" s="80">
        <v>2.7930618000000002E-3</v>
      </c>
      <c r="DZ11" s="80">
        <v>2.9476300800000001E-2</v>
      </c>
      <c r="EA11" s="80">
        <v>4.4953469999999999E-4</v>
      </c>
      <c r="EB11" s="80">
        <v>5.3028134999999997E-3</v>
      </c>
      <c r="EC11" s="80">
        <v>1.3723970000000001E-4</v>
      </c>
      <c r="ED11" s="80">
        <v>2.2715706999999999E-3</v>
      </c>
      <c r="EE11" s="80">
        <v>8.1648299999999995E-5</v>
      </c>
      <c r="EF11" s="80">
        <v>1.4519659E-3</v>
      </c>
      <c r="EG11" s="80">
        <v>5.7550699999999998E-5</v>
      </c>
      <c r="EH11" s="80">
        <v>1.0365896999999999E-3</v>
      </c>
      <c r="EI11" s="80">
        <v>4.2328900000000001E-5</v>
      </c>
      <c r="EJ11" s="80">
        <v>7.1870009999999999E-4</v>
      </c>
      <c r="EK11" s="80">
        <v>3.0685500000000003E-5</v>
      </c>
      <c r="EL11" s="80">
        <v>4.4970969999999998E-4</v>
      </c>
      <c r="EM11" s="94">
        <v>2.1007899999999999E-5</v>
      </c>
      <c r="EN11" s="80"/>
      <c r="EO11" s="80"/>
      <c r="EP11" s="80"/>
      <c r="EQ11" s="80"/>
      <c r="ER11" s="80"/>
      <c r="ES11" s="80"/>
      <c r="ET11" s="80"/>
      <c r="EU11" s="80"/>
      <c r="EV11" s="80"/>
      <c r="EW11" s="94"/>
    </row>
    <row r="12" spans="1:153" x14ac:dyDescent="0.2">
      <c r="A12" s="79">
        <v>700</v>
      </c>
      <c r="B12" s="27">
        <v>102732</v>
      </c>
      <c r="C12" s="79">
        <v>531.25476775000004</v>
      </c>
      <c r="D12" s="27">
        <v>649.39123333999999</v>
      </c>
      <c r="E12" s="27">
        <v>4.9310862629000001</v>
      </c>
      <c r="F12" s="27">
        <v>1.30683919E-2</v>
      </c>
      <c r="G12" s="79">
        <v>9.4070308000000005E-3</v>
      </c>
      <c r="H12" s="27">
        <v>3.3173799999999997E-5</v>
      </c>
      <c r="I12" s="27">
        <v>58.976636649</v>
      </c>
      <c r="J12" s="27">
        <v>0.40775822070000001</v>
      </c>
      <c r="K12" s="27">
        <f t="shared" si="4"/>
        <v>144.63629095632848</v>
      </c>
      <c r="L12" s="27">
        <v>22.362932135000001</v>
      </c>
      <c r="M12" s="27">
        <v>0.14764402560000001</v>
      </c>
      <c r="N12" s="27">
        <v>2.8807796496</v>
      </c>
      <c r="O12" s="27">
        <v>2.61221474E-2</v>
      </c>
      <c r="P12" s="80" t="s">
        <v>136</v>
      </c>
      <c r="Q12" s="80">
        <v>0</v>
      </c>
      <c r="R12" s="27">
        <v>0.20424442570000001</v>
      </c>
      <c r="S12" s="27">
        <v>1.1810799999999999E-3</v>
      </c>
      <c r="T12" s="80" t="s">
        <v>136</v>
      </c>
      <c r="U12" s="80">
        <v>0</v>
      </c>
      <c r="V12" s="80" t="s">
        <v>136</v>
      </c>
      <c r="W12" s="80">
        <v>0</v>
      </c>
      <c r="X12" s="27">
        <v>9.3427769000000004E-3</v>
      </c>
      <c r="Y12" s="27">
        <v>1.4461089999999999E-4</v>
      </c>
      <c r="Z12" s="27">
        <v>3.1788399943000001</v>
      </c>
      <c r="AA12" s="27">
        <v>8.0880455000000004E-2</v>
      </c>
      <c r="AB12" s="80" t="s">
        <v>136</v>
      </c>
      <c r="AC12" s="80">
        <v>0</v>
      </c>
      <c r="AD12" s="27">
        <v>0</v>
      </c>
      <c r="AE12" s="27">
        <v>0</v>
      </c>
      <c r="AF12" s="80" t="s">
        <v>136</v>
      </c>
      <c r="AG12" s="80">
        <v>0</v>
      </c>
      <c r="AH12" s="80" t="s">
        <v>136</v>
      </c>
      <c r="AI12" s="80">
        <v>0</v>
      </c>
      <c r="AJ12" s="27">
        <f t="shared" si="0"/>
        <v>0</v>
      </c>
      <c r="AK12" s="27">
        <f t="shared" si="1"/>
        <v>0</v>
      </c>
      <c r="AL12" s="27">
        <v>27.099212534999999</v>
      </c>
      <c r="AM12" s="27">
        <v>0.48127058369999998</v>
      </c>
      <c r="AN12" s="80" t="s">
        <v>136</v>
      </c>
      <c r="AO12" s="80">
        <v>0</v>
      </c>
      <c r="AP12" s="80" t="s">
        <v>136</v>
      </c>
      <c r="AQ12" s="80">
        <v>0</v>
      </c>
      <c r="AR12" s="80" t="s">
        <v>136</v>
      </c>
      <c r="AS12" s="80">
        <v>0</v>
      </c>
      <c r="AT12" s="27">
        <v>12.854369127</v>
      </c>
      <c r="AU12" s="27">
        <v>0.61720763489999997</v>
      </c>
      <c r="AV12" s="27">
        <v>6.3054597046999996</v>
      </c>
      <c r="AW12" s="27">
        <v>8.4181659300000003E-2</v>
      </c>
      <c r="AX12" s="27">
        <v>3.0806814483</v>
      </c>
      <c r="AY12" s="27">
        <v>5.1094733000000003E-2</v>
      </c>
      <c r="AZ12" s="27">
        <v>1.5048992406999999</v>
      </c>
      <c r="BA12" s="27">
        <v>2.0193723199999999E-2</v>
      </c>
      <c r="BB12" s="80">
        <f t="shared" si="2"/>
        <v>1.7198790156999992</v>
      </c>
      <c r="BC12" s="80">
        <f t="shared" si="3"/>
        <v>1.28932031E-2</v>
      </c>
      <c r="BD12" s="27">
        <v>0</v>
      </c>
      <c r="BE12" s="80">
        <v>0</v>
      </c>
      <c r="BF12" s="27">
        <v>29.168711740999999</v>
      </c>
      <c r="BG12" s="27">
        <v>0.45457452170000001</v>
      </c>
      <c r="BH12" s="27">
        <v>7.1139700000000006E-5</v>
      </c>
      <c r="BI12" s="27">
        <v>0</v>
      </c>
      <c r="BJ12" s="27">
        <v>28.221548215999999</v>
      </c>
      <c r="BK12" s="27">
        <v>1.3118961577999999</v>
      </c>
      <c r="BL12" s="27">
        <v>10.533744581000001</v>
      </c>
      <c r="BM12" s="27">
        <v>8.7447690800000005E-2</v>
      </c>
      <c r="BN12" s="27">
        <v>3.2468886887999999</v>
      </c>
      <c r="BO12" s="27">
        <v>2.5687800699999999E-2</v>
      </c>
      <c r="BP12" s="27">
        <v>8.2975488000000003E-3</v>
      </c>
      <c r="BQ12" s="27">
        <v>1.2008899999999999E-4</v>
      </c>
      <c r="BR12" s="27">
        <v>0</v>
      </c>
      <c r="BS12" s="92">
        <v>0</v>
      </c>
      <c r="BT12" s="80" t="s">
        <v>136</v>
      </c>
      <c r="BU12" s="80">
        <v>0</v>
      </c>
      <c r="BV12" s="27">
        <v>5.3159019100000003E-2</v>
      </c>
      <c r="BW12" s="27">
        <v>9.2485699999999996E-4</v>
      </c>
      <c r="BX12" s="27">
        <v>2.8276206305999998</v>
      </c>
      <c r="BY12" s="27">
        <v>2.5197290399999999E-2</v>
      </c>
      <c r="BZ12" s="80" t="s">
        <v>136</v>
      </c>
      <c r="CA12" s="80">
        <v>0</v>
      </c>
      <c r="CB12" s="80" t="s">
        <v>136</v>
      </c>
      <c r="CC12" s="80">
        <v>0</v>
      </c>
      <c r="CD12" s="27">
        <v>2.3649565099999999E-2</v>
      </c>
      <c r="CE12" s="27">
        <v>1.712916E-4</v>
      </c>
      <c r="CF12" s="27">
        <v>0.1805948607</v>
      </c>
      <c r="CG12" s="27">
        <v>1.0097883000000001E-3</v>
      </c>
      <c r="CH12" s="80" t="s">
        <v>136</v>
      </c>
      <c r="CI12" s="80">
        <v>0</v>
      </c>
      <c r="CJ12" s="80" t="s">
        <v>136</v>
      </c>
      <c r="CK12" s="80">
        <v>0</v>
      </c>
      <c r="CL12" s="80" t="s">
        <v>136</v>
      </c>
      <c r="CM12" s="80">
        <v>0</v>
      </c>
      <c r="CN12" s="80" t="s">
        <v>136</v>
      </c>
      <c r="CO12" s="80">
        <v>0</v>
      </c>
      <c r="CP12" s="27">
        <v>2.9072415999999998E-3</v>
      </c>
      <c r="CQ12" s="27">
        <v>7.1440100000000001E-5</v>
      </c>
      <c r="CR12" s="27">
        <v>6.4355352999999997E-3</v>
      </c>
      <c r="CS12" s="27">
        <v>7.3170799999999994E-5</v>
      </c>
      <c r="CT12" s="27">
        <v>7.5216565999999999E-2</v>
      </c>
      <c r="CU12" s="27">
        <v>1.2012863000000001E-3</v>
      </c>
      <c r="CV12" s="27">
        <v>3.1036234282000001</v>
      </c>
      <c r="CW12" s="27">
        <v>7.9679168699999997E-2</v>
      </c>
      <c r="CX12" s="80" t="s">
        <v>136</v>
      </c>
      <c r="CY12" s="80">
        <v>0</v>
      </c>
      <c r="CZ12" s="80" t="s">
        <v>136</v>
      </c>
      <c r="DA12" s="80">
        <v>0</v>
      </c>
      <c r="DB12" s="27">
        <v>2.5576491199000002</v>
      </c>
      <c r="DC12" s="27">
        <v>6.9556517100000007E-2</v>
      </c>
      <c r="DD12" s="27">
        <v>10.296720006999999</v>
      </c>
      <c r="DE12" s="27">
        <v>0.54765111779999998</v>
      </c>
      <c r="DF12" s="27">
        <v>1.3231360540999999</v>
      </c>
      <c r="DG12" s="27">
        <v>0.10932759240000001</v>
      </c>
      <c r="DH12" s="27">
        <v>27.845575687</v>
      </c>
      <c r="DI12" s="27">
        <v>0.34524692930000001</v>
      </c>
      <c r="DJ12" s="95">
        <v>3.2774100000000002E-5</v>
      </c>
      <c r="DK12" s="96">
        <v>5.7546700000000002E-5</v>
      </c>
      <c r="DL12" s="96">
        <v>6.7542500000000006E-5</v>
      </c>
      <c r="DM12" s="96">
        <v>6.9940599999999999E-5</v>
      </c>
      <c r="DN12" s="96">
        <v>7.0740000000000004E-5</v>
      </c>
      <c r="DO12" s="96">
        <v>7.1139700000000006E-5</v>
      </c>
      <c r="DP12" s="96">
        <v>7.1139700000000006E-5</v>
      </c>
      <c r="DQ12" s="96">
        <v>7.1139700000000006E-5</v>
      </c>
      <c r="DR12" s="96">
        <v>7.1139700000000006E-5</v>
      </c>
      <c r="DS12" s="97">
        <v>7.1139700000000006E-5</v>
      </c>
      <c r="DT12" s="93">
        <v>15.163667469</v>
      </c>
      <c r="DU12" s="80">
        <v>0.11850014389999999</v>
      </c>
      <c r="DV12" s="80">
        <v>3.1806393749000001</v>
      </c>
      <c r="DW12" s="80">
        <v>2.7717842900000001E-2</v>
      </c>
      <c r="DX12" s="80">
        <v>0.53799612249999995</v>
      </c>
      <c r="DY12" s="80">
        <v>5.3564913000000002E-3</v>
      </c>
      <c r="DZ12" s="80">
        <v>7.55855426E-2</v>
      </c>
      <c r="EA12" s="80">
        <v>9.5226190000000002E-4</v>
      </c>
      <c r="EB12" s="80">
        <v>1.2792203E-2</v>
      </c>
      <c r="EC12" s="80">
        <v>2.5544899999999999E-4</v>
      </c>
      <c r="ED12" s="80">
        <v>4.1544635999999999E-3</v>
      </c>
      <c r="EE12" s="80">
        <v>1.332738E-4</v>
      </c>
      <c r="EF12" s="80">
        <v>2.491779E-3</v>
      </c>
      <c r="EG12" s="80">
        <v>9.2921499999999995E-5</v>
      </c>
      <c r="EH12" s="80">
        <v>1.7507136000000001E-3</v>
      </c>
      <c r="EI12" s="80">
        <v>6.8289100000000003E-5</v>
      </c>
      <c r="EJ12" s="80">
        <v>1.214587E-3</v>
      </c>
      <c r="EK12" s="80">
        <v>5.0171499999999999E-5</v>
      </c>
      <c r="EL12" s="80">
        <v>7.7972190000000002E-4</v>
      </c>
      <c r="EM12" s="94">
        <v>3.4913499999999997E-5</v>
      </c>
      <c r="EN12" s="80"/>
      <c r="EO12" s="80"/>
      <c r="EP12" s="80"/>
      <c r="EQ12" s="80"/>
      <c r="ER12" s="80"/>
      <c r="ES12" s="80"/>
      <c r="ET12" s="80"/>
      <c r="EU12" s="80"/>
      <c r="EV12" s="80"/>
      <c r="EW12" s="94"/>
    </row>
    <row r="13" spans="1:153" x14ac:dyDescent="0.2">
      <c r="A13" s="79">
        <v>800</v>
      </c>
      <c r="B13" s="27">
        <v>95323</v>
      </c>
      <c r="C13" s="79">
        <v>596.62910448000002</v>
      </c>
      <c r="D13" s="27">
        <v>749.38020757000004</v>
      </c>
      <c r="E13" s="27">
        <v>6.5566158868000004</v>
      </c>
      <c r="F13" s="27">
        <v>1.60430056E-2</v>
      </c>
      <c r="G13" s="79">
        <v>1.5626902500000001E-2</v>
      </c>
      <c r="H13" s="27">
        <v>4.2702900000000001E-5</v>
      </c>
      <c r="I13" s="27">
        <v>66.671672389999998</v>
      </c>
      <c r="J13" s="27">
        <v>0.45642258749999998</v>
      </c>
      <c r="K13" s="27">
        <f t="shared" si="4"/>
        <v>146.07443675210311</v>
      </c>
      <c r="L13" s="27">
        <v>25.704891858</v>
      </c>
      <c r="M13" s="27">
        <v>0.16777919190000001</v>
      </c>
      <c r="N13" s="27">
        <v>3.4545362379000002</v>
      </c>
      <c r="O13" s="27">
        <v>3.10691718E-2</v>
      </c>
      <c r="P13" s="80" t="s">
        <v>136</v>
      </c>
      <c r="Q13" s="80">
        <v>0</v>
      </c>
      <c r="R13" s="27">
        <v>0.29987744150000001</v>
      </c>
      <c r="S13" s="27">
        <v>1.4859355E-3</v>
      </c>
      <c r="T13" s="80" t="s">
        <v>136</v>
      </c>
      <c r="U13" s="80">
        <v>0</v>
      </c>
      <c r="V13" s="80" t="s">
        <v>136</v>
      </c>
      <c r="W13" s="80">
        <v>0</v>
      </c>
      <c r="X13" s="27">
        <v>1.24028687E-2</v>
      </c>
      <c r="Y13" s="27">
        <v>1.7673069999999999E-4</v>
      </c>
      <c r="Z13" s="27">
        <v>3.9004627112999999</v>
      </c>
      <c r="AA13" s="27">
        <v>9.8287868099999995E-2</v>
      </c>
      <c r="AB13" s="80" t="s">
        <v>136</v>
      </c>
      <c r="AC13" s="80">
        <v>0</v>
      </c>
      <c r="AD13" s="27">
        <v>0</v>
      </c>
      <c r="AE13" s="27">
        <v>0</v>
      </c>
      <c r="AF13" s="80" t="s">
        <v>136</v>
      </c>
      <c r="AG13" s="80">
        <v>0</v>
      </c>
      <c r="AH13" s="80" t="s">
        <v>136</v>
      </c>
      <c r="AI13" s="80">
        <v>0</v>
      </c>
      <c r="AJ13" s="27">
        <f t="shared" si="0"/>
        <v>0</v>
      </c>
      <c r="AK13" s="27">
        <f t="shared" si="1"/>
        <v>0</v>
      </c>
      <c r="AL13" s="27">
        <v>31.843476297999999</v>
      </c>
      <c r="AM13" s="27">
        <v>0.55767005960000005</v>
      </c>
      <c r="AN13" s="80" t="s">
        <v>136</v>
      </c>
      <c r="AO13" s="80">
        <v>0</v>
      </c>
      <c r="AP13" s="80" t="s">
        <v>136</v>
      </c>
      <c r="AQ13" s="80">
        <v>0</v>
      </c>
      <c r="AR13" s="80" t="s">
        <v>136</v>
      </c>
      <c r="AS13" s="80">
        <v>0</v>
      </c>
      <c r="AT13" s="27">
        <v>15.422207308000001</v>
      </c>
      <c r="AU13" s="27">
        <v>0.71891070720000005</v>
      </c>
      <c r="AV13" s="27">
        <v>7.9176535300999999</v>
      </c>
      <c r="AW13" s="27">
        <v>0.1005694359</v>
      </c>
      <c r="AX13" s="27">
        <v>3.8183917646999999</v>
      </c>
      <c r="AY13" s="27">
        <v>6.0725931699999999E-2</v>
      </c>
      <c r="AZ13" s="27">
        <v>1.8221597532</v>
      </c>
      <c r="BA13" s="27">
        <v>2.3709234400000001E-2</v>
      </c>
      <c r="BB13" s="80">
        <f t="shared" si="2"/>
        <v>2.2771020122000003</v>
      </c>
      <c r="BC13" s="80">
        <f t="shared" si="3"/>
        <v>1.6134269800000003E-2</v>
      </c>
      <c r="BD13" s="27">
        <v>0</v>
      </c>
      <c r="BE13" s="80">
        <v>0</v>
      </c>
      <c r="BF13" s="27">
        <v>33.656605134000003</v>
      </c>
      <c r="BG13" s="27">
        <v>0.51956034829999997</v>
      </c>
      <c r="BH13" s="27">
        <v>8.5878700000000002E-5</v>
      </c>
      <c r="BI13" s="27">
        <v>0</v>
      </c>
      <c r="BJ13" s="27">
        <v>32.926433306</v>
      </c>
      <c r="BK13" s="27">
        <v>1.4851873763000001</v>
      </c>
      <c r="BL13" s="27">
        <v>13.267755774999999</v>
      </c>
      <c r="BM13" s="27">
        <v>0.107908052</v>
      </c>
      <c r="BN13" s="27">
        <v>4.0045390886999996</v>
      </c>
      <c r="BO13" s="27">
        <v>3.02181563E-2</v>
      </c>
      <c r="BP13" s="27">
        <v>9.7192661999999999E-3</v>
      </c>
      <c r="BQ13" s="27">
        <v>1.5074580000000001E-4</v>
      </c>
      <c r="BR13" s="27">
        <v>0</v>
      </c>
      <c r="BS13" s="92">
        <v>0</v>
      </c>
      <c r="BT13" s="80" t="s">
        <v>136</v>
      </c>
      <c r="BU13" s="80">
        <v>0</v>
      </c>
      <c r="BV13" s="27">
        <v>6.3198058700000004E-2</v>
      </c>
      <c r="BW13" s="27">
        <v>1.0974344999999999E-3</v>
      </c>
      <c r="BX13" s="27">
        <v>3.3913381791999999</v>
      </c>
      <c r="BY13" s="27">
        <v>2.9971737299999999E-2</v>
      </c>
      <c r="BZ13" s="80" t="s">
        <v>136</v>
      </c>
      <c r="CA13" s="80">
        <v>0</v>
      </c>
      <c r="CB13" s="80" t="s">
        <v>136</v>
      </c>
      <c r="CC13" s="80">
        <v>0</v>
      </c>
      <c r="CD13" s="27">
        <v>4.1586756199999998E-2</v>
      </c>
      <c r="CE13" s="27">
        <v>2.1870099999999999E-4</v>
      </c>
      <c r="CF13" s="27">
        <v>0.25829068529999999</v>
      </c>
      <c r="CG13" s="27">
        <v>1.2672345000000001E-3</v>
      </c>
      <c r="CH13" s="80" t="s">
        <v>136</v>
      </c>
      <c r="CI13" s="80">
        <v>0</v>
      </c>
      <c r="CJ13" s="80" t="s">
        <v>136</v>
      </c>
      <c r="CK13" s="80">
        <v>0</v>
      </c>
      <c r="CL13" s="80" t="s">
        <v>136</v>
      </c>
      <c r="CM13" s="80">
        <v>0</v>
      </c>
      <c r="CN13" s="80" t="s">
        <v>136</v>
      </c>
      <c r="CO13" s="80">
        <v>0</v>
      </c>
      <c r="CP13" s="27">
        <v>4.0870274999999998E-3</v>
      </c>
      <c r="CQ13" s="27">
        <v>8.2918700000000003E-5</v>
      </c>
      <c r="CR13" s="27">
        <v>8.3158412000000001E-3</v>
      </c>
      <c r="CS13" s="27">
        <v>9.3812099999999996E-5</v>
      </c>
      <c r="CT13" s="27">
        <v>0.1037952409</v>
      </c>
      <c r="CU13" s="27">
        <v>1.5508216E-3</v>
      </c>
      <c r="CV13" s="27">
        <v>3.7966674704000001</v>
      </c>
      <c r="CW13" s="27">
        <v>9.6737046500000007E-2</v>
      </c>
      <c r="CX13" s="80" t="s">
        <v>136</v>
      </c>
      <c r="CY13" s="80">
        <v>0</v>
      </c>
      <c r="CZ13" s="80" t="s">
        <v>136</v>
      </c>
      <c r="DA13" s="80">
        <v>0</v>
      </c>
      <c r="DB13" s="27">
        <v>3.2212863427</v>
      </c>
      <c r="DC13" s="27">
        <v>8.40397118E-2</v>
      </c>
      <c r="DD13" s="27">
        <v>12.200920966</v>
      </c>
      <c r="DE13" s="27">
        <v>0.63487099550000003</v>
      </c>
      <c r="DF13" s="27">
        <v>1.6286515158999999</v>
      </c>
      <c r="DG13" s="27">
        <v>0.13059197980000001</v>
      </c>
      <c r="DH13" s="27">
        <v>32.027953617999998</v>
      </c>
      <c r="DI13" s="27">
        <v>0.38896836849999999</v>
      </c>
      <c r="DJ13" s="95">
        <v>4.2345000000000002E-5</v>
      </c>
      <c r="DK13" s="96">
        <v>7.2275399999999996E-5</v>
      </c>
      <c r="DL13" s="96">
        <v>8.2658100000000001E-5</v>
      </c>
      <c r="DM13" s="96">
        <v>8.4805100000000006E-5</v>
      </c>
      <c r="DN13" s="96">
        <v>8.5520799999999996E-5</v>
      </c>
      <c r="DO13" s="96">
        <v>8.5878700000000002E-5</v>
      </c>
      <c r="DP13" s="96">
        <v>8.5878700000000002E-5</v>
      </c>
      <c r="DQ13" s="96">
        <v>8.5878700000000002E-5</v>
      </c>
      <c r="DR13" s="96">
        <v>8.5878700000000002E-5</v>
      </c>
      <c r="DS13" s="97">
        <v>8.5878700000000002E-5</v>
      </c>
      <c r="DT13" s="93">
        <v>19.017228625000001</v>
      </c>
      <c r="DU13" s="80">
        <v>0.14542572719999999</v>
      </c>
      <c r="DV13" s="80">
        <v>4.6121086455000002</v>
      </c>
      <c r="DW13" s="80">
        <v>3.8803262300000002E-2</v>
      </c>
      <c r="DX13" s="80">
        <v>0.94053842919999997</v>
      </c>
      <c r="DY13" s="80">
        <v>8.8462698000000006E-3</v>
      </c>
      <c r="DZ13" s="80">
        <v>0.16274350260000001</v>
      </c>
      <c r="EA13" s="80">
        <v>1.8239918999999999E-3</v>
      </c>
      <c r="EB13" s="80">
        <v>2.9654552099999999E-2</v>
      </c>
      <c r="EC13" s="80">
        <v>4.731987E-4</v>
      </c>
      <c r="ED13" s="80">
        <v>7.7486352000000003E-3</v>
      </c>
      <c r="EE13" s="80">
        <v>2.0714940000000001E-4</v>
      </c>
      <c r="EF13" s="80">
        <v>3.8781985E-3</v>
      </c>
      <c r="EG13" s="80">
        <v>1.3691659999999999E-4</v>
      </c>
      <c r="EH13" s="80">
        <v>2.6438447E-3</v>
      </c>
      <c r="EI13" s="80">
        <v>1.009939E-4</v>
      </c>
      <c r="EJ13" s="80">
        <v>1.8360057E-3</v>
      </c>
      <c r="EK13" s="80">
        <v>7.4112599999999999E-5</v>
      </c>
      <c r="EL13" s="80">
        <v>1.2351217000000001E-3</v>
      </c>
      <c r="EM13" s="94">
        <v>5.2680199999999998E-5</v>
      </c>
      <c r="EN13" s="80"/>
      <c r="EO13" s="80"/>
      <c r="EP13" s="80"/>
      <c r="EQ13" s="80"/>
      <c r="ER13" s="80"/>
      <c r="ES13" s="80"/>
      <c r="ET13" s="80"/>
      <c r="EU13" s="80"/>
      <c r="EV13" s="80"/>
      <c r="EW13" s="94"/>
    </row>
    <row r="14" spans="1:153" x14ac:dyDescent="0.2">
      <c r="A14" s="79">
        <v>900</v>
      </c>
      <c r="B14" s="27">
        <v>87032</v>
      </c>
      <c r="C14" s="79">
        <v>659.97699780000005</v>
      </c>
      <c r="D14" s="27">
        <v>849.39854988000002</v>
      </c>
      <c r="E14" s="27">
        <v>8.3854554066000002</v>
      </c>
      <c r="F14" s="27">
        <v>1.9117515599999999E-2</v>
      </c>
      <c r="G14" s="79">
        <v>2.1670640200000001E-2</v>
      </c>
      <c r="H14" s="27">
        <v>5.3458300000000003E-5</v>
      </c>
      <c r="I14" s="27">
        <v>73.671823653000004</v>
      </c>
      <c r="J14" s="27">
        <v>0.50122334420000003</v>
      </c>
      <c r="K14" s="27">
        <f t="shared" si="4"/>
        <v>146.98402320144768</v>
      </c>
      <c r="L14" s="27">
        <v>28.825147000000001</v>
      </c>
      <c r="M14" s="27">
        <v>0.18684573539999999</v>
      </c>
      <c r="N14" s="27">
        <v>4.0332409991000002</v>
      </c>
      <c r="O14" s="27">
        <v>3.6067319100000002E-2</v>
      </c>
      <c r="P14" s="80" t="s">
        <v>136</v>
      </c>
      <c r="Q14" s="80">
        <v>0</v>
      </c>
      <c r="R14" s="27">
        <v>0.45606908839999999</v>
      </c>
      <c r="S14" s="27">
        <v>1.9315769E-3</v>
      </c>
      <c r="T14" s="80" t="s">
        <v>136</v>
      </c>
      <c r="U14" s="80">
        <v>0</v>
      </c>
      <c r="V14" s="80" t="s">
        <v>136</v>
      </c>
      <c r="W14" s="80">
        <v>0</v>
      </c>
      <c r="X14" s="27">
        <v>1.6206675399999999E-2</v>
      </c>
      <c r="Y14" s="27">
        <v>2.1222029999999999E-4</v>
      </c>
      <c r="Z14" s="27">
        <v>4.6686896994999998</v>
      </c>
      <c r="AA14" s="27">
        <v>0.1171502006</v>
      </c>
      <c r="AB14" s="80" t="s">
        <v>136</v>
      </c>
      <c r="AC14" s="80">
        <v>0</v>
      </c>
      <c r="AD14" s="27">
        <v>0</v>
      </c>
      <c r="AE14" s="27">
        <v>0</v>
      </c>
      <c r="AF14" s="80" t="s">
        <v>136</v>
      </c>
      <c r="AG14" s="80">
        <v>0</v>
      </c>
      <c r="AH14" s="80" t="s">
        <v>136</v>
      </c>
      <c r="AI14" s="80">
        <v>0</v>
      </c>
      <c r="AJ14" s="27">
        <f t="shared" si="0"/>
        <v>0</v>
      </c>
      <c r="AK14" s="27">
        <f t="shared" si="1"/>
        <v>0</v>
      </c>
      <c r="AL14" s="27">
        <v>36.343639910999997</v>
      </c>
      <c r="AM14" s="27">
        <v>0.62880883769999996</v>
      </c>
      <c r="AN14" s="80" t="s">
        <v>136</v>
      </c>
      <c r="AO14" s="80">
        <v>0</v>
      </c>
      <c r="AP14" s="80" t="s">
        <v>136</v>
      </c>
      <c r="AQ14" s="80">
        <v>0</v>
      </c>
      <c r="AR14" s="80" t="s">
        <v>136</v>
      </c>
      <c r="AS14" s="80">
        <v>0</v>
      </c>
      <c r="AT14" s="27">
        <v>17.924987782999999</v>
      </c>
      <c r="AU14" s="27">
        <v>0.81345693330000002</v>
      </c>
      <c r="AV14" s="27">
        <v>9.5785113938999995</v>
      </c>
      <c r="AW14" s="27">
        <v>0.1166135822</v>
      </c>
      <c r="AX14" s="27">
        <v>4.5638637229999999</v>
      </c>
      <c r="AY14" s="27">
        <v>7.0173333399999996E-2</v>
      </c>
      <c r="AZ14" s="27">
        <v>2.1498236646</v>
      </c>
      <c r="BA14" s="27">
        <v>2.7042720100000001E-2</v>
      </c>
      <c r="BB14" s="80">
        <f t="shared" si="2"/>
        <v>2.8648240062999992</v>
      </c>
      <c r="BC14" s="80">
        <f t="shared" si="3"/>
        <v>1.93975287E-2</v>
      </c>
      <c r="BD14" s="27">
        <v>0</v>
      </c>
      <c r="BE14" s="80">
        <v>0</v>
      </c>
      <c r="BF14" s="27">
        <v>37.988539635999999</v>
      </c>
      <c r="BG14" s="27">
        <v>0.58060817409999999</v>
      </c>
      <c r="BH14" s="27">
        <v>1.063996E-4</v>
      </c>
      <c r="BI14" s="27">
        <v>0</v>
      </c>
      <c r="BJ14" s="27">
        <v>37.500762086000002</v>
      </c>
      <c r="BK14" s="27">
        <v>1.6491360282</v>
      </c>
      <c r="BL14" s="27">
        <v>16.26924576</v>
      </c>
      <c r="BM14" s="27">
        <v>0.13089531160000001</v>
      </c>
      <c r="BN14" s="27">
        <v>4.8105556916000003</v>
      </c>
      <c r="BO14" s="27">
        <v>3.4963962899999999E-2</v>
      </c>
      <c r="BP14" s="27">
        <v>1.17348573E-2</v>
      </c>
      <c r="BQ14" s="27">
        <v>1.866402E-4</v>
      </c>
      <c r="BR14" s="27">
        <v>0</v>
      </c>
      <c r="BS14" s="92">
        <v>0</v>
      </c>
      <c r="BT14" s="80" t="s">
        <v>136</v>
      </c>
      <c r="BU14" s="80">
        <v>0</v>
      </c>
      <c r="BV14" s="27">
        <v>7.6234420900000002E-2</v>
      </c>
      <c r="BW14" s="27">
        <v>1.3302647999999999E-3</v>
      </c>
      <c r="BX14" s="27">
        <v>3.9570065782000001</v>
      </c>
      <c r="BY14" s="27">
        <v>3.47370543E-2</v>
      </c>
      <c r="BZ14" s="80" t="s">
        <v>136</v>
      </c>
      <c r="CA14" s="80">
        <v>0</v>
      </c>
      <c r="CB14" s="80" t="s">
        <v>136</v>
      </c>
      <c r="CC14" s="80">
        <v>0</v>
      </c>
      <c r="CD14" s="27">
        <v>7.1587822699999998E-2</v>
      </c>
      <c r="CE14" s="27">
        <v>2.9190290000000001E-4</v>
      </c>
      <c r="CF14" s="27">
        <v>0.38448126570000002</v>
      </c>
      <c r="CG14" s="27">
        <v>1.6396741000000001E-3</v>
      </c>
      <c r="CH14" s="80" t="s">
        <v>136</v>
      </c>
      <c r="CI14" s="80">
        <v>0</v>
      </c>
      <c r="CJ14" s="80" t="s">
        <v>136</v>
      </c>
      <c r="CK14" s="80">
        <v>0</v>
      </c>
      <c r="CL14" s="80" t="s">
        <v>136</v>
      </c>
      <c r="CM14" s="80">
        <v>0</v>
      </c>
      <c r="CN14" s="80" t="s">
        <v>136</v>
      </c>
      <c r="CO14" s="80">
        <v>0</v>
      </c>
      <c r="CP14" s="27">
        <v>4.8787882999999999E-3</v>
      </c>
      <c r="CQ14" s="27">
        <v>9.0575399999999993E-5</v>
      </c>
      <c r="CR14" s="27">
        <v>1.1327887E-2</v>
      </c>
      <c r="CS14" s="27">
        <v>1.216449E-4</v>
      </c>
      <c r="CT14" s="27">
        <v>0.13253103769999999</v>
      </c>
      <c r="CU14" s="27">
        <v>1.9751039000000001E-3</v>
      </c>
      <c r="CV14" s="27">
        <v>4.5361586618</v>
      </c>
      <c r="CW14" s="27">
        <v>0.11517509669999999</v>
      </c>
      <c r="CX14" s="80" t="s">
        <v>136</v>
      </c>
      <c r="CY14" s="80">
        <v>0</v>
      </c>
      <c r="CZ14" s="80" t="s">
        <v>136</v>
      </c>
      <c r="DA14" s="80">
        <v>0</v>
      </c>
      <c r="DB14" s="27">
        <v>3.9170903568000002</v>
      </c>
      <c r="DC14" s="27">
        <v>9.8481351699999997E-2</v>
      </c>
      <c r="DD14" s="27">
        <v>14.007897426</v>
      </c>
      <c r="DE14" s="27">
        <v>0.71497558159999997</v>
      </c>
      <c r="DF14" s="27">
        <v>1.9264462751</v>
      </c>
      <c r="DG14" s="27">
        <v>0.1508640745</v>
      </c>
      <c r="DH14" s="27">
        <v>36.062093359999999</v>
      </c>
      <c r="DI14" s="27">
        <v>0.42974409959999998</v>
      </c>
      <c r="DJ14" s="95">
        <v>5.2475600000000003E-5</v>
      </c>
      <c r="DK14" s="96">
        <v>8.8459600000000003E-5</v>
      </c>
      <c r="DL14" s="96">
        <v>1.011168E-4</v>
      </c>
      <c r="DM14" s="96">
        <v>1.041064E-4</v>
      </c>
      <c r="DN14" s="96">
        <v>1.054168E-4</v>
      </c>
      <c r="DO14" s="96">
        <v>1.063996E-4</v>
      </c>
      <c r="DP14" s="96">
        <v>1.063996E-4</v>
      </c>
      <c r="DQ14" s="96">
        <v>1.063996E-4</v>
      </c>
      <c r="DR14" s="96">
        <v>1.063996E-4</v>
      </c>
      <c r="DS14" s="97">
        <v>1.063996E-4</v>
      </c>
      <c r="DT14" s="93">
        <v>22.807502844999998</v>
      </c>
      <c r="DU14" s="80">
        <v>0.1716890449</v>
      </c>
      <c r="DV14" s="80">
        <v>6.1815160692999997</v>
      </c>
      <c r="DW14" s="80">
        <v>5.0682892200000003E-2</v>
      </c>
      <c r="DX14" s="80">
        <v>1.4581576752000001</v>
      </c>
      <c r="DY14" s="80">
        <v>1.31686253E-2</v>
      </c>
      <c r="DZ14" s="80">
        <v>0.29964134069999998</v>
      </c>
      <c r="EA14" s="80">
        <v>3.1230766E-3</v>
      </c>
      <c r="EB14" s="80">
        <v>6.11400863E-2</v>
      </c>
      <c r="EC14" s="80">
        <v>8.4046179999999998E-4</v>
      </c>
      <c r="ED14" s="80">
        <v>1.5710179500000001E-2</v>
      </c>
      <c r="EE14" s="80">
        <v>3.421171E-4</v>
      </c>
      <c r="EF14" s="80">
        <v>6.4266708000000001E-3</v>
      </c>
      <c r="EG14" s="80">
        <v>2.084888E-4</v>
      </c>
      <c r="EH14" s="80">
        <v>3.9772831000000003E-3</v>
      </c>
      <c r="EI14" s="80">
        <v>1.5215620000000001E-4</v>
      </c>
      <c r="EJ14" s="80">
        <v>2.8447825999999999E-3</v>
      </c>
      <c r="EK14" s="80">
        <v>1.145335E-4</v>
      </c>
      <c r="EL14" s="80">
        <v>1.9669164000000001E-3</v>
      </c>
      <c r="EM14" s="94">
        <v>8.3584999999999993E-5</v>
      </c>
      <c r="EN14" s="80"/>
      <c r="EO14" s="80"/>
      <c r="EP14" s="80"/>
      <c r="EQ14" s="80"/>
      <c r="ER14" s="80"/>
      <c r="ES14" s="80"/>
      <c r="ET14" s="80"/>
      <c r="EU14" s="80"/>
      <c r="EV14" s="80"/>
      <c r="EW14" s="94"/>
    </row>
    <row r="15" spans="1:153" x14ac:dyDescent="0.2">
      <c r="A15" s="79">
        <v>1000</v>
      </c>
      <c r="B15" s="27">
        <v>81073</v>
      </c>
      <c r="C15" s="79">
        <v>721.42316839</v>
      </c>
      <c r="D15" s="27">
        <v>949.40443490999996</v>
      </c>
      <c r="E15" s="27">
        <v>10.367867645</v>
      </c>
      <c r="F15" s="27">
        <v>2.21901818E-2</v>
      </c>
      <c r="G15" s="79">
        <v>3.0724387400000001E-2</v>
      </c>
      <c r="H15" s="27">
        <v>6.5596E-5</v>
      </c>
      <c r="I15" s="27">
        <v>80.091352118000003</v>
      </c>
      <c r="J15" s="27">
        <v>0.54251584559999999</v>
      </c>
      <c r="K15" s="27">
        <f t="shared" si="4"/>
        <v>147.62951675526139</v>
      </c>
      <c r="L15" s="27">
        <v>31.873491702999999</v>
      </c>
      <c r="M15" s="27">
        <v>0.2051110206</v>
      </c>
      <c r="N15" s="27">
        <v>4.5987368020000003</v>
      </c>
      <c r="O15" s="27">
        <v>4.0840632000000002E-2</v>
      </c>
      <c r="P15" s="80" t="s">
        <v>136</v>
      </c>
      <c r="Q15" s="80">
        <v>0</v>
      </c>
      <c r="R15" s="27">
        <v>0.67850495310000003</v>
      </c>
      <c r="S15" s="27">
        <v>2.4959789000000001E-3</v>
      </c>
      <c r="T15" s="80" t="s">
        <v>136</v>
      </c>
      <c r="U15" s="80">
        <v>0</v>
      </c>
      <c r="V15" s="80" t="s">
        <v>136</v>
      </c>
      <c r="W15" s="80">
        <v>0</v>
      </c>
      <c r="X15" s="27">
        <v>2.0521770299999999E-2</v>
      </c>
      <c r="Y15" s="27">
        <v>2.4821730000000001E-4</v>
      </c>
      <c r="Z15" s="27">
        <v>5.4812973012999997</v>
      </c>
      <c r="AA15" s="27">
        <v>0.13704098049999999</v>
      </c>
      <c r="AB15" s="80" t="s">
        <v>136</v>
      </c>
      <c r="AC15" s="80">
        <v>0</v>
      </c>
      <c r="AD15" s="27">
        <v>0</v>
      </c>
      <c r="AE15" s="27">
        <v>0</v>
      </c>
      <c r="AF15" s="80" t="s">
        <v>136</v>
      </c>
      <c r="AG15" s="80">
        <v>0</v>
      </c>
      <c r="AH15" s="80" t="s">
        <v>136</v>
      </c>
      <c r="AI15" s="80">
        <v>0</v>
      </c>
      <c r="AJ15" s="27">
        <f t="shared" si="0"/>
        <v>0</v>
      </c>
      <c r="AK15" s="27">
        <f t="shared" si="1"/>
        <v>0</v>
      </c>
      <c r="AL15" s="27">
        <v>40.585648151000001</v>
      </c>
      <c r="AM15" s="27">
        <v>0.69593970829999996</v>
      </c>
      <c r="AN15" s="80" t="s">
        <v>136</v>
      </c>
      <c r="AO15" s="80">
        <v>0</v>
      </c>
      <c r="AP15" s="80" t="s">
        <v>136</v>
      </c>
      <c r="AQ15" s="80">
        <v>0</v>
      </c>
      <c r="AR15" s="80" t="s">
        <v>136</v>
      </c>
      <c r="AS15" s="80">
        <v>0</v>
      </c>
      <c r="AT15" s="27">
        <v>20.476675482000001</v>
      </c>
      <c r="AU15" s="27">
        <v>0.90539567450000003</v>
      </c>
      <c r="AV15" s="27">
        <v>11.256621451999999</v>
      </c>
      <c r="AW15" s="27">
        <v>0.13238256409999999</v>
      </c>
      <c r="AX15" s="27">
        <v>5.3368434795999997</v>
      </c>
      <c r="AY15" s="27">
        <v>7.9732471599999993E-2</v>
      </c>
      <c r="AZ15" s="27">
        <v>2.4651697146</v>
      </c>
      <c r="BA15" s="27">
        <v>3.0015758999999999E-2</v>
      </c>
      <c r="BB15" s="80">
        <f t="shared" si="2"/>
        <v>3.4546082577999995</v>
      </c>
      <c r="BC15" s="80">
        <f t="shared" si="3"/>
        <v>2.2634333499999992E-2</v>
      </c>
      <c r="BD15" s="27">
        <v>0</v>
      </c>
      <c r="BE15" s="80">
        <v>0</v>
      </c>
      <c r="BF15" s="27">
        <v>42.161073109999997</v>
      </c>
      <c r="BG15" s="27">
        <v>0.63819433329999997</v>
      </c>
      <c r="BH15" s="27">
        <v>1.2697920000000001E-4</v>
      </c>
      <c r="BI15" s="27">
        <v>3.4165076E-7</v>
      </c>
      <c r="BJ15" s="27">
        <v>42.034750643999999</v>
      </c>
      <c r="BK15" s="27">
        <v>1.8080398611999999</v>
      </c>
      <c r="BL15" s="27">
        <v>19.554043989</v>
      </c>
      <c r="BM15" s="27">
        <v>0.1556506892</v>
      </c>
      <c r="BN15" s="27">
        <v>5.6717566315000001</v>
      </c>
      <c r="BO15" s="27">
        <v>3.9970716699999999E-2</v>
      </c>
      <c r="BP15" s="27">
        <v>1.35906091E-2</v>
      </c>
      <c r="BQ15" s="27">
        <v>2.1432929999999999E-4</v>
      </c>
      <c r="BR15" s="27">
        <v>0</v>
      </c>
      <c r="BS15" s="92">
        <v>0</v>
      </c>
      <c r="BT15" s="80" t="s">
        <v>136</v>
      </c>
      <c r="BU15" s="80">
        <v>0</v>
      </c>
      <c r="BV15" s="27">
        <v>8.6747242899999993E-2</v>
      </c>
      <c r="BW15" s="27">
        <v>1.5142497000000001E-3</v>
      </c>
      <c r="BX15" s="27">
        <v>4.5119895590999999</v>
      </c>
      <c r="BY15" s="27">
        <v>3.9326382299999997E-2</v>
      </c>
      <c r="BZ15" s="80" t="s">
        <v>136</v>
      </c>
      <c r="CA15" s="80">
        <v>0</v>
      </c>
      <c r="CB15" s="80" t="s">
        <v>136</v>
      </c>
      <c r="CC15" s="80">
        <v>0</v>
      </c>
      <c r="CD15" s="27">
        <v>0.111323849</v>
      </c>
      <c r="CE15" s="27">
        <v>3.7731489999999999E-4</v>
      </c>
      <c r="CF15" s="27">
        <v>0.5671811041</v>
      </c>
      <c r="CG15" s="27">
        <v>2.1186639000000001E-3</v>
      </c>
      <c r="CH15" s="80" t="s">
        <v>136</v>
      </c>
      <c r="CI15" s="80">
        <v>0</v>
      </c>
      <c r="CJ15" s="80" t="s">
        <v>136</v>
      </c>
      <c r="CK15" s="80">
        <v>0</v>
      </c>
      <c r="CL15" s="80" t="s">
        <v>136</v>
      </c>
      <c r="CM15" s="80">
        <v>0</v>
      </c>
      <c r="CN15" s="80" t="s">
        <v>136</v>
      </c>
      <c r="CO15" s="80">
        <v>0</v>
      </c>
      <c r="CP15" s="27">
        <v>6.1367247999999999E-3</v>
      </c>
      <c r="CQ15" s="27">
        <v>9.8443799999999994E-5</v>
      </c>
      <c r="CR15" s="27">
        <v>1.4385045500000001E-2</v>
      </c>
      <c r="CS15" s="27">
        <v>1.497735E-4</v>
      </c>
      <c r="CT15" s="27">
        <v>0.1719612089</v>
      </c>
      <c r="CU15" s="27">
        <v>2.5220660999999999E-3</v>
      </c>
      <c r="CV15" s="27">
        <v>5.3093360923999997</v>
      </c>
      <c r="CW15" s="27">
        <v>0.13451891439999999</v>
      </c>
      <c r="CX15" s="80" t="s">
        <v>136</v>
      </c>
      <c r="CY15" s="80">
        <v>0</v>
      </c>
      <c r="CZ15" s="80" t="s">
        <v>136</v>
      </c>
      <c r="DA15" s="80">
        <v>0</v>
      </c>
      <c r="DB15" s="27">
        <v>4.6698519190000001</v>
      </c>
      <c r="DC15" s="27">
        <v>0.1133412969</v>
      </c>
      <c r="DD15" s="27">
        <v>15.806823563</v>
      </c>
      <c r="DE15" s="27">
        <v>0.79205437759999997</v>
      </c>
      <c r="DF15" s="27">
        <v>2.2375111015</v>
      </c>
      <c r="DG15" s="27">
        <v>0.17057134839999999</v>
      </c>
      <c r="DH15" s="27">
        <v>39.923562007999998</v>
      </c>
      <c r="DI15" s="27">
        <v>0.46762298489999998</v>
      </c>
      <c r="DJ15" s="95">
        <v>6.4684700000000001E-5</v>
      </c>
      <c r="DK15" s="96">
        <v>1.078425E-4</v>
      </c>
      <c r="DL15" s="96">
        <v>1.21777E-4</v>
      </c>
      <c r="DM15" s="96">
        <v>1.248527E-4</v>
      </c>
      <c r="DN15" s="96">
        <v>1.2606790000000001E-4</v>
      </c>
      <c r="DO15" s="96">
        <v>1.2697920000000001E-4</v>
      </c>
      <c r="DP15" s="96">
        <v>1.2697920000000001E-4</v>
      </c>
      <c r="DQ15" s="96">
        <v>1.2697920000000001E-4</v>
      </c>
      <c r="DR15" s="96">
        <v>1.2697920000000001E-4</v>
      </c>
      <c r="DS15" s="97">
        <v>1.2697920000000001E-4</v>
      </c>
      <c r="DT15" s="93">
        <v>26.478409052</v>
      </c>
      <c r="DU15" s="80">
        <v>0.19696726410000001</v>
      </c>
      <c r="DV15" s="80">
        <v>7.8216688729000001</v>
      </c>
      <c r="DW15" s="80">
        <v>6.2844317799999994E-2</v>
      </c>
      <c r="DX15" s="80">
        <v>2.0687363494</v>
      </c>
      <c r="DY15" s="80">
        <v>1.8069053700000001E-2</v>
      </c>
      <c r="DZ15" s="80">
        <v>0.49160803310000001</v>
      </c>
      <c r="EA15" s="80">
        <v>4.8011905000000001E-3</v>
      </c>
      <c r="EB15" s="80">
        <v>0.11228037640000001</v>
      </c>
      <c r="EC15" s="80">
        <v>1.3421681E-3</v>
      </c>
      <c r="ED15" s="80">
        <v>2.9028413900000001E-2</v>
      </c>
      <c r="EE15" s="80">
        <v>4.9699469999999997E-4</v>
      </c>
      <c r="EF15" s="80">
        <v>9.7849484999999996E-3</v>
      </c>
      <c r="EG15" s="80">
        <v>2.627881E-4</v>
      </c>
      <c r="EH15" s="80">
        <v>5.1188034999999996E-3</v>
      </c>
      <c r="EI15" s="80">
        <v>1.797496E-4</v>
      </c>
      <c r="EJ15" s="80">
        <v>3.3675966999999998E-3</v>
      </c>
      <c r="EK15" s="80">
        <v>1.319181E-4</v>
      </c>
      <c r="EL15" s="80">
        <v>2.3275880999999998E-3</v>
      </c>
      <c r="EM15" s="94">
        <v>9.6353800000000006E-5</v>
      </c>
      <c r="EN15" s="80"/>
      <c r="EO15" s="80"/>
      <c r="EP15" s="80"/>
      <c r="EQ15" s="80"/>
      <c r="ER15" s="80"/>
      <c r="ES15" s="80"/>
      <c r="ET15" s="80"/>
      <c r="EU15" s="80"/>
      <c r="EV15" s="80"/>
      <c r="EW15" s="94"/>
    </row>
    <row r="16" spans="1:153" x14ac:dyDescent="0.2">
      <c r="A16" s="79">
        <v>1100</v>
      </c>
      <c r="B16" s="27">
        <v>74342</v>
      </c>
      <c r="C16" s="79">
        <v>781.04927283999996</v>
      </c>
      <c r="D16" s="27">
        <v>1049.4570045999999</v>
      </c>
      <c r="E16" s="27">
        <v>12.428914743</v>
      </c>
      <c r="F16" s="27">
        <v>2.5179022299999999E-2</v>
      </c>
      <c r="G16" s="79">
        <v>4.22769614E-2</v>
      </c>
      <c r="H16" s="27">
        <v>7.8032800000000003E-5</v>
      </c>
      <c r="I16" s="27">
        <v>85.915376151999993</v>
      </c>
      <c r="J16" s="27">
        <v>0.57999298239999997</v>
      </c>
      <c r="K16" s="27">
        <f t="shared" si="4"/>
        <v>148.13175117478801</v>
      </c>
      <c r="L16" s="27">
        <v>34.775364506000003</v>
      </c>
      <c r="M16" s="27">
        <v>0.22240057360000001</v>
      </c>
      <c r="N16" s="27">
        <v>5.1936789027000003</v>
      </c>
      <c r="O16" s="27">
        <v>4.5990935900000002E-2</v>
      </c>
      <c r="P16" s="80" t="s">
        <v>136</v>
      </c>
      <c r="Q16" s="80">
        <v>0</v>
      </c>
      <c r="R16" s="27">
        <v>0.94189294589999994</v>
      </c>
      <c r="S16" s="27">
        <v>3.1689253000000001E-3</v>
      </c>
      <c r="T16" s="80" t="s">
        <v>136</v>
      </c>
      <c r="U16" s="80">
        <v>0</v>
      </c>
      <c r="V16" s="80" t="s">
        <v>136</v>
      </c>
      <c r="W16" s="80">
        <v>0</v>
      </c>
      <c r="X16" s="27">
        <v>2.5690761199999999E-2</v>
      </c>
      <c r="Y16" s="27">
        <v>2.9934660000000002E-4</v>
      </c>
      <c r="Z16" s="27">
        <v>6.3373833627999998</v>
      </c>
      <c r="AA16" s="27">
        <v>0.1576279122</v>
      </c>
      <c r="AB16" s="80" t="s">
        <v>136</v>
      </c>
      <c r="AC16" s="80">
        <v>0</v>
      </c>
      <c r="AD16" s="27">
        <v>0</v>
      </c>
      <c r="AE16" s="27">
        <v>0</v>
      </c>
      <c r="AF16" s="80" t="s">
        <v>136</v>
      </c>
      <c r="AG16" s="80">
        <v>0</v>
      </c>
      <c r="AH16" s="80" t="s">
        <v>136</v>
      </c>
      <c r="AI16" s="80">
        <v>0</v>
      </c>
      <c r="AJ16" s="27">
        <f t="shared" si="0"/>
        <v>0</v>
      </c>
      <c r="AK16" s="27">
        <f t="shared" si="1"/>
        <v>0</v>
      </c>
      <c r="AL16" s="27">
        <v>44.561826764000003</v>
      </c>
      <c r="AM16" s="27">
        <v>0.75794274699999997</v>
      </c>
      <c r="AN16" s="80" t="s">
        <v>136</v>
      </c>
      <c r="AO16" s="80">
        <v>0</v>
      </c>
      <c r="AP16" s="80" t="s">
        <v>136</v>
      </c>
      <c r="AQ16" s="80">
        <v>0</v>
      </c>
      <c r="AR16" s="80" t="s">
        <v>136</v>
      </c>
      <c r="AS16" s="80">
        <v>0</v>
      </c>
      <c r="AT16" s="27">
        <v>22.919453397000002</v>
      </c>
      <c r="AU16" s="27">
        <v>0.99125651029999995</v>
      </c>
      <c r="AV16" s="27">
        <v>13.018578345</v>
      </c>
      <c r="AW16" s="27">
        <v>0.14825307530000001</v>
      </c>
      <c r="AX16" s="27">
        <v>6.1388419684000004</v>
      </c>
      <c r="AY16" s="27">
        <v>8.9337975400000005E-2</v>
      </c>
      <c r="AZ16" s="27">
        <v>2.779649451</v>
      </c>
      <c r="BA16" s="27">
        <v>3.2974847299999999E-2</v>
      </c>
      <c r="BB16" s="80">
        <f t="shared" si="2"/>
        <v>4.1000869255999994</v>
      </c>
      <c r="BC16" s="80">
        <f t="shared" si="3"/>
        <v>2.5940252600000005E-2</v>
      </c>
      <c r="BD16" s="27">
        <v>0</v>
      </c>
      <c r="BE16" s="80">
        <v>0</v>
      </c>
      <c r="BF16" s="27">
        <v>46.254911657999997</v>
      </c>
      <c r="BG16" s="27">
        <v>0.69360180579999997</v>
      </c>
      <c r="BH16" s="27">
        <v>1.4824510000000001E-4</v>
      </c>
      <c r="BI16" s="27">
        <v>3.2050218999999999E-7</v>
      </c>
      <c r="BJ16" s="27">
        <v>46.377367694999997</v>
      </c>
      <c r="BK16" s="27">
        <v>1.9547876837</v>
      </c>
      <c r="BL16" s="27">
        <v>23.027496562</v>
      </c>
      <c r="BM16" s="27">
        <v>0.18145718250000001</v>
      </c>
      <c r="BN16" s="27">
        <v>6.5624079312000001</v>
      </c>
      <c r="BO16" s="27">
        <v>4.4817209400000002E-2</v>
      </c>
      <c r="BP16" s="27">
        <v>1.55062285E-2</v>
      </c>
      <c r="BQ16" s="27">
        <v>2.372152E-4</v>
      </c>
      <c r="BR16" s="27">
        <v>0</v>
      </c>
      <c r="BS16" s="92">
        <v>0</v>
      </c>
      <c r="BT16" s="80" t="s">
        <v>136</v>
      </c>
      <c r="BU16" s="80">
        <v>0</v>
      </c>
      <c r="BV16" s="27">
        <v>0.1015328729</v>
      </c>
      <c r="BW16" s="27">
        <v>1.7685718999999999E-3</v>
      </c>
      <c r="BX16" s="27">
        <v>5.0921460298000003</v>
      </c>
      <c r="BY16" s="27">
        <v>4.4222364E-2</v>
      </c>
      <c r="BZ16" s="80" t="s">
        <v>136</v>
      </c>
      <c r="CA16" s="80">
        <v>0</v>
      </c>
      <c r="CB16" s="80" t="s">
        <v>136</v>
      </c>
      <c r="CC16" s="80">
        <v>0</v>
      </c>
      <c r="CD16" s="27">
        <v>0.16043064609999999</v>
      </c>
      <c r="CE16" s="27">
        <v>4.9503470000000001E-4</v>
      </c>
      <c r="CF16" s="27">
        <v>0.78146229980000004</v>
      </c>
      <c r="CG16" s="27">
        <v>2.6738906000000002E-3</v>
      </c>
      <c r="CH16" s="80" t="s">
        <v>136</v>
      </c>
      <c r="CI16" s="80">
        <v>0</v>
      </c>
      <c r="CJ16" s="80" t="s">
        <v>136</v>
      </c>
      <c r="CK16" s="80">
        <v>0</v>
      </c>
      <c r="CL16" s="80" t="s">
        <v>136</v>
      </c>
      <c r="CM16" s="80">
        <v>0</v>
      </c>
      <c r="CN16" s="80" t="s">
        <v>136</v>
      </c>
      <c r="CO16" s="80">
        <v>0</v>
      </c>
      <c r="CP16" s="27">
        <v>7.2641750999999999E-3</v>
      </c>
      <c r="CQ16" s="27">
        <v>1.075719E-4</v>
      </c>
      <c r="CR16" s="27">
        <v>1.84265861E-2</v>
      </c>
      <c r="CS16" s="27">
        <v>1.917748E-4</v>
      </c>
      <c r="CT16" s="27">
        <v>0.2110525624</v>
      </c>
      <c r="CU16" s="27">
        <v>3.0788316E-3</v>
      </c>
      <c r="CV16" s="27">
        <v>6.1263308003999999</v>
      </c>
      <c r="CW16" s="27">
        <v>0.15454908049999999</v>
      </c>
      <c r="CX16" s="80" t="s">
        <v>136</v>
      </c>
      <c r="CY16" s="80">
        <v>0</v>
      </c>
      <c r="CZ16" s="80" t="s">
        <v>136</v>
      </c>
      <c r="DA16" s="80">
        <v>0</v>
      </c>
      <c r="DB16" s="27">
        <v>5.4141046358000002</v>
      </c>
      <c r="DC16" s="27">
        <v>0.1274445854</v>
      </c>
      <c r="DD16" s="27">
        <v>17.505348761</v>
      </c>
      <c r="DE16" s="27">
        <v>0.86381192490000003</v>
      </c>
      <c r="DF16" s="27">
        <v>2.5545081563999998</v>
      </c>
      <c r="DG16" s="27">
        <v>0.189620557</v>
      </c>
      <c r="DH16" s="27">
        <v>43.700403500999997</v>
      </c>
      <c r="DI16" s="27">
        <v>0.50398124879999995</v>
      </c>
      <c r="DJ16" s="95">
        <v>7.7176900000000003E-5</v>
      </c>
      <c r="DK16" s="96">
        <v>1.2826259999999999E-4</v>
      </c>
      <c r="DL16" s="96">
        <v>1.433602E-4</v>
      </c>
      <c r="DM16" s="96">
        <v>1.4624819999999999E-4</v>
      </c>
      <c r="DN16" s="96">
        <v>1.4738929999999999E-4</v>
      </c>
      <c r="DO16" s="96">
        <v>1.4824510000000001E-4</v>
      </c>
      <c r="DP16" s="96">
        <v>1.4824510000000001E-4</v>
      </c>
      <c r="DQ16" s="96">
        <v>1.4824510000000001E-4</v>
      </c>
      <c r="DR16" s="96">
        <v>1.4824510000000001E-4</v>
      </c>
      <c r="DS16" s="97">
        <v>1.4824510000000001E-4</v>
      </c>
      <c r="DT16" s="93">
        <v>29.966022422999998</v>
      </c>
      <c r="DU16" s="80">
        <v>0.2208569128</v>
      </c>
      <c r="DV16" s="80">
        <v>9.4903417698000005</v>
      </c>
      <c r="DW16" s="80">
        <v>7.5072664600000005E-2</v>
      </c>
      <c r="DX16" s="80">
        <v>2.7374355225000002</v>
      </c>
      <c r="DY16" s="80">
        <v>2.33202071E-2</v>
      </c>
      <c r="DZ16" s="80">
        <v>0.72121250790000002</v>
      </c>
      <c r="EA16" s="80">
        <v>6.7718932999999999E-3</v>
      </c>
      <c r="EB16" s="80">
        <v>0.1842926198</v>
      </c>
      <c r="EC16" s="80">
        <v>2.0428387999999998E-3</v>
      </c>
      <c r="ED16" s="80">
        <v>5.0051313299999997E-2</v>
      </c>
      <c r="EE16" s="80">
        <v>7.499599E-4</v>
      </c>
      <c r="EF16" s="80">
        <v>1.6711726199999999E-2</v>
      </c>
      <c r="EG16" s="80">
        <v>3.797343E-4</v>
      </c>
      <c r="EH16" s="80">
        <v>8.6966053999999997E-3</v>
      </c>
      <c r="EI16" s="80">
        <v>2.5698730000000002E-4</v>
      </c>
      <c r="EJ16" s="80">
        <v>5.5100803999999998E-3</v>
      </c>
      <c r="EK16" s="80">
        <v>1.8883140000000001E-4</v>
      </c>
      <c r="EL16" s="80">
        <v>3.9351849999999999E-3</v>
      </c>
      <c r="EM16" s="94">
        <v>1.421064E-4</v>
      </c>
      <c r="EN16" s="80"/>
      <c r="EO16" s="80"/>
      <c r="EP16" s="80"/>
      <c r="EQ16" s="80"/>
      <c r="ER16" s="80"/>
      <c r="ES16" s="80"/>
      <c r="ET16" s="80"/>
      <c r="EU16" s="80"/>
      <c r="EV16" s="80"/>
      <c r="EW16" s="94"/>
    </row>
    <row r="17" spans="1:153" x14ac:dyDescent="0.2">
      <c r="A17" s="79">
        <v>1200</v>
      </c>
      <c r="B17" s="27">
        <v>69756</v>
      </c>
      <c r="C17" s="79">
        <v>839.01402846999997</v>
      </c>
      <c r="D17" s="27">
        <v>1149.4592817</v>
      </c>
      <c r="E17" s="27">
        <v>14.603916545000001</v>
      </c>
      <c r="F17" s="27">
        <v>2.8132540099999999E-2</v>
      </c>
      <c r="G17" s="79">
        <v>5.2751414199999999E-2</v>
      </c>
      <c r="H17" s="27">
        <v>8.8683600000000006E-5</v>
      </c>
      <c r="I17" s="27">
        <v>91.325706330000003</v>
      </c>
      <c r="J17" s="27">
        <v>0.61486037319999998</v>
      </c>
      <c r="K17" s="27">
        <f t="shared" si="4"/>
        <v>148.53080522119424</v>
      </c>
      <c r="L17" s="27">
        <v>37.582820452</v>
      </c>
      <c r="M17" s="27">
        <v>0.2392482782</v>
      </c>
      <c r="N17" s="27">
        <v>5.8300468257000002</v>
      </c>
      <c r="O17" s="27">
        <v>5.1407319999999999E-2</v>
      </c>
      <c r="P17" s="80" t="s">
        <v>136</v>
      </c>
      <c r="Q17" s="80">
        <v>0</v>
      </c>
      <c r="R17" s="27">
        <v>1.2708850211</v>
      </c>
      <c r="S17" s="27">
        <v>3.9007311999999998E-3</v>
      </c>
      <c r="T17" s="80" t="s">
        <v>136</v>
      </c>
      <c r="U17" s="80">
        <v>0</v>
      </c>
      <c r="V17" s="80" t="s">
        <v>136</v>
      </c>
      <c r="W17" s="80">
        <v>0</v>
      </c>
      <c r="X17" s="27">
        <v>3.2901214999999998E-2</v>
      </c>
      <c r="Y17" s="27">
        <v>3.9508389999999999E-4</v>
      </c>
      <c r="Z17" s="27">
        <v>7.1846391192999999</v>
      </c>
      <c r="AA17" s="27">
        <v>0.17837408399999999</v>
      </c>
      <c r="AB17" s="80" t="s">
        <v>136</v>
      </c>
      <c r="AC17" s="80">
        <v>0</v>
      </c>
      <c r="AD17" s="27">
        <v>0</v>
      </c>
      <c r="AE17" s="27">
        <v>0</v>
      </c>
      <c r="AF17" s="80" t="s">
        <v>136</v>
      </c>
      <c r="AG17" s="80">
        <v>0</v>
      </c>
      <c r="AH17" s="80" t="s">
        <v>136</v>
      </c>
      <c r="AI17" s="80">
        <v>0</v>
      </c>
      <c r="AJ17" s="27">
        <f t="shared" si="0"/>
        <v>0</v>
      </c>
      <c r="AK17" s="27">
        <f t="shared" si="1"/>
        <v>0</v>
      </c>
      <c r="AL17" s="27">
        <v>48.272337268000001</v>
      </c>
      <c r="AM17" s="27">
        <v>0.81543734069999996</v>
      </c>
      <c r="AN17" s="80" t="s">
        <v>136</v>
      </c>
      <c r="AO17" s="80">
        <v>0</v>
      </c>
      <c r="AP17" s="80" t="s">
        <v>136</v>
      </c>
      <c r="AQ17" s="80">
        <v>0</v>
      </c>
      <c r="AR17" s="80" t="s">
        <v>136</v>
      </c>
      <c r="AS17" s="80">
        <v>0</v>
      </c>
      <c r="AT17" s="27">
        <v>25.240636898000002</v>
      </c>
      <c r="AU17" s="27">
        <v>1.0710896706999999</v>
      </c>
      <c r="AV17" s="27">
        <v>14.777018478</v>
      </c>
      <c r="AW17" s="27">
        <v>0.1636890832</v>
      </c>
      <c r="AX17" s="27">
        <v>6.9489162293</v>
      </c>
      <c r="AY17" s="27">
        <v>9.8651608700000004E-2</v>
      </c>
      <c r="AZ17" s="27">
        <v>3.0861597597000001</v>
      </c>
      <c r="BA17" s="27">
        <v>3.5806350700000003E-2</v>
      </c>
      <c r="BB17" s="80">
        <f t="shared" si="2"/>
        <v>4.7419424890000013</v>
      </c>
      <c r="BC17" s="80">
        <f t="shared" si="3"/>
        <v>2.9231123800000008E-2</v>
      </c>
      <c r="BD17" s="27">
        <v>0</v>
      </c>
      <c r="BE17" s="80">
        <v>0</v>
      </c>
      <c r="BF17" s="27">
        <v>50.240949764</v>
      </c>
      <c r="BG17" s="27">
        <v>0.74692878129999996</v>
      </c>
      <c r="BH17" s="27">
        <v>1.652115E-4</v>
      </c>
      <c r="BI17" s="27">
        <v>3.0363630999999999E-7</v>
      </c>
      <c r="BJ17" s="27">
        <v>50.586729968</v>
      </c>
      <c r="BK17" s="27">
        <v>2.0932110483000002</v>
      </c>
      <c r="BL17" s="27">
        <v>26.791538075999998</v>
      </c>
      <c r="BM17" s="27">
        <v>0.20992903130000001</v>
      </c>
      <c r="BN17" s="27">
        <v>7.5484542784000004</v>
      </c>
      <c r="BO17" s="27">
        <v>5.0077474800000001E-2</v>
      </c>
      <c r="BP17" s="27">
        <v>1.7152157000000001E-2</v>
      </c>
      <c r="BQ17" s="27">
        <v>2.576438E-4</v>
      </c>
      <c r="BR17" s="27">
        <v>0</v>
      </c>
      <c r="BS17" s="92">
        <v>0</v>
      </c>
      <c r="BT17" s="80" t="s">
        <v>136</v>
      </c>
      <c r="BU17" s="80">
        <v>0</v>
      </c>
      <c r="BV17" s="27">
        <v>0.1177214268</v>
      </c>
      <c r="BW17" s="27">
        <v>1.9987275999999998E-3</v>
      </c>
      <c r="BX17" s="27">
        <v>5.7123253988</v>
      </c>
      <c r="BY17" s="27">
        <v>4.94085924E-2</v>
      </c>
      <c r="BZ17" s="80" t="s">
        <v>136</v>
      </c>
      <c r="CA17" s="80">
        <v>0</v>
      </c>
      <c r="CB17" s="80" t="s">
        <v>136</v>
      </c>
      <c r="CC17" s="80">
        <v>0</v>
      </c>
      <c r="CD17" s="27">
        <v>0.23271481629999999</v>
      </c>
      <c r="CE17" s="27">
        <v>6.2631899999999996E-4</v>
      </c>
      <c r="CF17" s="27">
        <v>1.0381702048000001</v>
      </c>
      <c r="CG17" s="27">
        <v>3.2744122000000001E-3</v>
      </c>
      <c r="CH17" s="80" t="s">
        <v>136</v>
      </c>
      <c r="CI17" s="80">
        <v>0</v>
      </c>
      <c r="CJ17" s="80" t="s">
        <v>136</v>
      </c>
      <c r="CK17" s="80">
        <v>0</v>
      </c>
      <c r="CL17" s="80" t="s">
        <v>136</v>
      </c>
      <c r="CM17" s="80">
        <v>0</v>
      </c>
      <c r="CN17" s="80" t="s">
        <v>136</v>
      </c>
      <c r="CO17" s="80">
        <v>0</v>
      </c>
      <c r="CP17" s="27">
        <v>9.2015833999999994E-3</v>
      </c>
      <c r="CQ17" s="27">
        <v>1.477281E-4</v>
      </c>
      <c r="CR17" s="27">
        <v>2.36996316E-2</v>
      </c>
      <c r="CS17" s="27">
        <v>2.4735579999999999E-4</v>
      </c>
      <c r="CT17" s="27">
        <v>0.25244195689999999</v>
      </c>
      <c r="CU17" s="27">
        <v>3.6471297000000001E-3</v>
      </c>
      <c r="CV17" s="27">
        <v>6.9321971622999996</v>
      </c>
      <c r="CW17" s="27">
        <v>0.17472695429999999</v>
      </c>
      <c r="CX17" s="80" t="s">
        <v>136</v>
      </c>
      <c r="CY17" s="80">
        <v>0</v>
      </c>
      <c r="CZ17" s="80" t="s">
        <v>136</v>
      </c>
      <c r="DA17" s="80">
        <v>0</v>
      </c>
      <c r="DB17" s="27">
        <v>6.1222976792999999</v>
      </c>
      <c r="DC17" s="27">
        <v>0.1410517691</v>
      </c>
      <c r="DD17" s="27">
        <v>19.118339218999999</v>
      </c>
      <c r="DE17" s="27">
        <v>0.93003790159999999</v>
      </c>
      <c r="DF17" s="27">
        <v>2.8901972721</v>
      </c>
      <c r="DG17" s="27">
        <v>0.2083550636</v>
      </c>
      <c r="DH17" s="27">
        <v>47.350752491999998</v>
      </c>
      <c r="DI17" s="27">
        <v>0.53857371769999995</v>
      </c>
      <c r="DJ17" s="95">
        <v>8.7569699999999996E-5</v>
      </c>
      <c r="DK17" s="96">
        <v>1.4300200000000001E-4</v>
      </c>
      <c r="DL17" s="96">
        <v>1.6028289999999999E-4</v>
      </c>
      <c r="DM17" s="96">
        <v>1.6332090000000001E-4</v>
      </c>
      <c r="DN17" s="96">
        <v>1.6440129999999999E-4</v>
      </c>
      <c r="DO17" s="96">
        <v>1.652115E-4</v>
      </c>
      <c r="DP17" s="96">
        <v>1.652115E-4</v>
      </c>
      <c r="DQ17" s="96">
        <v>1.652115E-4</v>
      </c>
      <c r="DR17" s="96">
        <v>1.652115E-4</v>
      </c>
      <c r="DS17" s="97">
        <v>1.652115E-4</v>
      </c>
      <c r="DT17" s="93">
        <v>33.28787784</v>
      </c>
      <c r="DU17" s="80">
        <v>0.24354571420000001</v>
      </c>
      <c r="DV17" s="80">
        <v>11.156548782</v>
      </c>
      <c r="DW17" s="80">
        <v>8.7190994800000005E-2</v>
      </c>
      <c r="DX17" s="80">
        <v>3.4542389362999999</v>
      </c>
      <c r="DY17" s="80">
        <v>2.89066223E-2</v>
      </c>
      <c r="DZ17" s="80">
        <v>0.98764705129999997</v>
      </c>
      <c r="EA17" s="80">
        <v>9.0331709999999996E-3</v>
      </c>
      <c r="EB17" s="80">
        <v>0.27756075279999998</v>
      </c>
      <c r="EC17" s="80">
        <v>2.9280611000000001E-3</v>
      </c>
      <c r="ED17" s="80">
        <v>8.1769941299999996E-2</v>
      </c>
      <c r="EE17" s="80">
        <v>1.1044982E-3</v>
      </c>
      <c r="EF17" s="80">
        <v>2.7895106499999999E-2</v>
      </c>
      <c r="EG17" s="80">
        <v>5.4329560000000005E-4</v>
      </c>
      <c r="EH17" s="80">
        <v>1.3364851699999999E-2</v>
      </c>
      <c r="EI17" s="80">
        <v>3.5023340000000001E-4</v>
      </c>
      <c r="EJ17" s="80">
        <v>7.9505979000000001E-3</v>
      </c>
      <c r="EK17" s="80">
        <v>2.5263359999999998E-4</v>
      </c>
      <c r="EL17" s="80">
        <v>5.5021675999999999E-3</v>
      </c>
      <c r="EM17" s="94">
        <v>1.8903710000000001E-4</v>
      </c>
      <c r="EN17" s="80"/>
      <c r="EO17" s="80"/>
      <c r="EP17" s="80"/>
      <c r="EQ17" s="80"/>
      <c r="ER17" s="80"/>
      <c r="ES17" s="80"/>
      <c r="ET17" s="80"/>
      <c r="EU17" s="80"/>
      <c r="EV17" s="80"/>
      <c r="EW17" s="94"/>
    </row>
    <row r="18" spans="1:153" x14ac:dyDescent="0.2">
      <c r="A18" s="79">
        <v>1300</v>
      </c>
      <c r="B18" s="27">
        <v>65010</v>
      </c>
      <c r="C18" s="79">
        <v>895.40469122000002</v>
      </c>
      <c r="D18" s="27">
        <v>1249.5687576</v>
      </c>
      <c r="E18" s="27">
        <v>16.866040575</v>
      </c>
      <c r="F18" s="27">
        <v>3.1086397299999999E-2</v>
      </c>
      <c r="G18" s="79">
        <v>7.3299855600000005E-2</v>
      </c>
      <c r="H18" s="27">
        <v>1.096004E-4</v>
      </c>
      <c r="I18" s="27">
        <v>96.232118572999994</v>
      </c>
      <c r="J18" s="27">
        <v>0.64661169730000001</v>
      </c>
      <c r="K18" s="27">
        <f t="shared" si="4"/>
        <v>148.82520525816042</v>
      </c>
      <c r="L18" s="27">
        <v>40.205531667000002</v>
      </c>
      <c r="M18" s="27">
        <v>0.25510330510000001</v>
      </c>
      <c r="N18" s="27">
        <v>6.4344305632000003</v>
      </c>
      <c r="O18" s="27">
        <v>5.6295237800000002E-2</v>
      </c>
      <c r="P18" s="80" t="s">
        <v>136</v>
      </c>
      <c r="Q18" s="80">
        <v>0</v>
      </c>
      <c r="R18" s="27">
        <v>1.6767462077999999</v>
      </c>
      <c r="S18" s="27">
        <v>4.7996317000000002E-3</v>
      </c>
      <c r="T18" s="80" t="s">
        <v>136</v>
      </c>
      <c r="U18" s="80">
        <v>0</v>
      </c>
      <c r="V18" s="80" t="s">
        <v>136</v>
      </c>
      <c r="W18" s="80">
        <v>0</v>
      </c>
      <c r="X18" s="27">
        <v>3.7675023199999998E-2</v>
      </c>
      <c r="Y18" s="27">
        <v>4.407244E-4</v>
      </c>
      <c r="Z18" s="27">
        <v>8.0994447567000005</v>
      </c>
      <c r="AA18" s="27">
        <v>0.20015655660000001</v>
      </c>
      <c r="AB18" s="80" t="s">
        <v>136</v>
      </c>
      <c r="AC18" s="80">
        <v>0</v>
      </c>
      <c r="AD18" s="27">
        <v>0</v>
      </c>
      <c r="AE18" s="27">
        <v>0</v>
      </c>
      <c r="AF18" s="80" t="s">
        <v>136</v>
      </c>
      <c r="AG18" s="80">
        <v>0</v>
      </c>
      <c r="AH18" s="80" t="s">
        <v>136</v>
      </c>
      <c r="AI18" s="80">
        <v>0</v>
      </c>
      <c r="AJ18" s="27">
        <f t="shared" si="0"/>
        <v>0</v>
      </c>
      <c r="AK18" s="27">
        <f t="shared" si="1"/>
        <v>0</v>
      </c>
      <c r="AL18" s="27">
        <v>51.7315775</v>
      </c>
      <c r="AM18" s="27">
        <v>0.868016652</v>
      </c>
      <c r="AN18" s="80" t="s">
        <v>136</v>
      </c>
      <c r="AO18" s="80">
        <v>0</v>
      </c>
      <c r="AP18" s="80" t="s">
        <v>136</v>
      </c>
      <c r="AQ18" s="80">
        <v>0</v>
      </c>
      <c r="AR18" s="80" t="s">
        <v>136</v>
      </c>
      <c r="AS18" s="80">
        <v>0</v>
      </c>
      <c r="AT18" s="27">
        <v>27.463876782</v>
      </c>
      <c r="AU18" s="27">
        <v>1.1454898189</v>
      </c>
      <c r="AV18" s="27">
        <v>16.571658005</v>
      </c>
      <c r="AW18" s="27">
        <v>0.17881937440000001</v>
      </c>
      <c r="AX18" s="27">
        <v>7.7789907733000003</v>
      </c>
      <c r="AY18" s="27">
        <v>0.10791348689999999</v>
      </c>
      <c r="AZ18" s="27">
        <v>3.3887380233000002</v>
      </c>
      <c r="BA18" s="27">
        <v>3.8429030900000001E-2</v>
      </c>
      <c r="BB18" s="80">
        <f t="shared" si="2"/>
        <v>5.4039292083999992</v>
      </c>
      <c r="BC18" s="80">
        <f t="shared" si="3"/>
        <v>3.247685660000002E-2</v>
      </c>
      <c r="BD18" s="27">
        <v>0</v>
      </c>
      <c r="BE18" s="80">
        <v>0</v>
      </c>
      <c r="BF18" s="27">
        <v>54.136239140999997</v>
      </c>
      <c r="BG18" s="27">
        <v>0.79761648659999995</v>
      </c>
      <c r="BH18" s="27">
        <v>2.0279710000000001E-4</v>
      </c>
      <c r="BI18" s="27">
        <v>2.8966109999999998E-7</v>
      </c>
      <c r="BJ18" s="27">
        <v>54.646013809000003</v>
      </c>
      <c r="BK18" s="27">
        <v>2.2234262663000002</v>
      </c>
      <c r="BL18" s="27">
        <v>30.941886013000001</v>
      </c>
      <c r="BM18" s="27">
        <v>0.24154175980000001</v>
      </c>
      <c r="BN18" s="27">
        <v>8.5893120061000001</v>
      </c>
      <c r="BO18" s="27">
        <v>5.5520554600000001E-2</v>
      </c>
      <c r="BP18" s="27">
        <v>2.05143497E-2</v>
      </c>
      <c r="BQ18" s="27">
        <v>3.0836379999999998E-4</v>
      </c>
      <c r="BR18" s="27">
        <v>0</v>
      </c>
      <c r="BS18" s="92">
        <v>0</v>
      </c>
      <c r="BT18" s="80" t="s">
        <v>136</v>
      </c>
      <c r="BU18" s="80">
        <v>0</v>
      </c>
      <c r="BV18" s="27">
        <v>0.12826781849999999</v>
      </c>
      <c r="BW18" s="27">
        <v>2.1468927999999999E-3</v>
      </c>
      <c r="BX18" s="27">
        <v>6.3061627446999999</v>
      </c>
      <c r="BY18" s="27">
        <v>5.4148345000000001E-2</v>
      </c>
      <c r="BZ18" s="80" t="s">
        <v>136</v>
      </c>
      <c r="CA18" s="80">
        <v>0</v>
      </c>
      <c r="CB18" s="80" t="s">
        <v>136</v>
      </c>
      <c r="CC18" s="80">
        <v>0</v>
      </c>
      <c r="CD18" s="27">
        <v>0.32959897310000003</v>
      </c>
      <c r="CE18" s="27">
        <v>7.9266180000000001E-4</v>
      </c>
      <c r="CF18" s="27">
        <v>1.3471472346</v>
      </c>
      <c r="CG18" s="27">
        <v>4.0069698999999999E-3</v>
      </c>
      <c r="CH18" s="80" t="s">
        <v>136</v>
      </c>
      <c r="CI18" s="80">
        <v>0</v>
      </c>
      <c r="CJ18" s="80" t="s">
        <v>136</v>
      </c>
      <c r="CK18" s="80">
        <v>0</v>
      </c>
      <c r="CL18" s="80" t="s">
        <v>136</v>
      </c>
      <c r="CM18" s="80">
        <v>0</v>
      </c>
      <c r="CN18" s="80" t="s">
        <v>136</v>
      </c>
      <c r="CO18" s="80">
        <v>0</v>
      </c>
      <c r="CP18" s="27">
        <v>1.0610732100000001E-2</v>
      </c>
      <c r="CQ18" s="27">
        <v>1.573914E-4</v>
      </c>
      <c r="CR18" s="27">
        <v>2.7064291099999999E-2</v>
      </c>
      <c r="CS18" s="27">
        <v>2.8333299999999998E-4</v>
      </c>
      <c r="CT18" s="27">
        <v>0.30591121290000001</v>
      </c>
      <c r="CU18" s="27">
        <v>4.4478616000000002E-3</v>
      </c>
      <c r="CV18" s="27">
        <v>7.7935335437999997</v>
      </c>
      <c r="CW18" s="27">
        <v>0.1957086951</v>
      </c>
      <c r="CX18" s="80" t="s">
        <v>136</v>
      </c>
      <c r="CY18" s="80">
        <v>0</v>
      </c>
      <c r="CZ18" s="80" t="s">
        <v>136</v>
      </c>
      <c r="DA18" s="80">
        <v>0</v>
      </c>
      <c r="DB18" s="27">
        <v>6.8038197801000004</v>
      </c>
      <c r="DC18" s="27">
        <v>0.15400268659999999</v>
      </c>
      <c r="DD18" s="27">
        <v>20.660057001999999</v>
      </c>
      <c r="DE18" s="27">
        <v>0.99148713219999995</v>
      </c>
      <c r="DF18" s="27">
        <v>3.2097227167</v>
      </c>
      <c r="DG18" s="27">
        <v>0.22611929410000001</v>
      </c>
      <c r="DH18" s="27">
        <v>50.926516423999999</v>
      </c>
      <c r="DI18" s="27">
        <v>0.57149719249999997</v>
      </c>
      <c r="DJ18" s="95">
        <v>1.0853640000000001E-4</v>
      </c>
      <c r="DK18" s="96">
        <v>1.77591E-4</v>
      </c>
      <c r="DL18" s="96">
        <v>1.9635E-4</v>
      </c>
      <c r="DM18" s="96">
        <v>1.998317E-4</v>
      </c>
      <c r="DN18" s="96">
        <v>2.014435E-4</v>
      </c>
      <c r="DO18" s="96">
        <v>2.0279710000000001E-4</v>
      </c>
      <c r="DP18" s="96">
        <v>2.0279710000000001E-4</v>
      </c>
      <c r="DQ18" s="96">
        <v>2.0279710000000001E-4</v>
      </c>
      <c r="DR18" s="96">
        <v>2.0279710000000001E-4</v>
      </c>
      <c r="DS18" s="97">
        <v>2.0279710000000001E-4</v>
      </c>
      <c r="DT18" s="93">
        <v>36.373859756000002</v>
      </c>
      <c r="DU18" s="80">
        <v>0.26461319360000002</v>
      </c>
      <c r="DV18" s="80">
        <v>12.749615377</v>
      </c>
      <c r="DW18" s="80">
        <v>9.8733355600000003E-2</v>
      </c>
      <c r="DX18" s="80">
        <v>4.1697749541000002</v>
      </c>
      <c r="DY18" s="80">
        <v>3.44315096E-2</v>
      </c>
      <c r="DZ18" s="80">
        <v>1.2785681969</v>
      </c>
      <c r="EA18" s="80">
        <v>1.14446897E-2</v>
      </c>
      <c r="EB18" s="80">
        <v>0.38647909600000002</v>
      </c>
      <c r="EC18" s="80">
        <v>3.9240710999999999E-3</v>
      </c>
      <c r="ED18" s="80">
        <v>0.1214912885</v>
      </c>
      <c r="EE18" s="80">
        <v>1.5260826E-3</v>
      </c>
      <c r="EF18" s="80">
        <v>4.2228294999999999E-2</v>
      </c>
      <c r="EG18" s="80">
        <v>7.3717640000000001E-4</v>
      </c>
      <c r="EH18" s="80">
        <v>1.98119517E-2</v>
      </c>
      <c r="EI18" s="80">
        <v>4.6372749999999999E-4</v>
      </c>
      <c r="EJ18" s="80">
        <v>1.1263055900000001E-2</v>
      </c>
      <c r="EK18" s="80">
        <v>3.2954380000000001E-4</v>
      </c>
      <c r="EL18" s="80">
        <v>7.5269317000000004E-3</v>
      </c>
      <c r="EM18" s="94">
        <v>2.4736339999999998E-4</v>
      </c>
      <c r="EN18" s="80"/>
      <c r="EO18" s="80"/>
      <c r="EP18" s="80"/>
      <c r="EQ18" s="80"/>
      <c r="ER18" s="80"/>
      <c r="ES18" s="80"/>
      <c r="ET18" s="80"/>
      <c r="EU18" s="80"/>
      <c r="EV18" s="80"/>
      <c r="EW18" s="94"/>
    </row>
    <row r="19" spans="1:153" x14ac:dyDescent="0.2">
      <c r="A19" s="79">
        <v>1400</v>
      </c>
      <c r="B19" s="27">
        <v>61594</v>
      </c>
      <c r="C19" s="79">
        <v>950.27524086999995</v>
      </c>
      <c r="D19" s="27">
        <v>1349.4916181999999</v>
      </c>
      <c r="E19" s="27">
        <v>19.174049138000001</v>
      </c>
      <c r="F19" s="27">
        <v>3.3963518700000001E-2</v>
      </c>
      <c r="G19" s="79">
        <v>9.5470512699999996E-2</v>
      </c>
      <c r="H19" s="27">
        <v>1.2983609999999999E-4</v>
      </c>
      <c r="I19" s="27">
        <v>100.79608373000001</v>
      </c>
      <c r="J19" s="27">
        <v>0.67603588169999995</v>
      </c>
      <c r="K19" s="27">
        <f t="shared" si="4"/>
        <v>149.09871866051279</v>
      </c>
      <c r="L19" s="27">
        <v>42.740896632000002</v>
      </c>
      <c r="M19" s="27">
        <v>0.27041108539999997</v>
      </c>
      <c r="N19" s="27">
        <v>7.0580980961000002</v>
      </c>
      <c r="O19" s="27">
        <v>6.1301629900000001E-2</v>
      </c>
      <c r="P19" s="80" t="s">
        <v>136</v>
      </c>
      <c r="Q19" s="80">
        <v>0</v>
      </c>
      <c r="R19" s="27">
        <v>2.1341088805999999</v>
      </c>
      <c r="S19" s="27">
        <v>5.7621477999999999E-3</v>
      </c>
      <c r="T19" s="80" t="s">
        <v>136</v>
      </c>
      <c r="U19" s="80">
        <v>0</v>
      </c>
      <c r="V19" s="80" t="s">
        <v>136</v>
      </c>
      <c r="W19" s="80">
        <v>0</v>
      </c>
      <c r="X19" s="27">
        <v>4.3619156300000003E-2</v>
      </c>
      <c r="Y19" s="27">
        <v>5.0484010000000003E-4</v>
      </c>
      <c r="Z19" s="27">
        <v>9.0140403983000006</v>
      </c>
      <c r="AA19" s="27">
        <v>0.22196686239999999</v>
      </c>
      <c r="AB19" s="80" t="s">
        <v>136</v>
      </c>
      <c r="AC19" s="80">
        <v>0</v>
      </c>
      <c r="AD19" s="27">
        <v>0</v>
      </c>
      <c r="AE19" s="27">
        <v>0</v>
      </c>
      <c r="AF19" s="80" t="s">
        <v>136</v>
      </c>
      <c r="AG19" s="80">
        <v>0</v>
      </c>
      <c r="AH19" s="80" t="s">
        <v>136</v>
      </c>
      <c r="AI19" s="80">
        <v>0</v>
      </c>
      <c r="AJ19" s="27">
        <f t="shared" si="0"/>
        <v>0</v>
      </c>
      <c r="AK19" s="27">
        <f t="shared" si="1"/>
        <v>0</v>
      </c>
      <c r="AL19" s="27">
        <v>55.035526683999997</v>
      </c>
      <c r="AM19" s="27">
        <v>0.91700292679999995</v>
      </c>
      <c r="AN19" s="80" t="s">
        <v>136</v>
      </c>
      <c r="AO19" s="80">
        <v>0</v>
      </c>
      <c r="AP19" s="80" t="s">
        <v>136</v>
      </c>
      <c r="AQ19" s="80">
        <v>0</v>
      </c>
      <c r="AR19" s="80" t="s">
        <v>136</v>
      </c>
      <c r="AS19" s="80">
        <v>0</v>
      </c>
      <c r="AT19" s="27">
        <v>29.647703735</v>
      </c>
      <c r="AU19" s="27">
        <v>1.2160432224</v>
      </c>
      <c r="AV19" s="27">
        <v>18.414089271000002</v>
      </c>
      <c r="AW19" s="27">
        <v>0.19398006570000001</v>
      </c>
      <c r="AX19" s="27">
        <v>8.5869903513000008</v>
      </c>
      <c r="AY19" s="27">
        <v>0.1170124474</v>
      </c>
      <c r="AZ19" s="27">
        <v>3.6978203070000002</v>
      </c>
      <c r="BA19" s="27">
        <v>4.1084545700000002E-2</v>
      </c>
      <c r="BB19" s="80">
        <f t="shared" si="2"/>
        <v>6.1292786127000003</v>
      </c>
      <c r="BC19" s="80">
        <f t="shared" si="3"/>
        <v>3.588307260000001E-2</v>
      </c>
      <c r="BD19" s="27">
        <v>0</v>
      </c>
      <c r="BE19" s="80">
        <v>0</v>
      </c>
      <c r="BF19" s="27">
        <v>58.031724185999998</v>
      </c>
      <c r="BG19" s="27">
        <v>0.8457683412</v>
      </c>
      <c r="BH19" s="27">
        <v>2.4169149999999999E-4</v>
      </c>
      <c r="BI19" s="27">
        <v>2.7754914999999998E-7</v>
      </c>
      <c r="BJ19" s="27">
        <v>58.540509247999999</v>
      </c>
      <c r="BK19" s="27">
        <v>2.3448240114000001</v>
      </c>
      <c r="BL19" s="27">
        <v>35.353304856999998</v>
      </c>
      <c r="BM19" s="27">
        <v>0.27485562120000001</v>
      </c>
      <c r="BN19" s="27">
        <v>9.6866491725999992</v>
      </c>
      <c r="BO19" s="27">
        <v>6.11614246E-2</v>
      </c>
      <c r="BP19" s="27">
        <v>2.2549860800000002E-2</v>
      </c>
      <c r="BQ19" s="27">
        <v>3.4584900000000002E-4</v>
      </c>
      <c r="BR19" s="27">
        <v>0</v>
      </c>
      <c r="BS19" s="92">
        <v>0</v>
      </c>
      <c r="BT19" s="80" t="s">
        <v>136</v>
      </c>
      <c r="BU19" s="80">
        <v>0</v>
      </c>
      <c r="BV19" s="27">
        <v>0.1366563069</v>
      </c>
      <c r="BW19" s="27">
        <v>2.2478405999999999E-3</v>
      </c>
      <c r="BX19" s="27">
        <v>6.9214417892000002</v>
      </c>
      <c r="BY19" s="27">
        <v>5.9053789299999999E-2</v>
      </c>
      <c r="BZ19" s="80" t="s">
        <v>136</v>
      </c>
      <c r="CA19" s="80">
        <v>0</v>
      </c>
      <c r="CB19" s="80" t="s">
        <v>136</v>
      </c>
      <c r="CC19" s="80">
        <v>0</v>
      </c>
      <c r="CD19" s="27">
        <v>0.4582290825</v>
      </c>
      <c r="CE19" s="27">
        <v>1.0039981999999999E-3</v>
      </c>
      <c r="CF19" s="27">
        <v>1.6758797981</v>
      </c>
      <c r="CG19" s="27">
        <v>4.7581495999999999E-3</v>
      </c>
      <c r="CH19" s="80" t="s">
        <v>136</v>
      </c>
      <c r="CI19" s="80">
        <v>0</v>
      </c>
      <c r="CJ19" s="80" t="s">
        <v>136</v>
      </c>
      <c r="CK19" s="80">
        <v>0</v>
      </c>
      <c r="CL19" s="80" t="s">
        <v>136</v>
      </c>
      <c r="CM19" s="80">
        <v>0</v>
      </c>
      <c r="CN19" s="80" t="s">
        <v>136</v>
      </c>
      <c r="CO19" s="80">
        <v>0</v>
      </c>
      <c r="CP19" s="27">
        <v>1.16835094E-2</v>
      </c>
      <c r="CQ19" s="27">
        <v>1.646811E-4</v>
      </c>
      <c r="CR19" s="27">
        <v>3.1935646900000003E-2</v>
      </c>
      <c r="CS19" s="27">
        <v>3.4015899999999998E-4</v>
      </c>
      <c r="CT19" s="27">
        <v>0.36764777170000001</v>
      </c>
      <c r="CU19" s="27">
        <v>5.2668115999999999E-3</v>
      </c>
      <c r="CV19" s="27">
        <v>8.6463926266000009</v>
      </c>
      <c r="CW19" s="27">
        <v>0.21670005070000001</v>
      </c>
      <c r="CX19" s="80" t="s">
        <v>136</v>
      </c>
      <c r="CY19" s="80">
        <v>0</v>
      </c>
      <c r="CZ19" s="80" t="s">
        <v>136</v>
      </c>
      <c r="DA19" s="80">
        <v>0</v>
      </c>
      <c r="DB19" s="27">
        <v>7.4945652886999996</v>
      </c>
      <c r="DC19" s="27">
        <v>0.1666644427</v>
      </c>
      <c r="DD19" s="27">
        <v>22.153138446</v>
      </c>
      <c r="DE19" s="27">
        <v>1.0493787797</v>
      </c>
      <c r="DF19" s="27">
        <v>3.552611615</v>
      </c>
      <c r="DG19" s="27">
        <v>0.24304842039999999</v>
      </c>
      <c r="DH19" s="27">
        <v>54.479112571000002</v>
      </c>
      <c r="DI19" s="27">
        <v>0.60271992090000004</v>
      </c>
      <c r="DJ19" s="95">
        <v>1.2881549999999999E-4</v>
      </c>
      <c r="DK19" s="96">
        <v>2.1042829999999999E-4</v>
      </c>
      <c r="DL19" s="96">
        <v>2.3306910000000001E-4</v>
      </c>
      <c r="DM19" s="96">
        <v>2.3738669999999999E-4</v>
      </c>
      <c r="DN19" s="96">
        <v>2.3966290000000001E-4</v>
      </c>
      <c r="DO19" s="96">
        <v>2.4169149999999999E-4</v>
      </c>
      <c r="DP19" s="96">
        <v>2.4169149999999999E-4</v>
      </c>
      <c r="DQ19" s="96">
        <v>2.4169149999999999E-4</v>
      </c>
      <c r="DR19" s="96">
        <v>2.4169149999999999E-4</v>
      </c>
      <c r="DS19" s="97">
        <v>2.4169149999999999E-4</v>
      </c>
      <c r="DT19" s="93">
        <v>39.308492100000002</v>
      </c>
      <c r="DU19" s="80">
        <v>0.28446002129999998</v>
      </c>
      <c r="DV19" s="80">
        <v>14.327155380000001</v>
      </c>
      <c r="DW19" s="80">
        <v>0.10997487810000001</v>
      </c>
      <c r="DX19" s="80">
        <v>4.9094650516999998</v>
      </c>
      <c r="DY19" s="80">
        <v>3.9998116399999999E-2</v>
      </c>
      <c r="DZ19" s="80">
        <v>1.5911996944</v>
      </c>
      <c r="EA19" s="80">
        <v>1.3954114300000001E-2</v>
      </c>
      <c r="EB19" s="80">
        <v>0.51124376920000003</v>
      </c>
      <c r="EC19" s="80">
        <v>5.0127627000000003E-3</v>
      </c>
      <c r="ED19" s="80">
        <v>0.16990239230000001</v>
      </c>
      <c r="EE19" s="80">
        <v>2.0014856000000001E-3</v>
      </c>
      <c r="EF19" s="80">
        <v>6.12475517E-2</v>
      </c>
      <c r="EG19" s="80">
        <v>9.5517479999999999E-4</v>
      </c>
      <c r="EH19" s="80">
        <v>2.7448268000000001E-2</v>
      </c>
      <c r="EI19" s="80">
        <v>5.7436900000000003E-4</v>
      </c>
      <c r="EJ19" s="80">
        <v>1.4935928500000001E-2</v>
      </c>
      <c r="EK19" s="80">
        <v>3.9743919999999999E-4</v>
      </c>
      <c r="EL19" s="80">
        <v>9.8760962999999997E-3</v>
      </c>
      <c r="EM19" s="94">
        <v>2.973699E-4</v>
      </c>
      <c r="EN19" s="80"/>
      <c r="EO19" s="80"/>
      <c r="EP19" s="80"/>
      <c r="EQ19" s="80"/>
      <c r="ER19" s="80"/>
      <c r="ES19" s="80"/>
      <c r="ET19" s="80"/>
      <c r="EU19" s="80"/>
      <c r="EV19" s="80"/>
      <c r="EW19" s="94"/>
    </row>
    <row r="20" spans="1:153" x14ac:dyDescent="0.2">
      <c r="A20" s="79">
        <v>1500</v>
      </c>
      <c r="B20" s="27">
        <v>58244</v>
      </c>
      <c r="C20" s="79">
        <v>1003.6087972</v>
      </c>
      <c r="D20" s="27">
        <v>1449.7236034</v>
      </c>
      <c r="E20" s="27">
        <v>21.405644253999998</v>
      </c>
      <c r="F20" s="27">
        <v>3.6639728900000001E-2</v>
      </c>
      <c r="G20" s="79">
        <v>0.12763136410000001</v>
      </c>
      <c r="H20" s="27">
        <v>1.5758530000000001E-4</v>
      </c>
      <c r="I20" s="27">
        <v>105.0441716</v>
      </c>
      <c r="J20" s="27">
        <v>0.70337585560000004</v>
      </c>
      <c r="K20" s="27">
        <f t="shared" si="4"/>
        <v>149.3428737476271</v>
      </c>
      <c r="L20" s="27">
        <v>45.210083883999999</v>
      </c>
      <c r="M20" s="27">
        <v>0.28525290819999999</v>
      </c>
      <c r="N20" s="27">
        <v>7.6704905739000004</v>
      </c>
      <c r="O20" s="27">
        <v>6.6286184299999995E-2</v>
      </c>
      <c r="P20" s="80" t="s">
        <v>136</v>
      </c>
      <c r="Q20" s="80">
        <v>0</v>
      </c>
      <c r="R20" s="27">
        <v>2.6469289921999999</v>
      </c>
      <c r="S20" s="27">
        <v>6.8008595999999996E-3</v>
      </c>
      <c r="T20" s="80" t="s">
        <v>136</v>
      </c>
      <c r="U20" s="80">
        <v>0</v>
      </c>
      <c r="V20" s="80" t="s">
        <v>136</v>
      </c>
      <c r="W20" s="80">
        <v>0</v>
      </c>
      <c r="X20" s="27">
        <v>5.1822655099999997E-2</v>
      </c>
      <c r="Y20" s="27">
        <v>5.8021440000000004E-4</v>
      </c>
      <c r="Z20" s="27">
        <v>9.9614688521999994</v>
      </c>
      <c r="AA20" s="27">
        <v>0.24466884180000001</v>
      </c>
      <c r="AB20" s="80" t="s">
        <v>136</v>
      </c>
      <c r="AC20" s="80">
        <v>0</v>
      </c>
      <c r="AD20" s="27">
        <v>0</v>
      </c>
      <c r="AE20" s="27">
        <v>0</v>
      </c>
      <c r="AF20" s="80" t="s">
        <v>136</v>
      </c>
      <c r="AG20" s="80">
        <v>0</v>
      </c>
      <c r="AH20" s="80" t="s">
        <v>136</v>
      </c>
      <c r="AI20" s="80">
        <v>0</v>
      </c>
      <c r="AJ20" s="27">
        <f t="shared" si="0"/>
        <v>0</v>
      </c>
      <c r="AK20" s="27">
        <f t="shared" si="1"/>
        <v>0</v>
      </c>
      <c r="AL20" s="27">
        <v>58.144775099999997</v>
      </c>
      <c r="AM20" s="27">
        <v>0.96285776899999997</v>
      </c>
      <c r="AN20" s="80" t="s">
        <v>136</v>
      </c>
      <c r="AO20" s="80">
        <v>0</v>
      </c>
      <c r="AP20" s="80" t="s">
        <v>136</v>
      </c>
      <c r="AQ20" s="80">
        <v>0</v>
      </c>
      <c r="AR20" s="80" t="s">
        <v>136</v>
      </c>
      <c r="AS20" s="80">
        <v>0</v>
      </c>
      <c r="AT20" s="27">
        <v>31.763248669999999</v>
      </c>
      <c r="AU20" s="27">
        <v>1.2835369414</v>
      </c>
      <c r="AV20" s="27">
        <v>20.224576469999999</v>
      </c>
      <c r="AW20" s="27">
        <v>0.20838940510000001</v>
      </c>
      <c r="AX20" s="27">
        <v>9.4138341741999998</v>
      </c>
      <c r="AY20" s="27">
        <v>0.12573892049999999</v>
      </c>
      <c r="AZ20" s="27">
        <v>3.9999070221999999</v>
      </c>
      <c r="BA20" s="27">
        <v>4.3602804100000003E-2</v>
      </c>
      <c r="BB20" s="80">
        <f t="shared" si="2"/>
        <v>6.8108352735999986</v>
      </c>
      <c r="BC20" s="80">
        <f t="shared" si="3"/>
        <v>3.9047680500000015E-2</v>
      </c>
      <c r="BD20" s="27">
        <v>0</v>
      </c>
      <c r="BE20" s="80">
        <v>0</v>
      </c>
      <c r="BF20" s="27">
        <v>61.868267729000003</v>
      </c>
      <c r="BG20" s="27">
        <v>0.89289545660000003</v>
      </c>
      <c r="BH20" s="27">
        <v>2.908128E-4</v>
      </c>
      <c r="BI20" s="27">
        <v>5.3427660999999998E-7</v>
      </c>
      <c r="BJ20" s="27">
        <v>62.260477940000001</v>
      </c>
      <c r="BK20" s="27">
        <v>2.4593890263999998</v>
      </c>
      <c r="BL20" s="27">
        <v>40.192343397000002</v>
      </c>
      <c r="BM20" s="27">
        <v>0.311850613</v>
      </c>
      <c r="BN20" s="27">
        <v>10.777223973</v>
      </c>
      <c r="BO20" s="27">
        <v>6.6735288399999995E-2</v>
      </c>
      <c r="BP20" s="27">
        <v>2.48480591E-2</v>
      </c>
      <c r="BQ20" s="27">
        <v>3.7177299999999999E-4</v>
      </c>
      <c r="BR20" s="27">
        <v>0</v>
      </c>
      <c r="BS20" s="92">
        <v>0</v>
      </c>
      <c r="BT20" s="80" t="s">
        <v>136</v>
      </c>
      <c r="BU20" s="80">
        <v>0</v>
      </c>
      <c r="BV20" s="27">
        <v>0.14603114070000001</v>
      </c>
      <c r="BW20" s="27">
        <v>2.3657379E-3</v>
      </c>
      <c r="BX20" s="27">
        <v>7.5244594331999997</v>
      </c>
      <c r="BY20" s="27">
        <v>6.3920446500000005E-2</v>
      </c>
      <c r="BZ20" s="80" t="s">
        <v>136</v>
      </c>
      <c r="CA20" s="80">
        <v>0</v>
      </c>
      <c r="CB20" s="80" t="s">
        <v>136</v>
      </c>
      <c r="CC20" s="80">
        <v>0</v>
      </c>
      <c r="CD20" s="27">
        <v>0.60290704260000005</v>
      </c>
      <c r="CE20" s="27">
        <v>1.2215046E-3</v>
      </c>
      <c r="CF20" s="27">
        <v>2.0440219495999998</v>
      </c>
      <c r="CG20" s="27">
        <v>5.5793550000000003E-3</v>
      </c>
      <c r="CH20" s="80" t="s">
        <v>136</v>
      </c>
      <c r="CI20" s="80">
        <v>0</v>
      </c>
      <c r="CJ20" s="80" t="s">
        <v>136</v>
      </c>
      <c r="CK20" s="80">
        <v>0</v>
      </c>
      <c r="CL20" s="80" t="s">
        <v>136</v>
      </c>
      <c r="CM20" s="80">
        <v>0</v>
      </c>
      <c r="CN20" s="80" t="s">
        <v>136</v>
      </c>
      <c r="CO20" s="80">
        <v>0</v>
      </c>
      <c r="CP20" s="27">
        <v>1.3301719E-2</v>
      </c>
      <c r="CQ20" s="27">
        <v>1.767633E-4</v>
      </c>
      <c r="CR20" s="27">
        <v>3.85209361E-2</v>
      </c>
      <c r="CS20" s="27">
        <v>4.0345110000000002E-4</v>
      </c>
      <c r="CT20" s="27">
        <v>0.42541705320000001</v>
      </c>
      <c r="CU20" s="27">
        <v>5.9998669999999999E-3</v>
      </c>
      <c r="CV20" s="27">
        <v>9.5360517990000009</v>
      </c>
      <c r="CW20" s="27">
        <v>0.23866897470000001</v>
      </c>
      <c r="CX20" s="80" t="s">
        <v>136</v>
      </c>
      <c r="CY20" s="80">
        <v>0</v>
      </c>
      <c r="CZ20" s="80" t="s">
        <v>136</v>
      </c>
      <c r="DA20" s="80">
        <v>0</v>
      </c>
      <c r="DB20" s="27">
        <v>8.1658618918000005</v>
      </c>
      <c r="DC20" s="27">
        <v>0.17860308729999999</v>
      </c>
      <c r="DD20" s="27">
        <v>23.597386778000001</v>
      </c>
      <c r="DE20" s="27">
        <v>1.1049338541</v>
      </c>
      <c r="DF20" s="27">
        <v>3.9398700638999999</v>
      </c>
      <c r="DG20" s="27">
        <v>0.25965898500000001</v>
      </c>
      <c r="DH20" s="27">
        <v>57.928397664999999</v>
      </c>
      <c r="DI20" s="27">
        <v>0.63323647159999996</v>
      </c>
      <c r="DJ20" s="95">
        <v>1.566018E-4</v>
      </c>
      <c r="DK20" s="96">
        <v>2.5593429999999997E-4</v>
      </c>
      <c r="DL20" s="96">
        <v>2.8219230000000001E-4</v>
      </c>
      <c r="DM20" s="96">
        <v>2.866349E-4</v>
      </c>
      <c r="DN20" s="96">
        <v>2.8884320000000001E-4</v>
      </c>
      <c r="DO20" s="96">
        <v>2.908128E-4</v>
      </c>
      <c r="DP20" s="96">
        <v>2.908128E-4</v>
      </c>
      <c r="DQ20" s="96">
        <v>2.908128E-4</v>
      </c>
      <c r="DR20" s="96">
        <v>2.908128E-4</v>
      </c>
      <c r="DS20" s="97">
        <v>2.908128E-4</v>
      </c>
      <c r="DT20" s="93">
        <v>42.090391441000001</v>
      </c>
      <c r="DU20" s="80">
        <v>0.30319851209999998</v>
      </c>
      <c r="DV20" s="80">
        <v>15.847402365000001</v>
      </c>
      <c r="DW20" s="80">
        <v>0.1207623803</v>
      </c>
      <c r="DX20" s="80">
        <v>5.6515613090999999</v>
      </c>
      <c r="DY20" s="80">
        <v>4.5560599E-2</v>
      </c>
      <c r="DZ20" s="80">
        <v>1.9201113320000001</v>
      </c>
      <c r="EA20" s="80">
        <v>1.65823012E-2</v>
      </c>
      <c r="EB20" s="80">
        <v>0.64684842300000001</v>
      </c>
      <c r="EC20" s="80">
        <v>6.1920791000000001E-3</v>
      </c>
      <c r="ED20" s="80">
        <v>0.22575116279999999</v>
      </c>
      <c r="EE20" s="80">
        <v>2.5464813999999999E-3</v>
      </c>
      <c r="EF20" s="80">
        <v>8.3831243700000002E-2</v>
      </c>
      <c r="EG20" s="80">
        <v>1.2186728999999999E-3</v>
      </c>
      <c r="EH20" s="80">
        <v>3.7207000900000002E-2</v>
      </c>
      <c r="EI20" s="80">
        <v>7.2026540000000002E-4</v>
      </c>
      <c r="EJ20" s="80">
        <v>2.02126784E-2</v>
      </c>
      <c r="EK20" s="80">
        <v>4.9492500000000001E-4</v>
      </c>
      <c r="EL20" s="80">
        <v>1.32274244E-2</v>
      </c>
      <c r="EM20" s="94">
        <v>3.7027160000000002E-4</v>
      </c>
      <c r="EN20" s="80"/>
      <c r="EO20" s="80"/>
      <c r="EP20" s="80"/>
      <c r="EQ20" s="80"/>
      <c r="ER20" s="80"/>
      <c r="ES20" s="80"/>
      <c r="ET20" s="80"/>
      <c r="EU20" s="80"/>
      <c r="EV20" s="80"/>
      <c r="EW20" s="94"/>
    </row>
    <row r="21" spans="1:153" x14ac:dyDescent="0.2">
      <c r="A21" s="79">
        <v>1600</v>
      </c>
      <c r="B21" s="27">
        <v>55101</v>
      </c>
      <c r="C21" s="79">
        <v>1055.6048674000001</v>
      </c>
      <c r="D21" s="27">
        <v>1549.5973337</v>
      </c>
      <c r="E21" s="27">
        <v>23.715141862999999</v>
      </c>
      <c r="F21" s="27">
        <v>3.9306124400000003E-2</v>
      </c>
      <c r="G21" s="79">
        <v>0.162859122</v>
      </c>
      <c r="H21" s="27">
        <v>1.8591840000000001E-4</v>
      </c>
      <c r="I21" s="27">
        <v>109.03268386000001</v>
      </c>
      <c r="J21" s="27">
        <v>0.72944036469999995</v>
      </c>
      <c r="K21" s="27">
        <f t="shared" si="4"/>
        <v>149.47443154567179</v>
      </c>
      <c r="L21" s="27">
        <v>47.547871121</v>
      </c>
      <c r="M21" s="27">
        <v>0.29940648310000001</v>
      </c>
      <c r="N21" s="27">
        <v>8.2631776778999999</v>
      </c>
      <c r="O21" s="27">
        <v>7.10687339E-2</v>
      </c>
      <c r="P21" s="80" t="s">
        <v>136</v>
      </c>
      <c r="Q21" s="80">
        <v>0</v>
      </c>
      <c r="R21" s="27">
        <v>3.2395189092000001</v>
      </c>
      <c r="S21" s="27">
        <v>8.0246316000000002E-3</v>
      </c>
      <c r="T21" s="80" t="s">
        <v>136</v>
      </c>
      <c r="U21" s="80">
        <v>0</v>
      </c>
      <c r="V21" s="80" t="s">
        <v>136</v>
      </c>
      <c r="W21" s="80">
        <v>0</v>
      </c>
      <c r="X21" s="27">
        <v>6.1202341700000003E-2</v>
      </c>
      <c r="Y21" s="27">
        <v>6.8530710000000005E-4</v>
      </c>
      <c r="Z21" s="27">
        <v>10.955035780999999</v>
      </c>
      <c r="AA21" s="27">
        <v>0.26755185009999999</v>
      </c>
      <c r="AB21" s="80" t="s">
        <v>136</v>
      </c>
      <c r="AC21" s="80">
        <v>0</v>
      </c>
      <c r="AD21" s="27">
        <v>0</v>
      </c>
      <c r="AE21" s="27">
        <v>0</v>
      </c>
      <c r="AF21" s="80" t="s">
        <v>136</v>
      </c>
      <c r="AG21" s="80">
        <v>0</v>
      </c>
      <c r="AH21" s="80" t="s">
        <v>136</v>
      </c>
      <c r="AI21" s="80">
        <v>0</v>
      </c>
      <c r="AJ21" s="27">
        <f t="shared" si="0"/>
        <v>0</v>
      </c>
      <c r="AK21" s="27">
        <f t="shared" si="1"/>
        <v>0</v>
      </c>
      <c r="AL21" s="27">
        <v>61.133716065000002</v>
      </c>
      <c r="AM21" s="27">
        <v>1.0054700541999999</v>
      </c>
      <c r="AN21" s="80" t="s">
        <v>136</v>
      </c>
      <c r="AO21" s="80">
        <v>0</v>
      </c>
      <c r="AP21" s="80" t="s">
        <v>136</v>
      </c>
      <c r="AQ21" s="80">
        <v>0</v>
      </c>
      <c r="AR21" s="80" t="s">
        <v>136</v>
      </c>
      <c r="AS21" s="80">
        <v>0</v>
      </c>
      <c r="AT21" s="27">
        <v>33.773218419000003</v>
      </c>
      <c r="AU21" s="27">
        <v>1.3468408216000001</v>
      </c>
      <c r="AV21" s="27">
        <v>22.003210863</v>
      </c>
      <c r="AW21" s="27">
        <v>0.2221990559</v>
      </c>
      <c r="AX21" s="27">
        <v>10.214128017</v>
      </c>
      <c r="AY21" s="27">
        <v>0.13408558779999999</v>
      </c>
      <c r="AZ21" s="27">
        <v>4.2934384987999996</v>
      </c>
      <c r="BA21" s="27">
        <v>4.5972839500000001E-2</v>
      </c>
      <c r="BB21" s="80">
        <f t="shared" si="2"/>
        <v>7.4956443471999989</v>
      </c>
      <c r="BC21" s="80">
        <f t="shared" si="3"/>
        <v>4.2140628600000007E-2</v>
      </c>
      <c r="BD21" s="27">
        <v>0</v>
      </c>
      <c r="BE21" s="80">
        <v>0</v>
      </c>
      <c r="BF21" s="27">
        <v>65.540796861000004</v>
      </c>
      <c r="BG21" s="27">
        <v>0.93665396489999997</v>
      </c>
      <c r="BH21" s="27">
        <v>3.3743800000000002E-4</v>
      </c>
      <c r="BI21" s="27">
        <v>5.1630822E-7</v>
      </c>
      <c r="BJ21" s="27">
        <v>65.905587015999998</v>
      </c>
      <c r="BK21" s="27">
        <v>2.5669203728999999</v>
      </c>
      <c r="BL21" s="27">
        <v>45.075503718</v>
      </c>
      <c r="BM21" s="27">
        <v>0.34879938179999997</v>
      </c>
      <c r="BN21" s="27">
        <v>11.915223231000001</v>
      </c>
      <c r="BO21" s="27">
        <v>7.2438814899999995E-2</v>
      </c>
      <c r="BP21" s="27">
        <v>2.71603531E-2</v>
      </c>
      <c r="BQ21" s="27">
        <v>3.8964490000000001E-4</v>
      </c>
      <c r="BR21" s="27">
        <v>0</v>
      </c>
      <c r="BS21" s="92">
        <v>0</v>
      </c>
      <c r="BT21" s="80" t="s">
        <v>136</v>
      </c>
      <c r="BU21" s="80">
        <v>0</v>
      </c>
      <c r="BV21" s="27">
        <v>0.16079625959999999</v>
      </c>
      <c r="BW21" s="27">
        <v>2.5686317999999999E-3</v>
      </c>
      <c r="BX21" s="27">
        <v>8.1023814183000002</v>
      </c>
      <c r="BY21" s="27">
        <v>6.8500102100000002E-2</v>
      </c>
      <c r="BZ21" s="80" t="s">
        <v>136</v>
      </c>
      <c r="CA21" s="80">
        <v>0</v>
      </c>
      <c r="CB21" s="80" t="s">
        <v>136</v>
      </c>
      <c r="CC21" s="80">
        <v>0</v>
      </c>
      <c r="CD21" s="27">
        <v>0.80185446699999996</v>
      </c>
      <c r="CE21" s="27">
        <v>1.5140023000000001E-3</v>
      </c>
      <c r="CF21" s="27">
        <v>2.4376644423</v>
      </c>
      <c r="CG21" s="27">
        <v>6.5106293000000001E-3</v>
      </c>
      <c r="CH21" s="80" t="s">
        <v>136</v>
      </c>
      <c r="CI21" s="80">
        <v>0</v>
      </c>
      <c r="CJ21" s="80" t="s">
        <v>136</v>
      </c>
      <c r="CK21" s="80">
        <v>0</v>
      </c>
      <c r="CL21" s="80" t="s">
        <v>136</v>
      </c>
      <c r="CM21" s="80">
        <v>0</v>
      </c>
      <c r="CN21" s="80" t="s">
        <v>136</v>
      </c>
      <c r="CO21" s="80">
        <v>0</v>
      </c>
      <c r="CP21" s="27">
        <v>1.7534358199999999E-2</v>
      </c>
      <c r="CQ21" s="27">
        <v>2.2378750000000001E-4</v>
      </c>
      <c r="CR21" s="27">
        <v>4.36679835E-2</v>
      </c>
      <c r="CS21" s="27">
        <v>4.6151960000000001E-4</v>
      </c>
      <c r="CT21" s="27">
        <v>0.49045873760000003</v>
      </c>
      <c r="CU21" s="27">
        <v>6.7040529999999997E-3</v>
      </c>
      <c r="CV21" s="27">
        <v>10.464577044</v>
      </c>
      <c r="CW21" s="27">
        <v>0.2608477971</v>
      </c>
      <c r="CX21" s="80" t="s">
        <v>136</v>
      </c>
      <c r="CY21" s="80">
        <v>0</v>
      </c>
      <c r="CZ21" s="80" t="s">
        <v>136</v>
      </c>
      <c r="DA21" s="80">
        <v>0</v>
      </c>
      <c r="DB21" s="27">
        <v>8.8350713829000007</v>
      </c>
      <c r="DC21" s="27">
        <v>0.19035494289999999</v>
      </c>
      <c r="DD21" s="27">
        <v>24.938147036</v>
      </c>
      <c r="DE21" s="27">
        <v>1.1564858787000001</v>
      </c>
      <c r="DF21" s="27">
        <v>4.3211007514000004</v>
      </c>
      <c r="DG21" s="27">
        <v>0.2753367846</v>
      </c>
      <c r="DH21" s="27">
        <v>61.219696110000001</v>
      </c>
      <c r="DI21" s="27">
        <v>0.66131718019999997</v>
      </c>
      <c r="DJ21" s="95">
        <v>1.849671E-4</v>
      </c>
      <c r="DK21" s="96">
        <v>2.9979060000000002E-4</v>
      </c>
      <c r="DL21" s="96">
        <v>3.2834489999999998E-4</v>
      </c>
      <c r="DM21" s="96">
        <v>3.331419E-4</v>
      </c>
      <c r="DN21" s="96">
        <v>3.3552000000000001E-4</v>
      </c>
      <c r="DO21" s="96">
        <v>3.3743800000000002E-4</v>
      </c>
      <c r="DP21" s="96">
        <v>3.3743800000000002E-4</v>
      </c>
      <c r="DQ21" s="96">
        <v>3.3743800000000002E-4</v>
      </c>
      <c r="DR21" s="96">
        <v>3.3743800000000002E-4</v>
      </c>
      <c r="DS21" s="97">
        <v>3.3743800000000002E-4</v>
      </c>
      <c r="DT21" s="93">
        <v>44.764137920000003</v>
      </c>
      <c r="DU21" s="80">
        <v>0.32140505879999998</v>
      </c>
      <c r="DV21" s="80">
        <v>17.361208549000001</v>
      </c>
      <c r="DW21" s="80">
        <v>0.13160914409999999</v>
      </c>
      <c r="DX21" s="80">
        <v>6.4244678596</v>
      </c>
      <c r="DY21" s="80">
        <v>5.1415205300000003E-2</v>
      </c>
      <c r="DZ21" s="80">
        <v>2.2810125890999999</v>
      </c>
      <c r="EA21" s="80">
        <v>1.9517634700000001E-2</v>
      </c>
      <c r="EB21" s="80">
        <v>0.80682297400000003</v>
      </c>
      <c r="EC21" s="80">
        <v>7.6214404000000003E-3</v>
      </c>
      <c r="ED21" s="80">
        <v>0.29439370929999997</v>
      </c>
      <c r="EE21" s="80">
        <v>3.2520738000000001E-3</v>
      </c>
      <c r="EF21" s="80">
        <v>0.11303219170000001</v>
      </c>
      <c r="EG21" s="80">
        <v>1.5919112E-3</v>
      </c>
      <c r="EH21" s="80">
        <v>5.1379256700000001E-2</v>
      </c>
      <c r="EI21" s="80">
        <v>9.5351140000000001E-4</v>
      </c>
      <c r="EJ21" s="80">
        <v>2.8392951400000001E-2</v>
      </c>
      <c r="EK21" s="80">
        <v>6.6426110000000001E-4</v>
      </c>
      <c r="EL21" s="80">
        <v>1.8619092399999999E-2</v>
      </c>
      <c r="EM21" s="94">
        <v>5.0436579999999995E-4</v>
      </c>
      <c r="EN21" s="80"/>
      <c r="EO21" s="80"/>
      <c r="EP21" s="80"/>
      <c r="EQ21" s="80"/>
      <c r="ER21" s="80"/>
      <c r="ES21" s="80"/>
      <c r="ET21" s="80"/>
      <c r="EU21" s="80"/>
      <c r="EV21" s="80"/>
      <c r="EW21" s="94"/>
    </row>
    <row r="22" spans="1:153" x14ac:dyDescent="0.2">
      <c r="A22" s="79">
        <v>1700</v>
      </c>
      <c r="B22" s="27">
        <v>51589</v>
      </c>
      <c r="C22" s="79">
        <v>1106.3192414</v>
      </c>
      <c r="D22" s="27">
        <v>1649.6160325000001</v>
      </c>
      <c r="E22" s="27">
        <v>26.067312364999999</v>
      </c>
      <c r="F22" s="27">
        <v>4.1905805599999998E-2</v>
      </c>
      <c r="G22" s="79">
        <v>0.20772094969999999</v>
      </c>
      <c r="H22" s="27">
        <v>2.20583E-4</v>
      </c>
      <c r="I22" s="27">
        <v>112.6519407</v>
      </c>
      <c r="J22" s="27">
        <v>0.75305942100000001</v>
      </c>
      <c r="K22" s="27">
        <f t="shared" si="4"/>
        <v>149.5923662310839</v>
      </c>
      <c r="L22" s="27">
        <v>49.813575126000003</v>
      </c>
      <c r="M22" s="27">
        <v>0.31300351320000003</v>
      </c>
      <c r="N22" s="27">
        <v>8.9020918494999997</v>
      </c>
      <c r="O22" s="27">
        <v>7.6174928200000006E-2</v>
      </c>
      <c r="P22" s="80" t="s">
        <v>136</v>
      </c>
      <c r="Q22" s="80">
        <v>0</v>
      </c>
      <c r="R22" s="27">
        <v>3.8487752521999998</v>
      </c>
      <c r="S22" s="27">
        <v>9.2132059999999998E-3</v>
      </c>
      <c r="T22" s="80" t="s">
        <v>136</v>
      </c>
      <c r="U22" s="80">
        <v>0</v>
      </c>
      <c r="V22" s="80" t="s">
        <v>136</v>
      </c>
      <c r="W22" s="80">
        <v>0</v>
      </c>
      <c r="X22" s="27">
        <v>7.27254715E-2</v>
      </c>
      <c r="Y22" s="27">
        <v>8.0469959999999996E-4</v>
      </c>
      <c r="Z22" s="27">
        <v>11.903121715999999</v>
      </c>
      <c r="AA22" s="27">
        <v>0.2900517165</v>
      </c>
      <c r="AB22" s="80" t="s">
        <v>136</v>
      </c>
      <c r="AC22" s="80">
        <v>0</v>
      </c>
      <c r="AD22" s="27">
        <v>2.6009599999999999E-5</v>
      </c>
      <c r="AE22" s="27">
        <v>2.5037555999999998E-7</v>
      </c>
      <c r="AF22" s="80" t="s">
        <v>136</v>
      </c>
      <c r="AG22" s="80">
        <v>0</v>
      </c>
      <c r="AH22" s="80" t="s">
        <v>136</v>
      </c>
      <c r="AI22" s="80">
        <v>0</v>
      </c>
      <c r="AJ22" s="27">
        <f t="shared" si="0"/>
        <v>2.6009599999999999E-5</v>
      </c>
      <c r="AK22" s="27">
        <f t="shared" si="1"/>
        <v>2.5037555999999998E-7</v>
      </c>
      <c r="AL22" s="27">
        <v>63.935327653000002</v>
      </c>
      <c r="AM22" s="27">
        <v>1.0448283755000001</v>
      </c>
      <c r="AN22" s="80" t="s">
        <v>136</v>
      </c>
      <c r="AO22" s="80">
        <v>0</v>
      </c>
      <c r="AP22" s="80" t="s">
        <v>136</v>
      </c>
      <c r="AQ22" s="80">
        <v>0</v>
      </c>
      <c r="AR22" s="80" t="s">
        <v>136</v>
      </c>
      <c r="AS22" s="80">
        <v>0</v>
      </c>
      <c r="AT22" s="27">
        <v>35.680862410000003</v>
      </c>
      <c r="AU22" s="27">
        <v>1.4060006038999999</v>
      </c>
      <c r="AV22" s="27">
        <v>23.735067673</v>
      </c>
      <c r="AW22" s="27">
        <v>0.2352608263</v>
      </c>
      <c r="AX22" s="27">
        <v>10.994397251000001</v>
      </c>
      <c r="AY22" s="27">
        <v>0.14201539760000001</v>
      </c>
      <c r="AZ22" s="27">
        <v>4.5704543312999997</v>
      </c>
      <c r="BA22" s="27">
        <v>4.8224909900000001E-2</v>
      </c>
      <c r="BB22" s="80">
        <f t="shared" si="2"/>
        <v>8.1702160906999985</v>
      </c>
      <c r="BC22" s="80">
        <f t="shared" si="3"/>
        <v>4.5020518799999992E-2</v>
      </c>
      <c r="BD22" s="27">
        <v>0</v>
      </c>
      <c r="BE22" s="80">
        <v>0</v>
      </c>
      <c r="BF22" s="27">
        <v>69.118729443999996</v>
      </c>
      <c r="BG22" s="27">
        <v>0.97859151710000003</v>
      </c>
      <c r="BH22" s="27">
        <v>4.0095350000000002E-4</v>
      </c>
      <c r="BI22" s="27">
        <v>5.0075113E-7</v>
      </c>
      <c r="BJ22" s="27">
        <v>69.378221517</v>
      </c>
      <c r="BK22" s="27">
        <v>2.6676972072999998</v>
      </c>
      <c r="BL22" s="27">
        <v>50.055023657</v>
      </c>
      <c r="BM22" s="27">
        <v>0.3861097517</v>
      </c>
      <c r="BN22" s="27">
        <v>13.052261397000001</v>
      </c>
      <c r="BO22" s="27">
        <v>7.8050900199999995E-2</v>
      </c>
      <c r="BP22" s="27">
        <v>3.11794206E-2</v>
      </c>
      <c r="BQ22" s="27">
        <v>4.0889909999999998E-4</v>
      </c>
      <c r="BR22" s="27">
        <v>0</v>
      </c>
      <c r="BS22" s="92">
        <v>0</v>
      </c>
      <c r="BT22" s="80" t="s">
        <v>136</v>
      </c>
      <c r="BU22" s="80">
        <v>0</v>
      </c>
      <c r="BV22" s="27">
        <v>0.17096857309999999</v>
      </c>
      <c r="BW22" s="27">
        <v>2.7225884999999999E-3</v>
      </c>
      <c r="BX22" s="27">
        <v>8.7311232764</v>
      </c>
      <c r="BY22" s="27">
        <v>7.3452339699999994E-2</v>
      </c>
      <c r="BZ22" s="80" t="s">
        <v>136</v>
      </c>
      <c r="CA22" s="80">
        <v>0</v>
      </c>
      <c r="CB22" s="80" t="s">
        <v>136</v>
      </c>
      <c r="CC22" s="80">
        <v>0</v>
      </c>
      <c r="CD22" s="27">
        <v>0.99801201409999996</v>
      </c>
      <c r="CE22" s="27">
        <v>1.7937972E-3</v>
      </c>
      <c r="CF22" s="27">
        <v>2.8507632380999999</v>
      </c>
      <c r="CG22" s="27">
        <v>7.4194087000000004E-3</v>
      </c>
      <c r="CH22" s="80" t="s">
        <v>136</v>
      </c>
      <c r="CI22" s="80">
        <v>0</v>
      </c>
      <c r="CJ22" s="80" t="s">
        <v>136</v>
      </c>
      <c r="CK22" s="80">
        <v>0</v>
      </c>
      <c r="CL22" s="80" t="s">
        <v>136</v>
      </c>
      <c r="CM22" s="80">
        <v>0</v>
      </c>
      <c r="CN22" s="80" t="s">
        <v>136</v>
      </c>
      <c r="CO22" s="80">
        <v>0</v>
      </c>
      <c r="CP22" s="27">
        <v>1.9824803799999999E-2</v>
      </c>
      <c r="CQ22" s="27">
        <v>2.5222020000000001E-4</v>
      </c>
      <c r="CR22" s="27">
        <v>5.2900667700000001E-2</v>
      </c>
      <c r="CS22" s="27">
        <v>5.5247949999999999E-4</v>
      </c>
      <c r="CT22" s="27">
        <v>0.5608954759</v>
      </c>
      <c r="CU22" s="27">
        <v>7.5696358000000002E-3</v>
      </c>
      <c r="CV22" s="27">
        <v>11.34222624</v>
      </c>
      <c r="CW22" s="27">
        <v>0.28248208070000003</v>
      </c>
      <c r="CX22" s="80" t="s">
        <v>136</v>
      </c>
      <c r="CY22" s="80">
        <v>0</v>
      </c>
      <c r="CZ22" s="80" t="s">
        <v>136</v>
      </c>
      <c r="DA22" s="80">
        <v>0</v>
      </c>
      <c r="DB22" s="27">
        <v>9.4801133513</v>
      </c>
      <c r="DC22" s="27">
        <v>0.2014278521</v>
      </c>
      <c r="DD22" s="27">
        <v>26.200749059</v>
      </c>
      <c r="DE22" s="27">
        <v>1.2045727518</v>
      </c>
      <c r="DF22" s="27">
        <v>4.6923639092</v>
      </c>
      <c r="DG22" s="27">
        <v>0.29010170099999999</v>
      </c>
      <c r="DH22" s="27">
        <v>64.426365535000002</v>
      </c>
      <c r="DI22" s="27">
        <v>0.68848981620000005</v>
      </c>
      <c r="DJ22" s="95">
        <v>2.1965999999999999E-4</v>
      </c>
      <c r="DK22" s="96">
        <v>3.5780890000000002E-4</v>
      </c>
      <c r="DL22" s="96">
        <v>3.9046870000000001E-4</v>
      </c>
      <c r="DM22" s="96">
        <v>3.96759E-4</v>
      </c>
      <c r="DN22" s="96">
        <v>3.9908069999999998E-4</v>
      </c>
      <c r="DO22" s="96">
        <v>4.0095350000000002E-4</v>
      </c>
      <c r="DP22" s="96">
        <v>4.0095350000000002E-4</v>
      </c>
      <c r="DQ22" s="96">
        <v>4.0095350000000002E-4</v>
      </c>
      <c r="DR22" s="96">
        <v>4.0095350000000002E-4</v>
      </c>
      <c r="DS22" s="97">
        <v>4.0095350000000002E-4</v>
      </c>
      <c r="DT22" s="93">
        <v>47.213065743999998</v>
      </c>
      <c r="DU22" s="80">
        <v>0.33800781400000002</v>
      </c>
      <c r="DV22" s="80">
        <v>18.759884671999998</v>
      </c>
      <c r="DW22" s="80">
        <v>0.1415408152</v>
      </c>
      <c r="DX22" s="80">
        <v>7.1521824168999997</v>
      </c>
      <c r="DY22" s="80">
        <v>5.6826761199999999E-2</v>
      </c>
      <c r="DZ22" s="80">
        <v>2.6284172804999999</v>
      </c>
      <c r="EA22" s="80">
        <v>2.22444685E-2</v>
      </c>
      <c r="EB22" s="80">
        <v>0.96699746850000001</v>
      </c>
      <c r="EC22" s="80">
        <v>8.9550936999999997E-3</v>
      </c>
      <c r="ED22" s="80">
        <v>0.36704650519999998</v>
      </c>
      <c r="EE22" s="80">
        <v>3.9016885000000001E-3</v>
      </c>
      <c r="EF22" s="80">
        <v>0.14628600529999999</v>
      </c>
      <c r="EG22" s="80">
        <v>1.9218893999999999E-3</v>
      </c>
      <c r="EH22" s="80">
        <v>6.8156049600000004E-2</v>
      </c>
      <c r="EI22" s="80">
        <v>1.1385919999999999E-3</v>
      </c>
      <c r="EJ22" s="80">
        <v>3.7046955499999999E-2</v>
      </c>
      <c r="EK22" s="80">
        <v>7.7424340000000001E-4</v>
      </c>
      <c r="EL22" s="80">
        <v>2.2988805899999999E-2</v>
      </c>
      <c r="EM22" s="94">
        <v>5.7189950000000002E-4</v>
      </c>
      <c r="EN22" s="80"/>
      <c r="EO22" s="80"/>
      <c r="EP22" s="80"/>
      <c r="EQ22" s="80"/>
      <c r="ER22" s="80"/>
      <c r="ES22" s="80"/>
      <c r="ET22" s="80"/>
      <c r="EU22" s="80"/>
      <c r="EV22" s="80"/>
      <c r="EW22" s="94"/>
    </row>
    <row r="23" spans="1:153" x14ac:dyDescent="0.2">
      <c r="A23" s="79">
        <v>1800</v>
      </c>
      <c r="B23" s="27">
        <v>48984</v>
      </c>
      <c r="C23" s="79">
        <v>1155.759378</v>
      </c>
      <c r="D23" s="27">
        <v>1749.3510424000001</v>
      </c>
      <c r="E23" s="27">
        <v>28.391443170999999</v>
      </c>
      <c r="F23" s="27">
        <v>4.4347592200000001E-2</v>
      </c>
      <c r="G23" s="79">
        <v>0.26733112609999998</v>
      </c>
      <c r="H23" s="27">
        <v>2.6233639999999998E-4</v>
      </c>
      <c r="I23" s="27">
        <v>116.10016057999999</v>
      </c>
      <c r="J23" s="27">
        <v>0.77545666499999999</v>
      </c>
      <c r="K23" s="27">
        <f t="shared" si="4"/>
        <v>149.71843794778655</v>
      </c>
      <c r="L23" s="27">
        <v>51.965421442999997</v>
      </c>
      <c r="M23" s="27">
        <v>0.32567518610000001</v>
      </c>
      <c r="N23" s="27">
        <v>9.4898967042999995</v>
      </c>
      <c r="O23" s="27">
        <v>8.0853143599999996E-2</v>
      </c>
      <c r="P23" s="80" t="s">
        <v>136</v>
      </c>
      <c r="Q23" s="80">
        <v>0</v>
      </c>
      <c r="R23" s="27">
        <v>4.5457504924999999</v>
      </c>
      <c r="S23" s="27">
        <v>1.05670433E-2</v>
      </c>
      <c r="T23" s="80" t="s">
        <v>136</v>
      </c>
      <c r="U23" s="80">
        <v>0</v>
      </c>
      <c r="V23" s="80" t="s">
        <v>136</v>
      </c>
      <c r="W23" s="80">
        <v>0</v>
      </c>
      <c r="X23" s="27">
        <v>8.1464659199999997E-2</v>
      </c>
      <c r="Y23" s="27">
        <v>9.0147559999999999E-4</v>
      </c>
      <c r="Z23" s="27">
        <v>12.862775217999999</v>
      </c>
      <c r="AA23" s="27">
        <v>0.311996355</v>
      </c>
      <c r="AB23" s="80" t="s">
        <v>136</v>
      </c>
      <c r="AC23" s="80">
        <v>0</v>
      </c>
      <c r="AD23" s="27">
        <v>2.53054E-5</v>
      </c>
      <c r="AE23" s="27">
        <v>2.4359716999999999E-7</v>
      </c>
      <c r="AF23" s="80" t="s">
        <v>136</v>
      </c>
      <c r="AG23" s="80">
        <v>0</v>
      </c>
      <c r="AH23" s="80" t="s">
        <v>136</v>
      </c>
      <c r="AI23" s="80">
        <v>0</v>
      </c>
      <c r="AJ23" s="27">
        <f t="shared" si="0"/>
        <v>2.53054E-5</v>
      </c>
      <c r="AK23" s="27">
        <f t="shared" si="1"/>
        <v>2.4359716999999999E-7</v>
      </c>
      <c r="AL23" s="27">
        <v>66.619045998000004</v>
      </c>
      <c r="AM23" s="27">
        <v>1.0815337107</v>
      </c>
      <c r="AN23" s="80" t="s">
        <v>136</v>
      </c>
      <c r="AO23" s="80">
        <v>0</v>
      </c>
      <c r="AP23" s="80" t="s">
        <v>136</v>
      </c>
      <c r="AQ23" s="80">
        <v>0</v>
      </c>
      <c r="AR23" s="80" t="s">
        <v>136</v>
      </c>
      <c r="AS23" s="80">
        <v>0</v>
      </c>
      <c r="AT23" s="27">
        <v>37.569588037999999</v>
      </c>
      <c r="AU23" s="27">
        <v>1.4631527143</v>
      </c>
      <c r="AV23" s="27">
        <v>25.460317834000001</v>
      </c>
      <c r="AW23" s="27">
        <v>0.24790101980000001</v>
      </c>
      <c r="AX23" s="27">
        <v>11.791890755000001</v>
      </c>
      <c r="AY23" s="27">
        <v>0.1498393331</v>
      </c>
      <c r="AZ23" s="27">
        <v>4.8273723108000004</v>
      </c>
      <c r="BA23" s="27">
        <v>5.0268762500000001E-2</v>
      </c>
      <c r="BB23" s="80">
        <f t="shared" si="2"/>
        <v>8.8410547681999994</v>
      </c>
      <c r="BC23" s="80">
        <f t="shared" si="3"/>
        <v>4.7792924200000003E-2</v>
      </c>
      <c r="BD23" s="27">
        <v>0</v>
      </c>
      <c r="BE23" s="80">
        <v>0</v>
      </c>
      <c r="BF23" s="27">
        <v>72.707754890000004</v>
      </c>
      <c r="BG23" s="27">
        <v>1.0191524457000001</v>
      </c>
      <c r="BH23" s="27">
        <v>4.7856629999999998E-4</v>
      </c>
      <c r="BI23" s="27">
        <v>4.8719435000000001E-7</v>
      </c>
      <c r="BJ23" s="27">
        <v>72.745799774999995</v>
      </c>
      <c r="BK23" s="27">
        <v>2.7622006775000001</v>
      </c>
      <c r="BL23" s="27">
        <v>55.044630961000003</v>
      </c>
      <c r="BM23" s="27">
        <v>0.42271673250000003</v>
      </c>
      <c r="BN23" s="27">
        <v>14.290725022</v>
      </c>
      <c r="BO23" s="27">
        <v>8.3933670799999999E-2</v>
      </c>
      <c r="BP23" s="27">
        <v>3.3301527599999999E-2</v>
      </c>
      <c r="BQ23" s="27">
        <v>4.3129270000000003E-4</v>
      </c>
      <c r="BR23" s="27">
        <v>0</v>
      </c>
      <c r="BS23" s="92">
        <v>0</v>
      </c>
      <c r="BT23" s="80" t="s">
        <v>136</v>
      </c>
      <c r="BU23" s="80">
        <v>0</v>
      </c>
      <c r="BV23" s="27">
        <v>0.18243752630000001</v>
      </c>
      <c r="BW23" s="27">
        <v>2.8915631999999998E-3</v>
      </c>
      <c r="BX23" s="27">
        <v>9.3074591780000002</v>
      </c>
      <c r="BY23" s="27">
        <v>7.7961580399999994E-2</v>
      </c>
      <c r="BZ23" s="80" t="s">
        <v>136</v>
      </c>
      <c r="CA23" s="80">
        <v>0</v>
      </c>
      <c r="CB23" s="80" t="s">
        <v>136</v>
      </c>
      <c r="CC23" s="80">
        <v>0</v>
      </c>
      <c r="CD23" s="27">
        <v>1.2299128206000001</v>
      </c>
      <c r="CE23" s="27">
        <v>2.1154973000000001E-3</v>
      </c>
      <c r="CF23" s="27">
        <v>3.3158376718999998</v>
      </c>
      <c r="CG23" s="27">
        <v>8.4515458999999994E-3</v>
      </c>
      <c r="CH23" s="80" t="s">
        <v>136</v>
      </c>
      <c r="CI23" s="80">
        <v>0</v>
      </c>
      <c r="CJ23" s="80" t="s">
        <v>136</v>
      </c>
      <c r="CK23" s="80">
        <v>0</v>
      </c>
      <c r="CL23" s="80" t="s">
        <v>136</v>
      </c>
      <c r="CM23" s="80">
        <v>0</v>
      </c>
      <c r="CN23" s="80" t="s">
        <v>136</v>
      </c>
      <c r="CO23" s="80">
        <v>0</v>
      </c>
      <c r="CP23" s="27">
        <v>2.0784201700000001E-2</v>
      </c>
      <c r="CQ23" s="27">
        <v>2.6652929999999999E-4</v>
      </c>
      <c r="CR23" s="27">
        <v>6.06804575E-2</v>
      </c>
      <c r="CS23" s="27">
        <v>6.3494630000000005E-4</v>
      </c>
      <c r="CT23" s="27">
        <v>0.64089620449999996</v>
      </c>
      <c r="CU23" s="27">
        <v>8.6142991999999998E-3</v>
      </c>
      <c r="CV23" s="27">
        <v>12.221879014000001</v>
      </c>
      <c r="CW23" s="27">
        <v>0.30338205579999999</v>
      </c>
      <c r="CX23" s="80" t="s">
        <v>136</v>
      </c>
      <c r="CY23" s="80">
        <v>0</v>
      </c>
      <c r="CZ23" s="80" t="s">
        <v>136</v>
      </c>
      <c r="DA23" s="80">
        <v>0</v>
      </c>
      <c r="DB23" s="27">
        <v>10.108410658</v>
      </c>
      <c r="DC23" s="27">
        <v>0.2117888232</v>
      </c>
      <c r="DD23" s="27">
        <v>27.461177379999999</v>
      </c>
      <c r="DE23" s="27">
        <v>1.2513638912</v>
      </c>
      <c r="DF23" s="27">
        <v>5.0863971579999996</v>
      </c>
      <c r="DG23" s="27">
        <v>0.3041887788</v>
      </c>
      <c r="DH23" s="27">
        <v>67.621357732000007</v>
      </c>
      <c r="DI23" s="27">
        <v>0.71496366700000002</v>
      </c>
      <c r="DJ23" s="95">
        <v>2.6143800000000001E-4</v>
      </c>
      <c r="DK23" s="96">
        <v>4.2794079999999997E-4</v>
      </c>
      <c r="DL23" s="96">
        <v>4.669974E-4</v>
      </c>
      <c r="DM23" s="96">
        <v>4.7402849999999999E-4</v>
      </c>
      <c r="DN23" s="96">
        <v>4.765169E-4</v>
      </c>
      <c r="DO23" s="96">
        <v>4.7856629999999998E-4</v>
      </c>
      <c r="DP23" s="96">
        <v>4.7856629999999998E-4</v>
      </c>
      <c r="DQ23" s="96">
        <v>4.7856629999999998E-4</v>
      </c>
      <c r="DR23" s="96">
        <v>4.7856629999999998E-4</v>
      </c>
      <c r="DS23" s="97">
        <v>4.7856629999999998E-4</v>
      </c>
      <c r="DT23" s="93">
        <v>49.574247993</v>
      </c>
      <c r="DU23" s="80">
        <v>0.35393532779999998</v>
      </c>
      <c r="DV23" s="80">
        <v>20.129211641000001</v>
      </c>
      <c r="DW23" s="80">
        <v>0.151199579</v>
      </c>
      <c r="DX23" s="80">
        <v>7.8676764093999996</v>
      </c>
      <c r="DY23" s="80">
        <v>6.2109321799999999E-2</v>
      </c>
      <c r="DZ23" s="80">
        <v>2.9749663984999999</v>
      </c>
      <c r="EA23" s="80">
        <v>2.49514378E-2</v>
      </c>
      <c r="EB23" s="80">
        <v>1.1313751332999999</v>
      </c>
      <c r="EC23" s="80">
        <v>1.03303949E-2</v>
      </c>
      <c r="ED23" s="80">
        <v>0.44392771959999999</v>
      </c>
      <c r="EE23" s="80">
        <v>4.6066689000000003E-3</v>
      </c>
      <c r="EF23" s="80">
        <v>0.18264486869999999</v>
      </c>
      <c r="EG23" s="80">
        <v>2.3022178999999999E-3</v>
      </c>
      <c r="EH23" s="80">
        <v>8.6378661100000004E-2</v>
      </c>
      <c r="EI23" s="80">
        <v>1.3627645E-3</v>
      </c>
      <c r="EJ23" s="80">
        <v>4.7260105300000001E-2</v>
      </c>
      <c r="EK23" s="80">
        <v>9.2320070000000002E-4</v>
      </c>
      <c r="EL23" s="80">
        <v>2.8986306999999999E-2</v>
      </c>
      <c r="EM23" s="94">
        <v>6.7778550000000004E-4</v>
      </c>
      <c r="EN23" s="80"/>
      <c r="EO23" s="80"/>
      <c r="EP23" s="80"/>
      <c r="EQ23" s="80"/>
      <c r="ER23" s="80"/>
      <c r="ES23" s="80"/>
      <c r="ET23" s="80"/>
      <c r="EU23" s="80"/>
      <c r="EV23" s="80"/>
      <c r="EW23" s="94"/>
    </row>
    <row r="24" spans="1:153" x14ac:dyDescent="0.2">
      <c r="A24" s="79">
        <v>1900</v>
      </c>
      <c r="B24" s="27">
        <v>46438</v>
      </c>
      <c r="C24" s="79">
        <v>1203.9869980999999</v>
      </c>
      <c r="D24" s="27">
        <v>1849.8108511</v>
      </c>
      <c r="E24" s="27">
        <v>30.675113103000001</v>
      </c>
      <c r="F24" s="27">
        <v>4.6638841700000003E-2</v>
      </c>
      <c r="G24" s="79">
        <v>0.33225749040000002</v>
      </c>
      <c r="H24" s="27">
        <v>3.0634409999999999E-4</v>
      </c>
      <c r="I24" s="27">
        <v>119.33564987</v>
      </c>
      <c r="J24" s="27">
        <v>0.7967068102</v>
      </c>
      <c r="K24" s="27">
        <f t="shared" si="4"/>
        <v>149.78615513534115</v>
      </c>
      <c r="L24" s="27">
        <v>54.069625711</v>
      </c>
      <c r="M24" s="27">
        <v>0.33832783249999998</v>
      </c>
      <c r="N24" s="27">
        <v>10.134119986</v>
      </c>
      <c r="O24" s="27">
        <v>8.6097490299999996E-2</v>
      </c>
      <c r="P24" s="80" t="s">
        <v>136</v>
      </c>
      <c r="Q24" s="80">
        <v>0</v>
      </c>
      <c r="R24" s="27">
        <v>5.2633359093000003</v>
      </c>
      <c r="S24" s="27">
        <v>1.19587332E-2</v>
      </c>
      <c r="T24" s="80" t="s">
        <v>136</v>
      </c>
      <c r="U24" s="80">
        <v>0</v>
      </c>
      <c r="V24" s="80" t="s">
        <v>136</v>
      </c>
      <c r="W24" s="80">
        <v>0</v>
      </c>
      <c r="X24" s="27">
        <v>9.4432361800000003E-2</v>
      </c>
      <c r="Y24" s="27">
        <v>1.0514890000000001E-3</v>
      </c>
      <c r="Z24" s="27">
        <v>13.822472499</v>
      </c>
      <c r="AA24" s="27">
        <v>0.334469829</v>
      </c>
      <c r="AB24" s="80" t="s">
        <v>136</v>
      </c>
      <c r="AC24" s="80">
        <v>0</v>
      </c>
      <c r="AD24" s="27">
        <v>2.46456E-5</v>
      </c>
      <c r="AE24" s="27">
        <v>2.3724598000000001E-7</v>
      </c>
      <c r="AF24" s="80" t="s">
        <v>136</v>
      </c>
      <c r="AG24" s="80">
        <v>0</v>
      </c>
      <c r="AH24" s="80" t="s">
        <v>136</v>
      </c>
      <c r="AI24" s="80">
        <v>0</v>
      </c>
      <c r="AJ24" s="27">
        <f t="shared" si="0"/>
        <v>2.46456E-5</v>
      </c>
      <c r="AK24" s="27">
        <f t="shared" si="1"/>
        <v>2.3724598000000001E-7</v>
      </c>
      <c r="AL24" s="27">
        <v>69.261229713000006</v>
      </c>
      <c r="AM24" s="27">
        <v>1.1166577129999999</v>
      </c>
      <c r="AN24" s="80" t="s">
        <v>136</v>
      </c>
      <c r="AO24" s="80">
        <v>0</v>
      </c>
      <c r="AP24" s="80" t="s">
        <v>136</v>
      </c>
      <c r="AQ24" s="80">
        <v>0</v>
      </c>
      <c r="AR24" s="80" t="s">
        <v>136</v>
      </c>
      <c r="AS24" s="80">
        <v>0</v>
      </c>
      <c r="AT24" s="27">
        <v>39.375969003999998</v>
      </c>
      <c r="AU24" s="27">
        <v>1.5176871894999999</v>
      </c>
      <c r="AV24" s="27">
        <v>27.178154024000001</v>
      </c>
      <c r="AW24" s="27">
        <v>0.26036546269999999</v>
      </c>
      <c r="AX24" s="27">
        <v>12.559710958</v>
      </c>
      <c r="AY24" s="27">
        <v>0.1574503666</v>
      </c>
      <c r="AZ24" s="27">
        <v>5.0979950421</v>
      </c>
      <c r="BA24" s="27">
        <v>5.2334488499999998E-2</v>
      </c>
      <c r="BB24" s="80">
        <f t="shared" si="2"/>
        <v>9.520448023900002</v>
      </c>
      <c r="BC24" s="80">
        <f t="shared" si="3"/>
        <v>5.0580607599999994E-2</v>
      </c>
      <c r="BD24" s="27">
        <v>0</v>
      </c>
      <c r="BE24" s="80">
        <v>0</v>
      </c>
      <c r="BF24" s="27">
        <v>76.176952893999996</v>
      </c>
      <c r="BG24" s="27">
        <v>1.0587668035</v>
      </c>
      <c r="BH24" s="27">
        <v>5.6191369999999995E-4</v>
      </c>
      <c r="BI24" s="27">
        <v>4.7449197000000001E-7</v>
      </c>
      <c r="BJ24" s="27">
        <v>76.050429296999994</v>
      </c>
      <c r="BK24" s="27">
        <v>2.8545076341</v>
      </c>
      <c r="BL24" s="27">
        <v>60.096822062999998</v>
      </c>
      <c r="BM24" s="27">
        <v>0.45969996769999999</v>
      </c>
      <c r="BN24" s="27">
        <v>15.461745987</v>
      </c>
      <c r="BO24" s="27">
        <v>8.94697728E-2</v>
      </c>
      <c r="BP24" s="27">
        <v>3.6190494199999999E-2</v>
      </c>
      <c r="BQ24" s="27">
        <v>4.5324990000000001E-4</v>
      </c>
      <c r="BR24" s="27">
        <v>0</v>
      </c>
      <c r="BS24" s="92">
        <v>0</v>
      </c>
      <c r="BT24" s="80" t="s">
        <v>136</v>
      </c>
      <c r="BU24" s="80">
        <v>0</v>
      </c>
      <c r="BV24" s="27">
        <v>0.1943087174</v>
      </c>
      <c r="BW24" s="27">
        <v>3.0757234E-3</v>
      </c>
      <c r="BX24" s="27">
        <v>9.9398112686999998</v>
      </c>
      <c r="BY24" s="27">
        <v>8.3021766900000002E-2</v>
      </c>
      <c r="BZ24" s="80" t="s">
        <v>136</v>
      </c>
      <c r="CA24" s="80">
        <v>0</v>
      </c>
      <c r="CB24" s="80" t="s">
        <v>136</v>
      </c>
      <c r="CC24" s="80">
        <v>0</v>
      </c>
      <c r="CD24" s="27">
        <v>1.4883675698000001</v>
      </c>
      <c r="CE24" s="27">
        <v>2.4652466000000001E-3</v>
      </c>
      <c r="CF24" s="27">
        <v>3.7749683395</v>
      </c>
      <c r="CG24" s="27">
        <v>9.4934866E-3</v>
      </c>
      <c r="CH24" s="80" t="s">
        <v>136</v>
      </c>
      <c r="CI24" s="80">
        <v>0</v>
      </c>
      <c r="CJ24" s="80" t="s">
        <v>136</v>
      </c>
      <c r="CK24" s="80">
        <v>0</v>
      </c>
      <c r="CL24" s="80" t="s">
        <v>136</v>
      </c>
      <c r="CM24" s="80">
        <v>0</v>
      </c>
      <c r="CN24" s="80" t="s">
        <v>136</v>
      </c>
      <c r="CO24" s="80">
        <v>0</v>
      </c>
      <c r="CP24" s="27">
        <v>2.5740661099999999E-2</v>
      </c>
      <c r="CQ24" s="27">
        <v>3.3337850000000001E-4</v>
      </c>
      <c r="CR24" s="27">
        <v>6.8691700699999997E-2</v>
      </c>
      <c r="CS24" s="27">
        <v>7.1811049999999995E-4</v>
      </c>
      <c r="CT24" s="27">
        <v>0.71548914370000005</v>
      </c>
      <c r="CU24" s="27">
        <v>9.4996688999999992E-3</v>
      </c>
      <c r="CV24" s="27">
        <v>13.106983355000001</v>
      </c>
      <c r="CW24" s="27">
        <v>0.32497016000000001</v>
      </c>
      <c r="CX24" s="80" t="s">
        <v>136</v>
      </c>
      <c r="CY24" s="80">
        <v>0</v>
      </c>
      <c r="CZ24" s="80" t="s">
        <v>136</v>
      </c>
      <c r="DA24" s="80">
        <v>0</v>
      </c>
      <c r="DB24" s="27">
        <v>10.714989127999999</v>
      </c>
      <c r="DC24" s="27">
        <v>0.22209884269999999</v>
      </c>
      <c r="DD24" s="27">
        <v>28.660979875999999</v>
      </c>
      <c r="DE24" s="27">
        <v>1.2955883468</v>
      </c>
      <c r="DF24" s="27">
        <v>5.4891541630000003</v>
      </c>
      <c r="DG24" s="27">
        <v>0.31825762260000001</v>
      </c>
      <c r="DH24" s="27">
        <v>70.687798731000001</v>
      </c>
      <c r="DI24" s="27">
        <v>0.74050918089999995</v>
      </c>
      <c r="DJ24" s="95">
        <v>3.0499329999999998E-4</v>
      </c>
      <c r="DK24" s="96">
        <v>5.0074709999999999E-4</v>
      </c>
      <c r="DL24" s="96">
        <v>5.4698449999999999E-4</v>
      </c>
      <c r="DM24" s="96">
        <v>5.5605349999999999E-4</v>
      </c>
      <c r="DN24" s="96">
        <v>5.5931730000000003E-4</v>
      </c>
      <c r="DO24" s="96">
        <v>5.6191369999999995E-4</v>
      </c>
      <c r="DP24" s="96">
        <v>5.6191369999999995E-4</v>
      </c>
      <c r="DQ24" s="96">
        <v>5.6191369999999995E-4</v>
      </c>
      <c r="DR24" s="96">
        <v>5.6191369999999995E-4</v>
      </c>
      <c r="DS24" s="97">
        <v>5.6191369999999995E-4</v>
      </c>
      <c r="DT24" s="93">
        <v>51.821801874000002</v>
      </c>
      <c r="DU24" s="80">
        <v>0.36921759780000002</v>
      </c>
      <c r="DV24" s="80">
        <v>21.477603137999999</v>
      </c>
      <c r="DW24" s="80">
        <v>0.16075759479999999</v>
      </c>
      <c r="DX24" s="80">
        <v>8.6018467061999999</v>
      </c>
      <c r="DY24" s="80">
        <v>6.7556564999999999E-2</v>
      </c>
      <c r="DZ24" s="80">
        <v>3.3494777645</v>
      </c>
      <c r="EA24" s="80">
        <v>2.7889641699999999E-2</v>
      </c>
      <c r="EB24" s="80">
        <v>1.3136879000999999</v>
      </c>
      <c r="EC24" s="80">
        <v>1.1874297299999999E-2</v>
      </c>
      <c r="ED24" s="80">
        <v>0.53204139689999996</v>
      </c>
      <c r="EE24" s="80">
        <v>5.430102E-3</v>
      </c>
      <c r="EF24" s="80">
        <v>0.22535099610000001</v>
      </c>
      <c r="EG24" s="80">
        <v>2.7584552E-3</v>
      </c>
      <c r="EH24" s="80">
        <v>0.1077863444</v>
      </c>
      <c r="EI24" s="80">
        <v>1.6345169E-3</v>
      </c>
      <c r="EJ24" s="80">
        <v>5.9055868300000001E-2</v>
      </c>
      <c r="EK24" s="80">
        <v>1.1037332E-3</v>
      </c>
      <c r="EL24" s="80">
        <v>3.6061273400000003E-2</v>
      </c>
      <c r="EM24" s="94">
        <v>8.0923840000000002E-4</v>
      </c>
      <c r="EN24" s="80"/>
      <c r="EO24" s="80"/>
      <c r="EP24" s="80"/>
      <c r="EQ24" s="80"/>
      <c r="ER24" s="80"/>
      <c r="ES24" s="80"/>
      <c r="ET24" s="80"/>
      <c r="EU24" s="80"/>
      <c r="EV24" s="80"/>
      <c r="EW24" s="94"/>
    </row>
    <row r="25" spans="1:153" x14ac:dyDescent="0.2">
      <c r="A25" s="79">
        <v>2000</v>
      </c>
      <c r="B25" s="27">
        <v>44390</v>
      </c>
      <c r="C25" s="79">
        <v>1251.1219716999999</v>
      </c>
      <c r="D25" s="27">
        <v>1949.5553837</v>
      </c>
      <c r="E25" s="27">
        <v>33.002605422000002</v>
      </c>
      <c r="F25" s="27">
        <v>4.8923724799999999E-2</v>
      </c>
      <c r="G25" s="79">
        <v>0.39606393280000002</v>
      </c>
      <c r="H25" s="27">
        <v>3.4883180000000002E-4</v>
      </c>
      <c r="I25" s="27">
        <v>122.34263855</v>
      </c>
      <c r="J25" s="27">
        <v>0.81632926630000002</v>
      </c>
      <c r="K25" s="27">
        <f t="shared" si="4"/>
        <v>149.86922997936378</v>
      </c>
      <c r="L25" s="27">
        <v>56.109207435000002</v>
      </c>
      <c r="M25" s="27">
        <v>0.3507465394</v>
      </c>
      <c r="N25" s="27">
        <v>10.742016177</v>
      </c>
      <c r="O25" s="27">
        <v>9.0905797499999996E-2</v>
      </c>
      <c r="P25" s="80" t="s">
        <v>136</v>
      </c>
      <c r="Q25" s="80">
        <v>0</v>
      </c>
      <c r="R25" s="27">
        <v>6.0380304414000001</v>
      </c>
      <c r="S25" s="27">
        <v>1.33718677E-2</v>
      </c>
      <c r="T25" s="80" t="s">
        <v>136</v>
      </c>
      <c r="U25" s="80">
        <v>0</v>
      </c>
      <c r="V25" s="80" t="s">
        <v>136</v>
      </c>
      <c r="W25" s="80">
        <v>0</v>
      </c>
      <c r="X25" s="27">
        <v>0.1073435927</v>
      </c>
      <c r="Y25" s="27">
        <v>1.1931159999999999E-3</v>
      </c>
      <c r="Z25" s="27">
        <v>14.860332558</v>
      </c>
      <c r="AA25" s="27">
        <v>0.35795163899999999</v>
      </c>
      <c r="AB25" s="80" t="s">
        <v>136</v>
      </c>
      <c r="AC25" s="80">
        <v>0</v>
      </c>
      <c r="AD25" s="27">
        <v>2.40585E-5</v>
      </c>
      <c r="AE25" s="27">
        <v>2.3159425000000001E-7</v>
      </c>
      <c r="AF25" s="80" t="s">
        <v>136</v>
      </c>
      <c r="AG25" s="80">
        <v>0</v>
      </c>
      <c r="AH25" s="80" t="s">
        <v>136</v>
      </c>
      <c r="AI25" s="80">
        <v>0</v>
      </c>
      <c r="AJ25" s="27">
        <f t="shared" si="0"/>
        <v>2.40585E-5</v>
      </c>
      <c r="AK25" s="27">
        <f t="shared" si="1"/>
        <v>2.3159425000000001E-7</v>
      </c>
      <c r="AL25" s="27">
        <v>71.774508069999996</v>
      </c>
      <c r="AM25" s="27">
        <v>1.149379876</v>
      </c>
      <c r="AN25" s="80" t="s">
        <v>136</v>
      </c>
      <c r="AO25" s="80">
        <v>0</v>
      </c>
      <c r="AP25" s="80" t="s">
        <v>136</v>
      </c>
      <c r="AQ25" s="80">
        <v>0</v>
      </c>
      <c r="AR25" s="80" t="s">
        <v>136</v>
      </c>
      <c r="AS25" s="80">
        <v>0</v>
      </c>
      <c r="AT25" s="27">
        <v>41.133147112000003</v>
      </c>
      <c r="AU25" s="27">
        <v>1.5696013618</v>
      </c>
      <c r="AV25" s="27">
        <v>28.907007621000002</v>
      </c>
      <c r="AW25" s="27">
        <v>0.27270520479999999</v>
      </c>
      <c r="AX25" s="27">
        <v>13.340218652000001</v>
      </c>
      <c r="AY25" s="27">
        <v>0.16501623030000001</v>
      </c>
      <c r="AZ25" s="27">
        <v>5.3649545187000003</v>
      </c>
      <c r="BA25" s="27">
        <v>5.4332826200000003E-2</v>
      </c>
      <c r="BB25" s="80">
        <f t="shared" si="2"/>
        <v>10.201834450300002</v>
      </c>
      <c r="BC25" s="80">
        <f t="shared" si="3"/>
        <v>5.3356148299999961E-2</v>
      </c>
      <c r="BD25" s="27">
        <v>0</v>
      </c>
      <c r="BE25" s="80">
        <v>0</v>
      </c>
      <c r="BF25" s="27">
        <v>79.676751682000003</v>
      </c>
      <c r="BG25" s="27">
        <v>1.0966990195999999</v>
      </c>
      <c r="BH25" s="27">
        <v>6.3626540000000004E-4</v>
      </c>
      <c r="BI25" s="27">
        <v>4.6318848999999998E-7</v>
      </c>
      <c r="BJ25" s="27">
        <v>79.244142584000002</v>
      </c>
      <c r="BK25" s="27">
        <v>2.9412795065999999</v>
      </c>
      <c r="BL25" s="27">
        <v>65.145658917999995</v>
      </c>
      <c r="BM25" s="27">
        <v>0.49629919099999997</v>
      </c>
      <c r="BN25" s="27">
        <v>16.672229512000001</v>
      </c>
      <c r="BO25" s="27">
        <v>9.4951949499999994E-2</v>
      </c>
      <c r="BP25" s="27">
        <v>3.85806842E-2</v>
      </c>
      <c r="BQ25" s="27">
        <v>4.8449179999999998E-4</v>
      </c>
      <c r="BR25" s="27">
        <v>0</v>
      </c>
      <c r="BS25" s="92">
        <v>0</v>
      </c>
      <c r="BT25" s="80" t="s">
        <v>136</v>
      </c>
      <c r="BU25" s="80">
        <v>0</v>
      </c>
      <c r="BV25" s="27">
        <v>0.20341009039999999</v>
      </c>
      <c r="BW25" s="27">
        <v>3.1960622E-3</v>
      </c>
      <c r="BX25" s="27">
        <v>10.538606087</v>
      </c>
      <c r="BY25" s="27">
        <v>8.7709735299999994E-2</v>
      </c>
      <c r="BZ25" s="80" t="s">
        <v>136</v>
      </c>
      <c r="CA25" s="80">
        <v>0</v>
      </c>
      <c r="CB25" s="80" t="s">
        <v>136</v>
      </c>
      <c r="CC25" s="80">
        <v>0</v>
      </c>
      <c r="CD25" s="27">
        <v>1.7812805597000001</v>
      </c>
      <c r="CE25" s="27">
        <v>2.8297321999999998E-3</v>
      </c>
      <c r="CF25" s="27">
        <v>4.2567498817000002</v>
      </c>
      <c r="CG25" s="27">
        <v>1.0542135500000001E-2</v>
      </c>
      <c r="CH25" s="80" t="s">
        <v>136</v>
      </c>
      <c r="CI25" s="80">
        <v>0</v>
      </c>
      <c r="CJ25" s="80" t="s">
        <v>136</v>
      </c>
      <c r="CK25" s="80">
        <v>0</v>
      </c>
      <c r="CL25" s="80" t="s">
        <v>136</v>
      </c>
      <c r="CM25" s="80">
        <v>0</v>
      </c>
      <c r="CN25" s="80" t="s">
        <v>136</v>
      </c>
      <c r="CO25" s="80">
        <v>0</v>
      </c>
      <c r="CP25" s="27">
        <v>2.9893480399999998E-2</v>
      </c>
      <c r="CQ25" s="27">
        <v>3.7258579999999999E-4</v>
      </c>
      <c r="CR25" s="27">
        <v>7.7450112299999999E-2</v>
      </c>
      <c r="CS25" s="27">
        <v>8.2053020000000005E-4</v>
      </c>
      <c r="CT25" s="27">
        <v>0.79266207310000003</v>
      </c>
      <c r="CU25" s="27">
        <v>1.0476664E-2</v>
      </c>
      <c r="CV25" s="27">
        <v>14.067670484000001</v>
      </c>
      <c r="CW25" s="27">
        <v>0.34747497500000002</v>
      </c>
      <c r="CX25" s="80" t="s">
        <v>136</v>
      </c>
      <c r="CY25" s="80">
        <v>0</v>
      </c>
      <c r="CZ25" s="80" t="s">
        <v>136</v>
      </c>
      <c r="DA25" s="80">
        <v>0</v>
      </c>
      <c r="DB25" s="27">
        <v>11.291602387999999</v>
      </c>
      <c r="DC25" s="27">
        <v>0.2315277416</v>
      </c>
      <c r="DD25" s="27">
        <v>29.841544723999998</v>
      </c>
      <c r="DE25" s="27">
        <v>1.3380736202000001</v>
      </c>
      <c r="DF25" s="27">
        <v>5.9104716098000001</v>
      </c>
      <c r="DG25" s="27">
        <v>0.33153628559999998</v>
      </c>
      <c r="DH25" s="27">
        <v>73.766280073000004</v>
      </c>
      <c r="DI25" s="27">
        <v>0.76516273410000002</v>
      </c>
      <c r="DJ25" s="95">
        <v>3.4751219999999998E-4</v>
      </c>
      <c r="DK25" s="96">
        <v>5.6990369999999999E-4</v>
      </c>
      <c r="DL25" s="96">
        <v>6.2142090000000001E-4</v>
      </c>
      <c r="DM25" s="96">
        <v>6.3052240000000003E-4</v>
      </c>
      <c r="DN25" s="96">
        <v>6.337208E-4</v>
      </c>
      <c r="DO25" s="96">
        <v>6.3626540000000004E-4</v>
      </c>
      <c r="DP25" s="96">
        <v>6.3626540000000004E-4</v>
      </c>
      <c r="DQ25" s="96">
        <v>6.3626540000000004E-4</v>
      </c>
      <c r="DR25" s="96">
        <v>6.3626540000000004E-4</v>
      </c>
      <c r="DS25" s="97">
        <v>6.3626540000000004E-4</v>
      </c>
      <c r="DT25" s="93">
        <v>53.927673753000001</v>
      </c>
      <c r="DU25" s="80">
        <v>0.38343133480000002</v>
      </c>
      <c r="DV25" s="80">
        <v>22.747251216999999</v>
      </c>
      <c r="DW25" s="80">
        <v>0.16968222720000001</v>
      </c>
      <c r="DX25" s="80">
        <v>9.3001835501999999</v>
      </c>
      <c r="DY25" s="80">
        <v>7.2688841300000001E-2</v>
      </c>
      <c r="DZ25" s="80">
        <v>3.7099359500000002</v>
      </c>
      <c r="EA25" s="80">
        <v>3.0683361199999998E-2</v>
      </c>
      <c r="EB25" s="80">
        <v>1.491966116</v>
      </c>
      <c r="EC25" s="80">
        <v>1.33532687E-2</v>
      </c>
      <c r="ED25" s="80">
        <v>0.61702040609999997</v>
      </c>
      <c r="EE25" s="80">
        <v>6.2026121999999998E-3</v>
      </c>
      <c r="EF25" s="80">
        <v>0.26682528239999997</v>
      </c>
      <c r="EG25" s="80">
        <v>3.1816807999999999E-3</v>
      </c>
      <c r="EH25" s="80">
        <v>0.12908271490000001</v>
      </c>
      <c r="EI25" s="80">
        <v>1.8839318E-3</v>
      </c>
      <c r="EJ25" s="80">
        <v>6.9801940600000001E-2</v>
      </c>
      <c r="EK25" s="80">
        <v>1.2538764E-3</v>
      </c>
      <c r="EL25" s="80">
        <v>4.2238721299999997E-2</v>
      </c>
      <c r="EM25" s="94">
        <v>9.1154080000000002E-4</v>
      </c>
      <c r="EN25" s="80"/>
      <c r="EO25" s="80"/>
      <c r="EP25" s="80"/>
      <c r="EQ25" s="80"/>
      <c r="ER25" s="80"/>
      <c r="ES25" s="80"/>
      <c r="ET25" s="80"/>
      <c r="EU25" s="80"/>
      <c r="EV25" s="80"/>
      <c r="EW25" s="94"/>
    </row>
    <row r="26" spans="1:153" x14ac:dyDescent="0.2">
      <c r="A26" s="79">
        <v>2100</v>
      </c>
      <c r="B26" s="27">
        <v>42562</v>
      </c>
      <c r="C26" s="79">
        <v>1297.1958528</v>
      </c>
      <c r="D26" s="27">
        <v>2049.5770287999999</v>
      </c>
      <c r="E26" s="27">
        <v>35.358232653999998</v>
      </c>
      <c r="F26" s="27">
        <v>5.1155550799999998E-2</v>
      </c>
      <c r="G26" s="79">
        <v>0.48206356620000002</v>
      </c>
      <c r="H26" s="27">
        <v>4.0437269999999998E-4</v>
      </c>
      <c r="I26" s="27">
        <v>125.23462246</v>
      </c>
      <c r="J26" s="27">
        <v>0.83525367800000005</v>
      </c>
      <c r="K26" s="27">
        <f t="shared" si="4"/>
        <v>149.93603231999177</v>
      </c>
      <c r="L26" s="27">
        <v>58.094062332</v>
      </c>
      <c r="M26" s="27">
        <v>0.36295503060000001</v>
      </c>
      <c r="N26" s="27">
        <v>11.361041701</v>
      </c>
      <c r="O26" s="27">
        <v>9.5851026199999995E-2</v>
      </c>
      <c r="P26" s="80" t="s">
        <v>136</v>
      </c>
      <c r="Q26" s="80">
        <v>0</v>
      </c>
      <c r="R26" s="27">
        <v>6.8480809907999998</v>
      </c>
      <c r="S26" s="27">
        <v>1.48597855E-2</v>
      </c>
      <c r="T26" s="80" t="s">
        <v>136</v>
      </c>
      <c r="U26" s="80">
        <v>0</v>
      </c>
      <c r="V26" s="80" t="s">
        <v>136</v>
      </c>
      <c r="W26" s="80">
        <v>0</v>
      </c>
      <c r="X26" s="27">
        <v>0.1215633169</v>
      </c>
      <c r="Y26" s="27">
        <v>1.3399543000000001E-3</v>
      </c>
      <c r="Z26" s="27">
        <v>15.901897236</v>
      </c>
      <c r="AA26" s="27">
        <v>0.38195171259999999</v>
      </c>
      <c r="AB26" s="80" t="s">
        <v>136</v>
      </c>
      <c r="AC26" s="80">
        <v>0</v>
      </c>
      <c r="AD26" s="27">
        <v>2.3529599999999999E-5</v>
      </c>
      <c r="AE26" s="27">
        <v>2.2650233999999999E-7</v>
      </c>
      <c r="AF26" s="80" t="s">
        <v>136</v>
      </c>
      <c r="AG26" s="80">
        <v>0</v>
      </c>
      <c r="AH26" s="80" t="s">
        <v>136</v>
      </c>
      <c r="AI26" s="80">
        <v>0</v>
      </c>
      <c r="AJ26" s="27">
        <f t="shared" si="0"/>
        <v>2.3529599999999999E-5</v>
      </c>
      <c r="AK26" s="27">
        <f t="shared" si="1"/>
        <v>2.2650233999999999E-7</v>
      </c>
      <c r="AL26" s="27">
        <v>74.335037662999994</v>
      </c>
      <c r="AM26" s="27">
        <v>1.1812146157000001</v>
      </c>
      <c r="AN26" s="80" t="s">
        <v>136</v>
      </c>
      <c r="AO26" s="80">
        <v>0</v>
      </c>
      <c r="AP26" s="80" t="s">
        <v>136</v>
      </c>
      <c r="AQ26" s="80">
        <v>0</v>
      </c>
      <c r="AR26" s="80" t="s">
        <v>136</v>
      </c>
      <c r="AS26" s="80">
        <v>0</v>
      </c>
      <c r="AT26" s="27">
        <v>42.858470156000003</v>
      </c>
      <c r="AU26" s="27">
        <v>1.6209812755999999</v>
      </c>
      <c r="AV26" s="27">
        <v>30.60310144</v>
      </c>
      <c r="AW26" s="27">
        <v>0.28456794410000003</v>
      </c>
      <c r="AX26" s="27">
        <v>14.105768855999999</v>
      </c>
      <c r="AY26" s="27">
        <v>0.17234104110000001</v>
      </c>
      <c r="AZ26" s="27">
        <v>5.6305705493999998</v>
      </c>
      <c r="BA26" s="27">
        <v>5.6210037099999999E-2</v>
      </c>
      <c r="BB26" s="80">
        <f t="shared" si="2"/>
        <v>10.866762034600001</v>
      </c>
      <c r="BC26" s="80">
        <f t="shared" si="3"/>
        <v>5.6016865900000018E-2</v>
      </c>
      <c r="BD26" s="27">
        <v>0</v>
      </c>
      <c r="BE26" s="80">
        <v>0</v>
      </c>
      <c r="BF26" s="27">
        <v>83.091562343999996</v>
      </c>
      <c r="BG26" s="27">
        <v>1.1329196703</v>
      </c>
      <c r="BH26" s="27">
        <v>7.376444E-4</v>
      </c>
      <c r="BI26" s="27">
        <v>4.5300466999999999E-7</v>
      </c>
      <c r="BJ26" s="27">
        <v>82.283124008000001</v>
      </c>
      <c r="BK26" s="27">
        <v>3.0206310252000002</v>
      </c>
      <c r="BL26" s="27">
        <v>70.378071996000003</v>
      </c>
      <c r="BM26" s="27">
        <v>0.53403944410000004</v>
      </c>
      <c r="BN26" s="27">
        <v>17.854240506</v>
      </c>
      <c r="BO26" s="27">
        <v>0.10024384309999999</v>
      </c>
      <c r="BP26" s="27">
        <v>4.2309342E-2</v>
      </c>
      <c r="BQ26" s="27">
        <v>5.1058929999999998E-4</v>
      </c>
      <c r="BR26" s="27">
        <v>0</v>
      </c>
      <c r="BS26" s="92">
        <v>0</v>
      </c>
      <c r="BT26" s="80" t="s">
        <v>136</v>
      </c>
      <c r="BU26" s="80">
        <v>0</v>
      </c>
      <c r="BV26" s="27">
        <v>0.21378693309999999</v>
      </c>
      <c r="BW26" s="27">
        <v>3.3344677000000001E-3</v>
      </c>
      <c r="BX26" s="27">
        <v>11.147254768</v>
      </c>
      <c r="BY26" s="27">
        <v>9.2516558499999998E-2</v>
      </c>
      <c r="BZ26" s="80" t="s">
        <v>136</v>
      </c>
      <c r="CA26" s="80">
        <v>0</v>
      </c>
      <c r="CB26" s="80" t="s">
        <v>136</v>
      </c>
      <c r="CC26" s="80">
        <v>0</v>
      </c>
      <c r="CD26" s="27">
        <v>2.1206804593999999</v>
      </c>
      <c r="CE26" s="27">
        <v>3.2452356000000002E-3</v>
      </c>
      <c r="CF26" s="27">
        <v>4.7274005313999998</v>
      </c>
      <c r="CG26" s="27">
        <v>1.16145499E-2</v>
      </c>
      <c r="CH26" s="80" t="s">
        <v>136</v>
      </c>
      <c r="CI26" s="80">
        <v>0</v>
      </c>
      <c r="CJ26" s="80" t="s">
        <v>136</v>
      </c>
      <c r="CK26" s="80">
        <v>0</v>
      </c>
      <c r="CL26" s="80" t="s">
        <v>136</v>
      </c>
      <c r="CM26" s="80">
        <v>0</v>
      </c>
      <c r="CN26" s="80" t="s">
        <v>136</v>
      </c>
      <c r="CO26" s="80">
        <v>0</v>
      </c>
      <c r="CP26" s="27">
        <v>3.3638450600000001E-2</v>
      </c>
      <c r="CQ26" s="27">
        <v>4.1654499999999999E-4</v>
      </c>
      <c r="CR26" s="27">
        <v>8.7924866399999996E-2</v>
      </c>
      <c r="CS26" s="27">
        <v>9.2340930000000003E-4</v>
      </c>
      <c r="CT26" s="27">
        <v>0.86884800390000005</v>
      </c>
      <c r="CU26" s="27">
        <v>1.1320703E-2</v>
      </c>
      <c r="CV26" s="27">
        <v>15.033049233</v>
      </c>
      <c r="CW26" s="27">
        <v>0.37063100960000001</v>
      </c>
      <c r="CX26" s="80" t="s">
        <v>136</v>
      </c>
      <c r="CY26" s="80">
        <v>0</v>
      </c>
      <c r="CZ26" s="80" t="s">
        <v>136</v>
      </c>
      <c r="DA26" s="80">
        <v>0</v>
      </c>
      <c r="DB26" s="27">
        <v>11.866388655</v>
      </c>
      <c r="DC26" s="27">
        <v>0.24096842909999999</v>
      </c>
      <c r="DD26" s="27">
        <v>30.992081501000001</v>
      </c>
      <c r="DE26" s="27">
        <v>1.3800128464999999</v>
      </c>
      <c r="DF26" s="27">
        <v>6.3347883079000002</v>
      </c>
      <c r="DG26" s="27">
        <v>0.34454191649999999</v>
      </c>
      <c r="DH26" s="27">
        <v>76.756774035999996</v>
      </c>
      <c r="DI26" s="27">
        <v>0.78837775389999998</v>
      </c>
      <c r="DJ26" s="95">
        <v>4.0285499999999998E-4</v>
      </c>
      <c r="DK26" s="96">
        <v>6.6142359999999995E-4</v>
      </c>
      <c r="DL26" s="96">
        <v>7.2116740000000002E-4</v>
      </c>
      <c r="DM26" s="96">
        <v>7.3157739999999999E-4</v>
      </c>
      <c r="DN26" s="96">
        <v>7.3514689999999998E-4</v>
      </c>
      <c r="DO26" s="96">
        <v>7.376444E-4</v>
      </c>
      <c r="DP26" s="96">
        <v>7.376444E-4</v>
      </c>
      <c r="DQ26" s="96">
        <v>7.376444E-4</v>
      </c>
      <c r="DR26" s="96">
        <v>7.376444E-4</v>
      </c>
      <c r="DS26" s="97">
        <v>7.376444E-4</v>
      </c>
      <c r="DT26" s="93">
        <v>55.979908536000003</v>
      </c>
      <c r="DU26" s="80">
        <v>0.39728400209999998</v>
      </c>
      <c r="DV26" s="80">
        <v>23.994273200999999</v>
      </c>
      <c r="DW26" s="80">
        <v>0.17848270660000001</v>
      </c>
      <c r="DX26" s="80">
        <v>9.9888419314999997</v>
      </c>
      <c r="DY26" s="80">
        <v>7.7799151100000005E-2</v>
      </c>
      <c r="DZ26" s="80">
        <v>4.0657050442999996</v>
      </c>
      <c r="EA26" s="80">
        <v>3.35066038E-2</v>
      </c>
      <c r="EB26" s="80">
        <v>1.6709456439000001</v>
      </c>
      <c r="EC26" s="80">
        <v>1.49078101E-2</v>
      </c>
      <c r="ED26" s="80">
        <v>0.7056379344</v>
      </c>
      <c r="EE26" s="80">
        <v>7.0776757000000001E-3</v>
      </c>
      <c r="EF26" s="80">
        <v>0.31212904990000001</v>
      </c>
      <c r="EG26" s="80">
        <v>3.7068943000000002E-3</v>
      </c>
      <c r="EH26" s="80">
        <v>0.1540483493</v>
      </c>
      <c r="EI26" s="80">
        <v>2.2337897000000002E-3</v>
      </c>
      <c r="EJ26" s="80">
        <v>8.5185951400000001E-2</v>
      </c>
      <c r="EK26" s="80">
        <v>1.5140386000000001E-3</v>
      </c>
      <c r="EL26" s="80">
        <v>5.2447005599999999E-2</v>
      </c>
      <c r="EM26" s="94">
        <v>1.1180571E-3</v>
      </c>
      <c r="EN26" s="80"/>
      <c r="EO26" s="80"/>
      <c r="EP26" s="80"/>
      <c r="EQ26" s="80"/>
      <c r="ER26" s="80"/>
      <c r="ES26" s="80"/>
      <c r="ET26" s="80"/>
      <c r="EU26" s="80"/>
      <c r="EV26" s="80"/>
      <c r="EW26" s="94"/>
    </row>
    <row r="27" spans="1:153" x14ac:dyDescent="0.2">
      <c r="A27" s="79">
        <v>2200</v>
      </c>
      <c r="B27" s="27">
        <v>40319</v>
      </c>
      <c r="C27" s="79">
        <v>1342.1492929999999</v>
      </c>
      <c r="D27" s="27">
        <v>2149.5936998000002</v>
      </c>
      <c r="E27" s="27">
        <v>37.610648353000002</v>
      </c>
      <c r="F27" s="27">
        <v>5.3217697600000002E-2</v>
      </c>
      <c r="G27" s="79">
        <v>0.57553903900000003</v>
      </c>
      <c r="H27" s="27">
        <v>4.6234629999999997E-4</v>
      </c>
      <c r="I27" s="27">
        <v>127.93052514999999</v>
      </c>
      <c r="J27" s="27">
        <v>0.8530733452</v>
      </c>
      <c r="K27" s="27">
        <f t="shared" si="4"/>
        <v>149.96427431454578</v>
      </c>
      <c r="L27" s="27">
        <v>60.016621817000001</v>
      </c>
      <c r="M27" s="27">
        <v>0.37451179909999999</v>
      </c>
      <c r="N27" s="27">
        <v>11.983195342</v>
      </c>
      <c r="O27" s="27">
        <v>0.10081175320000001</v>
      </c>
      <c r="P27" s="80" t="s">
        <v>136</v>
      </c>
      <c r="Q27" s="80">
        <v>0</v>
      </c>
      <c r="R27" s="27">
        <v>7.7065723105000004</v>
      </c>
      <c r="S27" s="27">
        <v>1.6398225200000002E-2</v>
      </c>
      <c r="T27" s="80" t="s">
        <v>136</v>
      </c>
      <c r="U27" s="80">
        <v>0</v>
      </c>
      <c r="V27" s="80" t="s">
        <v>136</v>
      </c>
      <c r="W27" s="80">
        <v>0</v>
      </c>
      <c r="X27" s="27">
        <v>0.13485792520000001</v>
      </c>
      <c r="Y27" s="27">
        <v>1.4741012000000001E-3</v>
      </c>
      <c r="Z27" s="27">
        <v>16.953641604000001</v>
      </c>
      <c r="AA27" s="27">
        <v>0.40642047799999997</v>
      </c>
      <c r="AB27" s="80" t="s">
        <v>136</v>
      </c>
      <c r="AC27" s="80">
        <v>0</v>
      </c>
      <c r="AD27" s="27">
        <v>2.30604E-5</v>
      </c>
      <c r="AE27" s="27">
        <v>2.2198578000000001E-7</v>
      </c>
      <c r="AF27" s="80" t="s">
        <v>136</v>
      </c>
      <c r="AG27" s="80">
        <v>0</v>
      </c>
      <c r="AH27" s="80" t="s">
        <v>136</v>
      </c>
      <c r="AI27" s="80">
        <v>0</v>
      </c>
      <c r="AJ27" s="27">
        <f t="shared" si="0"/>
        <v>2.30604E-5</v>
      </c>
      <c r="AK27" s="27">
        <f t="shared" si="1"/>
        <v>2.2198578000000001E-7</v>
      </c>
      <c r="AL27" s="27">
        <v>76.795138815000001</v>
      </c>
      <c r="AM27" s="27">
        <v>1.2108500215</v>
      </c>
      <c r="AN27" s="80" t="s">
        <v>136</v>
      </c>
      <c r="AO27" s="80">
        <v>0</v>
      </c>
      <c r="AP27" s="80" t="s">
        <v>136</v>
      </c>
      <c r="AQ27" s="80">
        <v>0</v>
      </c>
      <c r="AR27" s="80" t="s">
        <v>136</v>
      </c>
      <c r="AS27" s="80">
        <v>0</v>
      </c>
      <c r="AT27" s="27">
        <v>44.527773203000002</v>
      </c>
      <c r="AU27" s="27">
        <v>1.6694325612000001</v>
      </c>
      <c r="AV27" s="27">
        <v>32.258422897000003</v>
      </c>
      <c r="AW27" s="27">
        <v>0.29599684749999999</v>
      </c>
      <c r="AX27" s="27">
        <v>14.83307259</v>
      </c>
      <c r="AY27" s="27">
        <v>0.17927996530000001</v>
      </c>
      <c r="AZ27" s="27">
        <v>5.8723802172999999</v>
      </c>
      <c r="BA27" s="27">
        <v>5.8012886499999999E-2</v>
      </c>
      <c r="BB27" s="80">
        <f t="shared" si="2"/>
        <v>11.552970089700004</v>
      </c>
      <c r="BC27" s="80">
        <f t="shared" si="3"/>
        <v>5.8703995699999983E-2</v>
      </c>
      <c r="BD27" s="27">
        <v>0</v>
      </c>
      <c r="BE27" s="80">
        <v>0</v>
      </c>
      <c r="BF27" s="27">
        <v>86.456233842000003</v>
      </c>
      <c r="BG27" s="27">
        <v>1.1678622902</v>
      </c>
      <c r="BH27" s="27">
        <v>8.552271E-4</v>
      </c>
      <c r="BI27" s="27">
        <v>4.4397156000000002E-7</v>
      </c>
      <c r="BJ27" s="27">
        <v>85.224207996999993</v>
      </c>
      <c r="BK27" s="27">
        <v>3.0981930180999999</v>
      </c>
      <c r="BL27" s="27">
        <v>75.530314992000001</v>
      </c>
      <c r="BM27" s="27">
        <v>0.5712627334</v>
      </c>
      <c r="BN27" s="27">
        <v>19.035624311999999</v>
      </c>
      <c r="BO27" s="27">
        <v>0.1055196303</v>
      </c>
      <c r="BP27" s="27">
        <v>4.8064461099999997E-2</v>
      </c>
      <c r="BQ27" s="27">
        <v>5.3753839999999998E-4</v>
      </c>
      <c r="BR27" s="27">
        <v>0</v>
      </c>
      <c r="BS27" s="92">
        <v>0</v>
      </c>
      <c r="BT27" s="80" t="s">
        <v>136</v>
      </c>
      <c r="BU27" s="80">
        <v>0</v>
      </c>
      <c r="BV27" s="27">
        <v>0.22574831989999999</v>
      </c>
      <c r="BW27" s="27">
        <v>3.5122580999999999E-3</v>
      </c>
      <c r="BX27" s="27">
        <v>11.757447021999999</v>
      </c>
      <c r="BY27" s="27">
        <v>9.7299495099999994E-2</v>
      </c>
      <c r="BZ27" s="80" t="s">
        <v>136</v>
      </c>
      <c r="CA27" s="80">
        <v>0</v>
      </c>
      <c r="CB27" s="80" t="s">
        <v>136</v>
      </c>
      <c r="CC27" s="80">
        <v>0</v>
      </c>
      <c r="CD27" s="27">
        <v>2.4783823103999998</v>
      </c>
      <c r="CE27" s="27">
        <v>3.6718050000000002E-3</v>
      </c>
      <c r="CF27" s="27">
        <v>5.2281900000999997</v>
      </c>
      <c r="CG27" s="27">
        <v>1.27264202E-2</v>
      </c>
      <c r="CH27" s="80" t="s">
        <v>136</v>
      </c>
      <c r="CI27" s="80">
        <v>0</v>
      </c>
      <c r="CJ27" s="80" t="s">
        <v>136</v>
      </c>
      <c r="CK27" s="80">
        <v>0</v>
      </c>
      <c r="CL27" s="80" t="s">
        <v>136</v>
      </c>
      <c r="CM27" s="80">
        <v>0</v>
      </c>
      <c r="CN27" s="80" t="s">
        <v>136</v>
      </c>
      <c r="CO27" s="80">
        <v>0</v>
      </c>
      <c r="CP27" s="27">
        <v>3.7239123399999997E-2</v>
      </c>
      <c r="CQ27" s="27">
        <v>4.4445299999999998E-4</v>
      </c>
      <c r="CR27" s="27">
        <v>9.7618801800000002E-2</v>
      </c>
      <c r="CS27" s="27">
        <v>1.0296483000000001E-3</v>
      </c>
      <c r="CT27" s="27">
        <v>0.94656871740000004</v>
      </c>
      <c r="CU27" s="27">
        <v>1.2241360200000001E-2</v>
      </c>
      <c r="CV27" s="27">
        <v>16.007072886</v>
      </c>
      <c r="CW27" s="27">
        <v>0.39417911770000003</v>
      </c>
      <c r="CX27" s="80" t="s">
        <v>136</v>
      </c>
      <c r="CY27" s="80">
        <v>0</v>
      </c>
      <c r="CZ27" s="80" t="s">
        <v>136</v>
      </c>
      <c r="DA27" s="80">
        <v>0</v>
      </c>
      <c r="DB27" s="27">
        <v>12.425957097</v>
      </c>
      <c r="DC27" s="27">
        <v>0.24993106270000001</v>
      </c>
      <c r="DD27" s="27">
        <v>32.101816106000001</v>
      </c>
      <c r="DE27" s="27">
        <v>1.4195014985000001</v>
      </c>
      <c r="DF27" s="27">
        <v>6.7689264955999997</v>
      </c>
      <c r="DG27" s="27">
        <v>0.35710601079999998</v>
      </c>
      <c r="DH27" s="27">
        <v>79.687307347000001</v>
      </c>
      <c r="DI27" s="27">
        <v>0.81075627939999995</v>
      </c>
      <c r="DJ27" s="95">
        <v>4.6045359999999998E-4</v>
      </c>
      <c r="DK27" s="96">
        <v>7.5847060000000001E-4</v>
      </c>
      <c r="DL27" s="96">
        <v>8.2738310000000004E-4</v>
      </c>
      <c r="DM27" s="96">
        <v>8.3882569999999999E-4</v>
      </c>
      <c r="DN27" s="96">
        <v>8.4253819999999995E-4</v>
      </c>
      <c r="DO27" s="96">
        <v>8.4519819999999998E-4</v>
      </c>
      <c r="DP27" s="96">
        <v>8.4540289999999996E-4</v>
      </c>
      <c r="DQ27" s="96">
        <v>8.4560750000000002E-4</v>
      </c>
      <c r="DR27" s="96">
        <v>8.458122E-4</v>
      </c>
      <c r="DS27" s="97">
        <v>8.4601689999999998E-4</v>
      </c>
      <c r="DT27" s="93">
        <v>57.917637179000003</v>
      </c>
      <c r="DU27" s="80">
        <v>0.41043907759999998</v>
      </c>
      <c r="DV27" s="80">
        <v>25.191853313999999</v>
      </c>
      <c r="DW27" s="80">
        <v>0.18692086969999999</v>
      </c>
      <c r="DX27" s="80">
        <v>10.66523572</v>
      </c>
      <c r="DY27" s="80">
        <v>8.2783743199999996E-2</v>
      </c>
      <c r="DZ27" s="80">
        <v>4.4226887239000003</v>
      </c>
      <c r="EA27" s="80">
        <v>3.6276310300000003E-2</v>
      </c>
      <c r="EB27" s="80">
        <v>1.8539791587000001</v>
      </c>
      <c r="EC27" s="80">
        <v>1.6432906000000001E-2</v>
      </c>
      <c r="ED27" s="80">
        <v>0.79768543309999995</v>
      </c>
      <c r="EE27" s="80">
        <v>7.9206971000000004E-3</v>
      </c>
      <c r="EF27" s="80">
        <v>0.35944357999999998</v>
      </c>
      <c r="EG27" s="80">
        <v>4.1993606999999999E-3</v>
      </c>
      <c r="EH27" s="80">
        <v>0.17863298050000001</v>
      </c>
      <c r="EI27" s="80">
        <v>2.5423823999999999E-3</v>
      </c>
      <c r="EJ27" s="80">
        <v>9.9162650199999994E-2</v>
      </c>
      <c r="EK27" s="80">
        <v>1.7266507E-3</v>
      </c>
      <c r="EL27" s="80">
        <v>6.0775071E-2</v>
      </c>
      <c r="EM27" s="94">
        <v>1.2748391999999999E-3</v>
      </c>
      <c r="EN27" s="80"/>
      <c r="EO27" s="80"/>
      <c r="EP27" s="80"/>
      <c r="EQ27" s="80"/>
      <c r="ER27" s="80"/>
      <c r="ES27" s="80"/>
      <c r="ET27" s="80"/>
      <c r="EU27" s="80"/>
      <c r="EV27" s="80"/>
      <c r="EW27" s="94"/>
    </row>
    <row r="28" spans="1:153" x14ac:dyDescent="0.2">
      <c r="A28" s="79">
        <v>2300</v>
      </c>
      <c r="B28" s="27">
        <v>39198</v>
      </c>
      <c r="C28" s="79">
        <v>1386.1670486</v>
      </c>
      <c r="D28" s="27">
        <v>2249.5779269999998</v>
      </c>
      <c r="E28" s="27">
        <v>39.932232216999999</v>
      </c>
      <c r="F28" s="27">
        <v>5.5275490099999998E-2</v>
      </c>
      <c r="G28" s="79">
        <v>0.70521257950000005</v>
      </c>
      <c r="H28" s="27">
        <v>5.3869110000000003E-4</v>
      </c>
      <c r="I28" s="27">
        <v>130.50097198</v>
      </c>
      <c r="J28" s="27">
        <v>0.87011735290000003</v>
      </c>
      <c r="K28" s="27">
        <f t="shared" si="4"/>
        <v>149.98088653795426</v>
      </c>
      <c r="L28" s="27">
        <v>61.935193462999997</v>
      </c>
      <c r="M28" s="27">
        <v>0.386205929</v>
      </c>
      <c r="N28" s="27">
        <v>12.628498024000001</v>
      </c>
      <c r="O28" s="27">
        <v>0.10586739520000001</v>
      </c>
      <c r="P28" s="80" t="s">
        <v>136</v>
      </c>
      <c r="Q28" s="80">
        <v>0</v>
      </c>
      <c r="R28" s="27">
        <v>8.6016894907000001</v>
      </c>
      <c r="S28" s="27">
        <v>1.79851013E-2</v>
      </c>
      <c r="T28" s="80" t="s">
        <v>136</v>
      </c>
      <c r="U28" s="80">
        <v>0</v>
      </c>
      <c r="V28" s="80" t="s">
        <v>136</v>
      </c>
      <c r="W28" s="80">
        <v>0</v>
      </c>
      <c r="X28" s="27">
        <v>0.1498243417</v>
      </c>
      <c r="Y28" s="27">
        <v>1.6440309E-3</v>
      </c>
      <c r="Z28" s="27">
        <v>18.009173270000002</v>
      </c>
      <c r="AA28" s="27">
        <v>0.43074833070000002</v>
      </c>
      <c r="AB28" s="80" t="s">
        <v>136</v>
      </c>
      <c r="AC28" s="80">
        <v>0</v>
      </c>
      <c r="AD28" s="27">
        <v>2.2617300000000001E-5</v>
      </c>
      <c r="AE28" s="27">
        <v>2.1772099000000001E-7</v>
      </c>
      <c r="AF28" s="80" t="s">
        <v>136</v>
      </c>
      <c r="AG28" s="80">
        <v>0</v>
      </c>
      <c r="AH28" s="80" t="s">
        <v>136</v>
      </c>
      <c r="AI28" s="80">
        <v>0</v>
      </c>
      <c r="AJ28" s="27">
        <f t="shared" si="0"/>
        <v>2.2617300000000001E-5</v>
      </c>
      <c r="AK28" s="27">
        <f t="shared" si="1"/>
        <v>2.1772099000000001E-7</v>
      </c>
      <c r="AL28" s="27">
        <v>79.256078231000004</v>
      </c>
      <c r="AM28" s="27">
        <v>1.2395527660000001</v>
      </c>
      <c r="AN28" s="80" t="s">
        <v>136</v>
      </c>
      <c r="AO28" s="80">
        <v>0</v>
      </c>
      <c r="AP28" s="80" t="s">
        <v>136</v>
      </c>
      <c r="AQ28" s="80">
        <v>0</v>
      </c>
      <c r="AR28" s="80" t="s">
        <v>136</v>
      </c>
      <c r="AS28" s="80">
        <v>0</v>
      </c>
      <c r="AT28" s="27">
        <v>46.102982929</v>
      </c>
      <c r="AU28" s="27">
        <v>1.7153044514</v>
      </c>
      <c r="AV28" s="27">
        <v>33.873715079</v>
      </c>
      <c r="AW28" s="27">
        <v>0.30701337919999999</v>
      </c>
      <c r="AX28" s="27">
        <v>15.564020154</v>
      </c>
      <c r="AY28" s="27">
        <v>0.1861109507</v>
      </c>
      <c r="AZ28" s="27">
        <v>6.0918948103000004</v>
      </c>
      <c r="BA28" s="27">
        <v>5.9646156999999998E-2</v>
      </c>
      <c r="BB28" s="80">
        <f t="shared" si="2"/>
        <v>12.217800114700001</v>
      </c>
      <c r="BC28" s="80">
        <f t="shared" si="3"/>
        <v>6.1256271499999987E-2</v>
      </c>
      <c r="BD28" s="27">
        <v>0</v>
      </c>
      <c r="BE28" s="80">
        <v>0</v>
      </c>
      <c r="BF28" s="27">
        <v>89.858375292000005</v>
      </c>
      <c r="BG28" s="27">
        <v>1.2035768421999999</v>
      </c>
      <c r="BH28" s="27">
        <v>9.989094E-4</v>
      </c>
      <c r="BI28" s="27">
        <v>4.3544196999999999E-7</v>
      </c>
      <c r="BJ28" s="27">
        <v>88.108334631000005</v>
      </c>
      <c r="BK28" s="27">
        <v>3.1723824369</v>
      </c>
      <c r="BL28" s="27">
        <v>80.861161093999996</v>
      </c>
      <c r="BM28" s="27">
        <v>0.60894678140000003</v>
      </c>
      <c r="BN28" s="27">
        <v>20.238118355000001</v>
      </c>
      <c r="BO28" s="27">
        <v>0.11076670700000001</v>
      </c>
      <c r="BP28" s="27">
        <v>5.4478486700000002E-2</v>
      </c>
      <c r="BQ28" s="27">
        <v>5.5282729999999998E-4</v>
      </c>
      <c r="BR28" s="27">
        <v>0</v>
      </c>
      <c r="BS28" s="92">
        <v>0</v>
      </c>
      <c r="BT28" s="80" t="s">
        <v>136</v>
      </c>
      <c r="BU28" s="80">
        <v>0</v>
      </c>
      <c r="BV28" s="27">
        <v>0.23915733119999999</v>
      </c>
      <c r="BW28" s="27">
        <v>3.6797992000000002E-3</v>
      </c>
      <c r="BX28" s="27">
        <v>12.389340691999999</v>
      </c>
      <c r="BY28" s="27">
        <v>0.10218759600000001</v>
      </c>
      <c r="BZ28" s="80" t="s">
        <v>136</v>
      </c>
      <c r="CA28" s="80">
        <v>0</v>
      </c>
      <c r="CB28" s="80" t="s">
        <v>136</v>
      </c>
      <c r="CC28" s="80">
        <v>0</v>
      </c>
      <c r="CD28" s="27">
        <v>2.8683892647999998</v>
      </c>
      <c r="CE28" s="27">
        <v>4.1371450000000001E-3</v>
      </c>
      <c r="CF28" s="27">
        <v>5.7333002258999999</v>
      </c>
      <c r="CG28" s="27">
        <v>1.38479563E-2</v>
      </c>
      <c r="CH28" s="80" t="s">
        <v>136</v>
      </c>
      <c r="CI28" s="80">
        <v>0</v>
      </c>
      <c r="CJ28" s="80" t="s">
        <v>136</v>
      </c>
      <c r="CK28" s="80">
        <v>0</v>
      </c>
      <c r="CL28" s="80" t="s">
        <v>136</v>
      </c>
      <c r="CM28" s="80">
        <v>0</v>
      </c>
      <c r="CN28" s="80" t="s">
        <v>136</v>
      </c>
      <c r="CO28" s="80">
        <v>0</v>
      </c>
      <c r="CP28" s="27">
        <v>3.9720829300000003E-2</v>
      </c>
      <c r="CQ28" s="27">
        <v>4.7029329999999999E-4</v>
      </c>
      <c r="CR28" s="27">
        <v>0.11010351240000001</v>
      </c>
      <c r="CS28" s="27">
        <v>1.1737377E-3</v>
      </c>
      <c r="CT28" s="27">
        <v>1.0395706346</v>
      </c>
      <c r="CU28" s="27">
        <v>1.3328654299999999E-2</v>
      </c>
      <c r="CV28" s="27">
        <v>16.969602635000001</v>
      </c>
      <c r="CW28" s="27">
        <v>0.41741967639999999</v>
      </c>
      <c r="CX28" s="80" t="s">
        <v>136</v>
      </c>
      <c r="CY28" s="80">
        <v>0</v>
      </c>
      <c r="CZ28" s="80" t="s">
        <v>136</v>
      </c>
      <c r="DA28" s="80">
        <v>0</v>
      </c>
      <c r="DB28" s="27">
        <v>12.977783874</v>
      </c>
      <c r="DC28" s="27">
        <v>0.25877853070000001</v>
      </c>
      <c r="DD28" s="27">
        <v>33.125199055000003</v>
      </c>
      <c r="DE28" s="27">
        <v>1.4565259207000001</v>
      </c>
      <c r="DF28" s="27">
        <v>7.2502439221000001</v>
      </c>
      <c r="DG28" s="27">
        <v>0.37020156739999999</v>
      </c>
      <c r="DH28" s="27">
        <v>82.608131369999995</v>
      </c>
      <c r="DI28" s="27">
        <v>0.83337527489999996</v>
      </c>
      <c r="DJ28" s="95">
        <v>5.3683270000000002E-4</v>
      </c>
      <c r="DK28" s="96">
        <v>8.8951709999999997E-4</v>
      </c>
      <c r="DL28" s="96">
        <v>9.6942389999999995E-4</v>
      </c>
      <c r="DM28" s="96">
        <v>9.8210820000000005E-4</v>
      </c>
      <c r="DN28" s="96">
        <v>9.8638010000000006E-4</v>
      </c>
      <c r="DO28" s="96">
        <v>9.8899759999999991E-4</v>
      </c>
      <c r="DP28" s="96">
        <v>9.8919989999999994E-4</v>
      </c>
      <c r="DQ28" s="96">
        <v>9.8940219999999997E-4</v>
      </c>
      <c r="DR28" s="96">
        <v>9.8960439999999997E-4</v>
      </c>
      <c r="DS28" s="97">
        <v>9.898067E-4</v>
      </c>
      <c r="DT28" s="93">
        <v>59.768615435000001</v>
      </c>
      <c r="DU28" s="80">
        <v>0.42310635969999999</v>
      </c>
      <c r="DV28" s="80">
        <v>26.348042552999999</v>
      </c>
      <c r="DW28" s="80">
        <v>0.19516194370000001</v>
      </c>
      <c r="DX28" s="80">
        <v>11.32789378</v>
      </c>
      <c r="DY28" s="80">
        <v>8.7728950099999994E-2</v>
      </c>
      <c r="DZ28" s="80">
        <v>4.7863006489000002</v>
      </c>
      <c r="EA28" s="80">
        <v>3.9154401399999997E-2</v>
      </c>
      <c r="EB28" s="80">
        <v>2.0468777034999999</v>
      </c>
      <c r="EC28" s="80">
        <v>1.80893541E-2</v>
      </c>
      <c r="ED28" s="80">
        <v>0.9001688256</v>
      </c>
      <c r="EE28" s="80">
        <v>8.9054583000000003E-3</v>
      </c>
      <c r="EF28" s="80">
        <v>0.41320665039999999</v>
      </c>
      <c r="EG28" s="80">
        <v>4.8054441999999999E-3</v>
      </c>
      <c r="EH28" s="80">
        <v>0.2084905742</v>
      </c>
      <c r="EI28" s="80">
        <v>2.9496606E-3</v>
      </c>
      <c r="EJ28" s="80">
        <v>0.1166152469</v>
      </c>
      <c r="EK28" s="80">
        <v>2.0211262999999999E-3</v>
      </c>
      <c r="EL28" s="80">
        <v>7.2085323100000001E-2</v>
      </c>
      <c r="EM28" s="94">
        <v>1.5055518E-3</v>
      </c>
      <c r="EN28" s="80"/>
      <c r="EO28" s="80"/>
      <c r="EP28" s="80"/>
      <c r="EQ28" s="80"/>
      <c r="ER28" s="80"/>
      <c r="ES28" s="80"/>
      <c r="ET28" s="80"/>
      <c r="EU28" s="80"/>
      <c r="EV28" s="80"/>
      <c r="EW28" s="94"/>
    </row>
    <row r="29" spans="1:153" x14ac:dyDescent="0.2">
      <c r="A29" s="79">
        <v>2400</v>
      </c>
      <c r="B29" s="27">
        <v>36983</v>
      </c>
      <c r="C29" s="79">
        <v>1429.1333265000001</v>
      </c>
      <c r="D29" s="27">
        <v>2349.7073338999999</v>
      </c>
      <c r="E29" s="27">
        <v>42.136528112999997</v>
      </c>
      <c r="F29" s="27">
        <v>5.7219042300000002E-2</v>
      </c>
      <c r="G29" s="79">
        <v>0.83127701639999996</v>
      </c>
      <c r="H29" s="27">
        <v>6.0947569999999997E-4</v>
      </c>
      <c r="I29" s="27">
        <v>132.89843504999999</v>
      </c>
      <c r="J29" s="27">
        <v>0.88593398629999998</v>
      </c>
      <c r="K29" s="27">
        <f t="shared" si="4"/>
        <v>150.00941052621178</v>
      </c>
      <c r="L29" s="27">
        <v>63.643917696999999</v>
      </c>
      <c r="M29" s="27">
        <v>0.39662081589999998</v>
      </c>
      <c r="N29" s="27">
        <v>13.258381154</v>
      </c>
      <c r="O29" s="27">
        <v>0.1108358116</v>
      </c>
      <c r="P29" s="80" t="s">
        <v>136</v>
      </c>
      <c r="Q29" s="80">
        <v>0</v>
      </c>
      <c r="R29" s="27">
        <v>9.5038825704000001</v>
      </c>
      <c r="S29" s="27">
        <v>1.9532719699999999E-2</v>
      </c>
      <c r="T29" s="80" t="s">
        <v>136</v>
      </c>
      <c r="U29" s="80">
        <v>0</v>
      </c>
      <c r="V29" s="80" t="s">
        <v>136</v>
      </c>
      <c r="W29" s="80">
        <v>0</v>
      </c>
      <c r="X29" s="27">
        <v>0.1690099501</v>
      </c>
      <c r="Y29" s="27">
        <v>1.8433928E-3</v>
      </c>
      <c r="Z29" s="27">
        <v>19.059347712000001</v>
      </c>
      <c r="AA29" s="27">
        <v>0.45456851450000002</v>
      </c>
      <c r="AB29" s="80" t="s">
        <v>136</v>
      </c>
      <c r="AC29" s="80">
        <v>0</v>
      </c>
      <c r="AD29" s="27">
        <v>5.9607100000000001E-5</v>
      </c>
      <c r="AE29" s="27">
        <v>4.0693273999999999E-7</v>
      </c>
      <c r="AF29" s="80" t="s">
        <v>136</v>
      </c>
      <c r="AG29" s="80">
        <v>0</v>
      </c>
      <c r="AH29" s="80" t="s">
        <v>136</v>
      </c>
      <c r="AI29" s="80">
        <v>0</v>
      </c>
      <c r="AJ29" s="27">
        <f t="shared" si="0"/>
        <v>5.9607100000000001E-5</v>
      </c>
      <c r="AK29" s="27">
        <f t="shared" si="1"/>
        <v>4.0693273999999999E-7</v>
      </c>
      <c r="AL29" s="27">
        <v>81.687074511000006</v>
      </c>
      <c r="AM29" s="27">
        <v>1.2663685808</v>
      </c>
      <c r="AN29" s="80" t="s">
        <v>136</v>
      </c>
      <c r="AO29" s="80">
        <v>0</v>
      </c>
      <c r="AP29" s="80" t="s">
        <v>136</v>
      </c>
      <c r="AQ29" s="80">
        <v>0</v>
      </c>
      <c r="AR29" s="80" t="s">
        <v>136</v>
      </c>
      <c r="AS29" s="80">
        <v>0</v>
      </c>
      <c r="AT29" s="27">
        <v>47.663225019999999</v>
      </c>
      <c r="AU29" s="27">
        <v>1.7589196706000001</v>
      </c>
      <c r="AV29" s="27">
        <v>35.459221782</v>
      </c>
      <c r="AW29" s="27">
        <v>0.3174003547</v>
      </c>
      <c r="AX29" s="27">
        <v>16.277225894000001</v>
      </c>
      <c r="AY29" s="27">
        <v>0.19254310250000001</v>
      </c>
      <c r="AZ29" s="27">
        <v>6.3164827030000001</v>
      </c>
      <c r="BA29" s="27">
        <v>6.1226817199999999E-2</v>
      </c>
      <c r="BB29" s="80">
        <f t="shared" si="2"/>
        <v>12.865513184999998</v>
      </c>
      <c r="BC29" s="80">
        <f t="shared" si="3"/>
        <v>6.3630434999999985E-2</v>
      </c>
      <c r="BD29" s="27">
        <v>0</v>
      </c>
      <c r="BE29" s="80">
        <v>0</v>
      </c>
      <c r="BF29" s="27">
        <v>93.281639728000002</v>
      </c>
      <c r="BG29" s="27">
        <v>1.2372490002000001</v>
      </c>
      <c r="BH29" s="27">
        <v>1.1306301999999999E-3</v>
      </c>
      <c r="BI29" s="27">
        <v>8.7230267999999998E-7</v>
      </c>
      <c r="BJ29" s="27">
        <v>90.815164181</v>
      </c>
      <c r="BK29" s="27">
        <v>3.2402509811</v>
      </c>
      <c r="BL29" s="27">
        <v>86.154642819000003</v>
      </c>
      <c r="BM29" s="27">
        <v>0.64628989179999996</v>
      </c>
      <c r="BN29" s="27">
        <v>21.448710691999999</v>
      </c>
      <c r="BO29" s="27">
        <v>0.1158729718</v>
      </c>
      <c r="BP29" s="27">
        <v>5.9773447700000003E-2</v>
      </c>
      <c r="BQ29" s="27">
        <v>5.5468559999999995E-4</v>
      </c>
      <c r="BR29" s="27">
        <v>0</v>
      </c>
      <c r="BS29" s="92">
        <v>0</v>
      </c>
      <c r="BT29" s="80" t="s">
        <v>136</v>
      </c>
      <c r="BU29" s="80">
        <v>0</v>
      </c>
      <c r="BV29" s="27">
        <v>0.25584216389999997</v>
      </c>
      <c r="BW29" s="27">
        <v>3.8868874E-3</v>
      </c>
      <c r="BX29" s="27">
        <v>13.00253899</v>
      </c>
      <c r="BY29" s="27">
        <v>0.1069489242</v>
      </c>
      <c r="BZ29" s="80" t="s">
        <v>136</v>
      </c>
      <c r="CA29" s="80">
        <v>0</v>
      </c>
      <c r="CB29" s="80" t="s">
        <v>136</v>
      </c>
      <c r="CC29" s="80">
        <v>0</v>
      </c>
      <c r="CD29" s="27">
        <v>3.2511811772999999</v>
      </c>
      <c r="CE29" s="27">
        <v>4.5634370999999996E-3</v>
      </c>
      <c r="CF29" s="27">
        <v>6.2527013929999997</v>
      </c>
      <c r="CG29" s="27">
        <v>1.4969282699999999E-2</v>
      </c>
      <c r="CH29" s="80" t="s">
        <v>136</v>
      </c>
      <c r="CI29" s="80">
        <v>0</v>
      </c>
      <c r="CJ29" s="80" t="s">
        <v>136</v>
      </c>
      <c r="CK29" s="80">
        <v>0</v>
      </c>
      <c r="CL29" s="80" t="s">
        <v>136</v>
      </c>
      <c r="CM29" s="80">
        <v>0</v>
      </c>
      <c r="CN29" s="80" t="s">
        <v>136</v>
      </c>
      <c r="CO29" s="80">
        <v>0</v>
      </c>
      <c r="CP29" s="27">
        <v>4.4421423600000003E-2</v>
      </c>
      <c r="CQ29" s="27">
        <v>5.2511780000000002E-4</v>
      </c>
      <c r="CR29" s="27">
        <v>0.1245885265</v>
      </c>
      <c r="CS29" s="27">
        <v>1.318275E-3</v>
      </c>
      <c r="CT29" s="27">
        <v>1.1329581450999999</v>
      </c>
      <c r="CU29" s="27">
        <v>1.44871093E-2</v>
      </c>
      <c r="CV29" s="27">
        <v>17.926389567000001</v>
      </c>
      <c r="CW29" s="27">
        <v>0.4400814052</v>
      </c>
      <c r="CX29" s="80" t="s">
        <v>136</v>
      </c>
      <c r="CY29" s="80">
        <v>0</v>
      </c>
      <c r="CZ29" s="80" t="s">
        <v>136</v>
      </c>
      <c r="DA29" s="80">
        <v>0</v>
      </c>
      <c r="DB29" s="27">
        <v>13.535721472000001</v>
      </c>
      <c r="DC29" s="27">
        <v>0.26795217869999999</v>
      </c>
      <c r="DD29" s="27">
        <v>34.127503548</v>
      </c>
      <c r="DE29" s="27">
        <v>1.490967492</v>
      </c>
      <c r="DF29" s="27">
        <v>7.7772401964000002</v>
      </c>
      <c r="DG29" s="27">
        <v>0.38291036690000002</v>
      </c>
      <c r="DH29" s="27">
        <v>85.504399531999994</v>
      </c>
      <c r="DI29" s="27">
        <v>0.85433863330000004</v>
      </c>
      <c r="DJ29" s="95">
        <v>6.0700610000000003E-4</v>
      </c>
      <c r="DK29" s="96">
        <v>1.0102104E-3</v>
      </c>
      <c r="DL29" s="96">
        <v>1.0986680999999999E-3</v>
      </c>
      <c r="DM29" s="96">
        <v>1.1130084999999999E-3</v>
      </c>
      <c r="DN29" s="96">
        <v>1.1176243000000001E-3</v>
      </c>
      <c r="DO29" s="96">
        <v>1.1206113E-3</v>
      </c>
      <c r="DP29" s="96">
        <v>1.1210253E-3</v>
      </c>
      <c r="DQ29" s="96">
        <v>1.1212253999999999E-3</v>
      </c>
      <c r="DR29" s="96">
        <v>1.1214255000000001E-3</v>
      </c>
      <c r="DS29" s="97">
        <v>1.1216256E-3</v>
      </c>
      <c r="DT29" s="93">
        <v>61.514576253000001</v>
      </c>
      <c r="DU29" s="80">
        <v>0.4349301384</v>
      </c>
      <c r="DV29" s="80">
        <v>27.446792321</v>
      </c>
      <c r="DW29" s="80">
        <v>0.20284962779999999</v>
      </c>
      <c r="DX29" s="80">
        <v>11.968147502000001</v>
      </c>
      <c r="DY29" s="80">
        <v>9.2386045799999997E-2</v>
      </c>
      <c r="DZ29" s="80">
        <v>5.1372447458000003</v>
      </c>
      <c r="EA29" s="80">
        <v>4.1841804400000002E-2</v>
      </c>
      <c r="EB29" s="80">
        <v>2.2376055527999998</v>
      </c>
      <c r="EC29" s="80">
        <v>1.9634378000000001E-2</v>
      </c>
      <c r="ED29" s="80">
        <v>1.0039263851</v>
      </c>
      <c r="EE29" s="80">
        <v>9.8094284000000004E-3</v>
      </c>
      <c r="EF29" s="80">
        <v>0.4689621933</v>
      </c>
      <c r="EG29" s="80">
        <v>5.3408196999999999E-3</v>
      </c>
      <c r="EH29" s="80">
        <v>0.23919723079999999</v>
      </c>
      <c r="EI29" s="80">
        <v>3.2866495000000002E-3</v>
      </c>
      <c r="EJ29" s="80">
        <v>0.13541157039999999</v>
      </c>
      <c r="EK29" s="80">
        <v>2.2575017000000001E-3</v>
      </c>
      <c r="EL29" s="80">
        <v>8.42534323E-2</v>
      </c>
      <c r="EM29" s="94">
        <v>1.6817386999999999E-3</v>
      </c>
      <c r="EN29" s="80"/>
      <c r="EO29" s="80"/>
      <c r="EP29" s="80"/>
      <c r="EQ29" s="80"/>
      <c r="ER29" s="80"/>
      <c r="ES29" s="80"/>
      <c r="ET29" s="80"/>
      <c r="EU29" s="80"/>
      <c r="EV29" s="80"/>
      <c r="EW29" s="94"/>
    </row>
    <row r="30" spans="1:153" x14ac:dyDescent="0.2">
      <c r="A30" s="79">
        <v>2500</v>
      </c>
      <c r="B30" s="27">
        <v>36322</v>
      </c>
      <c r="C30" s="79">
        <v>1471.2467939999999</v>
      </c>
      <c r="D30" s="27">
        <v>2449.6569696000001</v>
      </c>
      <c r="E30" s="27">
        <v>44.415904724000001</v>
      </c>
      <c r="F30" s="27">
        <v>5.9117968899999998E-2</v>
      </c>
      <c r="G30" s="79">
        <v>0.99706629930000001</v>
      </c>
      <c r="H30" s="27">
        <v>6.9847089999999995E-4</v>
      </c>
      <c r="I30" s="27">
        <v>135.22187177000001</v>
      </c>
      <c r="J30" s="27">
        <v>0.90135937340000005</v>
      </c>
      <c r="K30" s="27">
        <f t="shared" si="4"/>
        <v>150.01993185019225</v>
      </c>
      <c r="L30" s="27">
        <v>65.374238695000003</v>
      </c>
      <c r="M30" s="27">
        <v>0.4072147331</v>
      </c>
      <c r="N30" s="27">
        <v>13.871200652000001</v>
      </c>
      <c r="O30" s="27">
        <v>0.1156913219</v>
      </c>
      <c r="P30" s="80" t="s">
        <v>136</v>
      </c>
      <c r="Q30" s="80">
        <v>0</v>
      </c>
      <c r="R30" s="27">
        <v>10.449412415999999</v>
      </c>
      <c r="S30" s="27">
        <v>2.1116504299999998E-2</v>
      </c>
      <c r="T30" s="80" t="s">
        <v>136</v>
      </c>
      <c r="U30" s="80">
        <v>0</v>
      </c>
      <c r="V30" s="80" t="s">
        <v>136</v>
      </c>
      <c r="W30" s="80">
        <v>0</v>
      </c>
      <c r="X30" s="27">
        <v>0.18377971200000001</v>
      </c>
      <c r="Y30" s="27">
        <v>1.9927145999999998E-3</v>
      </c>
      <c r="Z30" s="27">
        <v>20.136348369</v>
      </c>
      <c r="AA30" s="27">
        <v>0.47891234240000002</v>
      </c>
      <c r="AB30" s="80" t="s">
        <v>136</v>
      </c>
      <c r="AC30" s="80">
        <v>0</v>
      </c>
      <c r="AD30" s="27">
        <v>5.8621500000000001E-5</v>
      </c>
      <c r="AE30" s="27">
        <v>4.0017646999999998E-7</v>
      </c>
      <c r="AF30" s="80" t="s">
        <v>136</v>
      </c>
      <c r="AG30" s="80">
        <v>0</v>
      </c>
      <c r="AH30" s="80" t="s">
        <v>136</v>
      </c>
      <c r="AI30" s="80">
        <v>0</v>
      </c>
      <c r="AJ30" s="27">
        <f t="shared" si="0"/>
        <v>5.8621500000000001E-5</v>
      </c>
      <c r="AK30" s="27">
        <f t="shared" si="1"/>
        <v>4.0017646999999998E-7</v>
      </c>
      <c r="AL30" s="27">
        <v>84.114529461000004</v>
      </c>
      <c r="AM30" s="27">
        <v>1.2925089246999999</v>
      </c>
      <c r="AN30" s="80" t="s">
        <v>136</v>
      </c>
      <c r="AO30" s="80">
        <v>0</v>
      </c>
      <c r="AP30" s="80" t="s">
        <v>136</v>
      </c>
      <c r="AQ30" s="80">
        <v>0</v>
      </c>
      <c r="AR30" s="80" t="s">
        <v>136</v>
      </c>
      <c r="AS30" s="80">
        <v>0</v>
      </c>
      <c r="AT30" s="27">
        <v>49.214107427999998</v>
      </c>
      <c r="AU30" s="27">
        <v>1.8020364374</v>
      </c>
      <c r="AV30" s="27">
        <v>37.069783760999997</v>
      </c>
      <c r="AW30" s="27">
        <v>0.32793569299999997</v>
      </c>
      <c r="AX30" s="27">
        <v>17.004263767000001</v>
      </c>
      <c r="AY30" s="27">
        <v>0.1990547808</v>
      </c>
      <c r="AZ30" s="27">
        <v>6.5498049810000003</v>
      </c>
      <c r="BA30" s="27">
        <v>6.2829464700000004E-2</v>
      </c>
      <c r="BB30" s="80">
        <f t="shared" si="2"/>
        <v>13.515715012999994</v>
      </c>
      <c r="BC30" s="80">
        <f t="shared" si="3"/>
        <v>6.6051447499999971E-2</v>
      </c>
      <c r="BD30" s="27">
        <v>0</v>
      </c>
      <c r="BE30" s="80">
        <v>0</v>
      </c>
      <c r="BF30" s="27">
        <v>96.700719925000001</v>
      </c>
      <c r="BG30" s="27">
        <v>1.2702337091</v>
      </c>
      <c r="BH30" s="27">
        <v>1.3096604E-3</v>
      </c>
      <c r="BI30" s="27">
        <v>5.3226413E-6</v>
      </c>
      <c r="BJ30" s="27">
        <v>93.539010297999994</v>
      </c>
      <c r="BK30" s="27">
        <v>3.3070591786999999</v>
      </c>
      <c r="BL30" s="27">
        <v>91.515019953999996</v>
      </c>
      <c r="BM30" s="27">
        <v>0.68387385599999995</v>
      </c>
      <c r="BN30" s="27">
        <v>22.617495844</v>
      </c>
      <c r="BO30" s="27">
        <v>0.120716622</v>
      </c>
      <c r="BP30" s="27">
        <v>6.92360063E-2</v>
      </c>
      <c r="BQ30" s="27">
        <v>5.9996470000000005E-4</v>
      </c>
      <c r="BR30" s="27">
        <v>0</v>
      </c>
      <c r="BS30" s="92">
        <v>0</v>
      </c>
      <c r="BT30" s="80" t="s">
        <v>136</v>
      </c>
      <c r="BU30" s="80">
        <v>0</v>
      </c>
      <c r="BV30" s="27">
        <v>0.26890966379999998</v>
      </c>
      <c r="BW30" s="27">
        <v>4.0599523E-3</v>
      </c>
      <c r="BX30" s="27">
        <v>13.602290988</v>
      </c>
      <c r="BY30" s="27">
        <v>0.1116313696</v>
      </c>
      <c r="BZ30" s="80" t="s">
        <v>136</v>
      </c>
      <c r="CA30" s="80">
        <v>0</v>
      </c>
      <c r="CB30" s="80" t="s">
        <v>136</v>
      </c>
      <c r="CC30" s="80">
        <v>0</v>
      </c>
      <c r="CD30" s="27">
        <v>3.6630407909999998</v>
      </c>
      <c r="CE30" s="27">
        <v>5.0195971999999998E-3</v>
      </c>
      <c r="CF30" s="27">
        <v>6.7863716250000001</v>
      </c>
      <c r="CG30" s="27">
        <v>1.6096907099999998E-2</v>
      </c>
      <c r="CH30" s="80" t="s">
        <v>136</v>
      </c>
      <c r="CI30" s="80">
        <v>0</v>
      </c>
      <c r="CJ30" s="80" t="s">
        <v>136</v>
      </c>
      <c r="CK30" s="80">
        <v>0</v>
      </c>
      <c r="CL30" s="80" t="s">
        <v>136</v>
      </c>
      <c r="CM30" s="80">
        <v>0</v>
      </c>
      <c r="CN30" s="80" t="s">
        <v>136</v>
      </c>
      <c r="CO30" s="80">
        <v>0</v>
      </c>
      <c r="CP30" s="27">
        <v>4.9792891800000003E-2</v>
      </c>
      <c r="CQ30" s="27">
        <v>5.8475770000000001E-4</v>
      </c>
      <c r="CR30" s="27">
        <v>0.1339868202</v>
      </c>
      <c r="CS30" s="27">
        <v>1.407957E-3</v>
      </c>
      <c r="CT30" s="27">
        <v>1.2275229523</v>
      </c>
      <c r="CU30" s="27">
        <v>1.56045687E-2</v>
      </c>
      <c r="CV30" s="27">
        <v>18.908825416999999</v>
      </c>
      <c r="CW30" s="27">
        <v>0.46330777379999999</v>
      </c>
      <c r="CX30" s="80" t="s">
        <v>136</v>
      </c>
      <c r="CY30" s="80">
        <v>0</v>
      </c>
      <c r="CZ30" s="80" t="s">
        <v>136</v>
      </c>
      <c r="DA30" s="80">
        <v>0</v>
      </c>
      <c r="DB30" s="27">
        <v>14.066900803999999</v>
      </c>
      <c r="DC30" s="27">
        <v>0.2764226535</v>
      </c>
      <c r="DD30" s="27">
        <v>35.147206623999999</v>
      </c>
      <c r="DE30" s="27">
        <v>1.5256137838999999</v>
      </c>
      <c r="DF30" s="27">
        <v>8.2929052854999998</v>
      </c>
      <c r="DG30" s="27">
        <v>0.39511988399999998</v>
      </c>
      <c r="DH30" s="27">
        <v>88.407814638999994</v>
      </c>
      <c r="DI30" s="27">
        <v>0.87511382510000002</v>
      </c>
      <c r="DJ30" s="95">
        <v>6.9564099999999999E-4</v>
      </c>
      <c r="DK30" s="96">
        <v>1.1670158E-3</v>
      </c>
      <c r="DL30" s="96">
        <v>1.2735253000000001E-3</v>
      </c>
      <c r="DM30" s="96">
        <v>1.2902771999999999E-3</v>
      </c>
      <c r="DN30" s="96">
        <v>1.2950238E-3</v>
      </c>
      <c r="DO30" s="96">
        <v>1.2981659000000001E-3</v>
      </c>
      <c r="DP30" s="96">
        <v>1.2987720999999999E-3</v>
      </c>
      <c r="DQ30" s="96">
        <v>1.2991681000000001E-3</v>
      </c>
      <c r="DR30" s="96">
        <v>1.299564E-3</v>
      </c>
      <c r="DS30" s="97">
        <v>1.29996E-3</v>
      </c>
      <c r="DT30" s="93">
        <v>63.203100732999999</v>
      </c>
      <c r="DU30" s="80">
        <v>0.44648103169999998</v>
      </c>
      <c r="DV30" s="80">
        <v>28.518786895000002</v>
      </c>
      <c r="DW30" s="80">
        <v>0.21046315360000001</v>
      </c>
      <c r="DX30" s="80">
        <v>12.597022029</v>
      </c>
      <c r="DY30" s="80">
        <v>9.7071700699999999E-2</v>
      </c>
      <c r="DZ30" s="80">
        <v>5.4898167031999998</v>
      </c>
      <c r="EA30" s="80">
        <v>4.4631648900000001E-2</v>
      </c>
      <c r="EB30" s="80">
        <v>2.4330562953000001</v>
      </c>
      <c r="EC30" s="80">
        <v>2.1300573E-2</v>
      </c>
      <c r="ED30" s="80">
        <v>1.11547767</v>
      </c>
      <c r="EE30" s="80">
        <v>1.08451752E-2</v>
      </c>
      <c r="EF30" s="80">
        <v>0.53371688849999999</v>
      </c>
      <c r="EG30" s="80">
        <v>6.0083415000000001E-3</v>
      </c>
      <c r="EH30" s="80">
        <v>0.27887963310000002</v>
      </c>
      <c r="EI30" s="80">
        <v>3.7473760000000002E-3</v>
      </c>
      <c r="EJ30" s="80">
        <v>0.16073755049999999</v>
      </c>
      <c r="EK30" s="80">
        <v>2.5918928E-3</v>
      </c>
      <c r="EL30" s="80">
        <v>0.10127633329999999</v>
      </c>
      <c r="EM30" s="94">
        <v>1.9379817000000001E-3</v>
      </c>
      <c r="EN30" s="80"/>
      <c r="EO30" s="80"/>
      <c r="EP30" s="80"/>
      <c r="EQ30" s="80"/>
      <c r="ER30" s="80"/>
      <c r="ES30" s="80"/>
      <c r="ET30" s="80"/>
      <c r="EU30" s="80"/>
      <c r="EV30" s="80"/>
      <c r="EW30" s="94"/>
    </row>
    <row r="31" spans="1:153" x14ac:dyDescent="0.2">
      <c r="A31" s="79">
        <v>2600</v>
      </c>
      <c r="B31" s="27">
        <v>34024</v>
      </c>
      <c r="C31" s="79">
        <v>1512.4445965</v>
      </c>
      <c r="D31" s="27">
        <v>2549.5381465999999</v>
      </c>
      <c r="E31" s="27">
        <v>46.654864123000003</v>
      </c>
      <c r="F31" s="27">
        <v>6.0928422199999999E-2</v>
      </c>
      <c r="G31" s="79">
        <v>1.149704775</v>
      </c>
      <c r="H31" s="27">
        <v>7.8013699999999997E-4</v>
      </c>
      <c r="I31" s="27">
        <v>137.39740208000001</v>
      </c>
      <c r="J31" s="27">
        <v>0.91573104719999998</v>
      </c>
      <c r="K31" s="27">
        <f t="shared" si="4"/>
        <v>150.04121843429402</v>
      </c>
      <c r="L31" s="27">
        <v>67.058856589000001</v>
      </c>
      <c r="M31" s="27">
        <v>0.41745799579999998</v>
      </c>
      <c r="N31" s="27">
        <v>14.490805183999999</v>
      </c>
      <c r="O31" s="27">
        <v>0.1204244028</v>
      </c>
      <c r="P31" s="80" t="s">
        <v>136</v>
      </c>
      <c r="Q31" s="80">
        <v>0</v>
      </c>
      <c r="R31" s="27">
        <v>11.389945251</v>
      </c>
      <c r="S31" s="27">
        <v>2.2695698699999999E-2</v>
      </c>
      <c r="T31" s="80" t="s">
        <v>136</v>
      </c>
      <c r="U31" s="80">
        <v>0</v>
      </c>
      <c r="V31" s="80" t="s">
        <v>136</v>
      </c>
      <c r="W31" s="80">
        <v>0</v>
      </c>
      <c r="X31" s="27">
        <v>0.20045923139999999</v>
      </c>
      <c r="Y31" s="27">
        <v>2.1909716000000001E-3</v>
      </c>
      <c r="Z31" s="27">
        <v>21.138626197000001</v>
      </c>
      <c r="AA31" s="27">
        <v>0.50166245949999999</v>
      </c>
      <c r="AB31" s="80" t="s">
        <v>136</v>
      </c>
      <c r="AC31" s="80">
        <v>0</v>
      </c>
      <c r="AD31" s="27">
        <v>5.7781300000000002E-5</v>
      </c>
      <c r="AE31" s="27">
        <v>3.9439623000000002E-7</v>
      </c>
      <c r="AF31" s="80" t="s">
        <v>136</v>
      </c>
      <c r="AG31" s="80">
        <v>0</v>
      </c>
      <c r="AH31" s="80" t="s">
        <v>136</v>
      </c>
      <c r="AI31" s="80">
        <v>0</v>
      </c>
      <c r="AJ31" s="27">
        <f t="shared" si="0"/>
        <v>5.7781300000000002E-5</v>
      </c>
      <c r="AK31" s="27">
        <f t="shared" si="1"/>
        <v>3.9439623000000002E-7</v>
      </c>
      <c r="AL31" s="27">
        <v>86.404489517000002</v>
      </c>
      <c r="AM31" s="27">
        <v>1.3163361702</v>
      </c>
      <c r="AN31" s="80" t="s">
        <v>136</v>
      </c>
      <c r="AO31" s="80">
        <v>0</v>
      </c>
      <c r="AP31" s="80" t="s">
        <v>136</v>
      </c>
      <c r="AQ31" s="80">
        <v>0</v>
      </c>
      <c r="AR31" s="80" t="s">
        <v>136</v>
      </c>
      <c r="AS31" s="80">
        <v>0</v>
      </c>
      <c r="AT31" s="27">
        <v>50.654978118999999</v>
      </c>
      <c r="AU31" s="27">
        <v>1.8419472030999999</v>
      </c>
      <c r="AV31" s="27">
        <v>38.648807372</v>
      </c>
      <c r="AW31" s="27">
        <v>0.33805761490000003</v>
      </c>
      <c r="AX31" s="27">
        <v>17.723980359999999</v>
      </c>
      <c r="AY31" s="27">
        <v>0.20531339370000001</v>
      </c>
      <c r="AZ31" s="27">
        <v>6.7746803081999998</v>
      </c>
      <c r="BA31" s="27">
        <v>6.4385878699999996E-2</v>
      </c>
      <c r="BB31" s="80">
        <f t="shared" si="2"/>
        <v>14.150146703800001</v>
      </c>
      <c r="BC31" s="80">
        <f t="shared" si="3"/>
        <v>6.8358342500000002E-2</v>
      </c>
      <c r="BD31" s="27">
        <v>0</v>
      </c>
      <c r="BE31" s="80">
        <v>0</v>
      </c>
      <c r="BF31" s="27">
        <v>100.05042063</v>
      </c>
      <c r="BG31" s="27">
        <v>1.3023928812000001</v>
      </c>
      <c r="BH31" s="27">
        <v>1.4667848999999999E-3</v>
      </c>
      <c r="BI31" s="27">
        <v>5.1875683999999998E-6</v>
      </c>
      <c r="BJ31" s="27">
        <v>96.059155368000006</v>
      </c>
      <c r="BK31" s="27">
        <v>3.3694960226999999</v>
      </c>
      <c r="BL31" s="27">
        <v>96.881750617999998</v>
      </c>
      <c r="BM31" s="27">
        <v>0.72088998900000001</v>
      </c>
      <c r="BN31" s="27">
        <v>23.763279384000001</v>
      </c>
      <c r="BO31" s="27">
        <v>0.12563410380000001</v>
      </c>
      <c r="BP31" s="27">
        <v>7.1789213800000001E-2</v>
      </c>
      <c r="BQ31" s="27">
        <v>6.0918379999999996E-4</v>
      </c>
      <c r="BR31" s="27">
        <v>0</v>
      </c>
      <c r="BS31" s="92">
        <v>0</v>
      </c>
      <c r="BT31" s="80" t="s">
        <v>136</v>
      </c>
      <c r="BU31" s="80">
        <v>0</v>
      </c>
      <c r="BV31" s="27">
        <v>0.2814998615</v>
      </c>
      <c r="BW31" s="27">
        <v>4.2406898999999996E-3</v>
      </c>
      <c r="BX31" s="27">
        <v>14.209305323000001</v>
      </c>
      <c r="BY31" s="27">
        <v>0.1161837129</v>
      </c>
      <c r="BZ31" s="80" t="s">
        <v>136</v>
      </c>
      <c r="CA31" s="80">
        <v>0</v>
      </c>
      <c r="CB31" s="80" t="s">
        <v>136</v>
      </c>
      <c r="CC31" s="80">
        <v>0</v>
      </c>
      <c r="CD31" s="27">
        <v>4.1120341212999998</v>
      </c>
      <c r="CE31" s="27">
        <v>5.4830228E-3</v>
      </c>
      <c r="CF31" s="27">
        <v>7.2779111299999997</v>
      </c>
      <c r="CG31" s="27">
        <v>1.7212675899999998E-2</v>
      </c>
      <c r="CH31" s="80" t="s">
        <v>136</v>
      </c>
      <c r="CI31" s="80">
        <v>0</v>
      </c>
      <c r="CJ31" s="80" t="s">
        <v>136</v>
      </c>
      <c r="CK31" s="80">
        <v>0</v>
      </c>
      <c r="CL31" s="80" t="s">
        <v>136</v>
      </c>
      <c r="CM31" s="80">
        <v>0</v>
      </c>
      <c r="CN31" s="80" t="s">
        <v>136</v>
      </c>
      <c r="CO31" s="80">
        <v>0</v>
      </c>
      <c r="CP31" s="27">
        <v>5.4113374300000003E-2</v>
      </c>
      <c r="CQ31" s="27">
        <v>6.5671119999999999E-4</v>
      </c>
      <c r="CR31" s="27">
        <v>0.1463458571</v>
      </c>
      <c r="CS31" s="27">
        <v>1.5342604000000001E-3</v>
      </c>
      <c r="CT31" s="27">
        <v>1.3079690992999999</v>
      </c>
      <c r="CU31" s="27">
        <v>1.6555825100000001E-2</v>
      </c>
      <c r="CV31" s="27">
        <v>19.830657098</v>
      </c>
      <c r="CW31" s="27">
        <v>0.48510663450000002</v>
      </c>
      <c r="CX31" s="80" t="s">
        <v>136</v>
      </c>
      <c r="CY31" s="80">
        <v>0</v>
      </c>
      <c r="CZ31" s="80" t="s">
        <v>136</v>
      </c>
      <c r="DA31" s="80">
        <v>0</v>
      </c>
      <c r="DB31" s="27">
        <v>14.566977118000001</v>
      </c>
      <c r="DC31" s="27">
        <v>0.28459452369999999</v>
      </c>
      <c r="DD31" s="27">
        <v>36.088001001000002</v>
      </c>
      <c r="DE31" s="27">
        <v>1.5573526794999999</v>
      </c>
      <c r="DF31" s="27">
        <v>8.8165504744999996</v>
      </c>
      <c r="DG31" s="27">
        <v>0.40705764030000002</v>
      </c>
      <c r="DH31" s="27">
        <v>91.233870159000006</v>
      </c>
      <c r="DI31" s="27">
        <v>0.89533524080000004</v>
      </c>
      <c r="DJ31" s="95">
        <v>7.7633119999999996E-4</v>
      </c>
      <c r="DK31" s="96">
        <v>1.3082541E-3</v>
      </c>
      <c r="DL31" s="96">
        <v>1.4275244E-3</v>
      </c>
      <c r="DM31" s="96">
        <v>1.4471976999999999E-3</v>
      </c>
      <c r="DN31" s="96">
        <v>1.4520912E-3</v>
      </c>
      <c r="DO31" s="96">
        <v>1.4554011999999999E-3</v>
      </c>
      <c r="DP31" s="96">
        <v>1.4560006E-3</v>
      </c>
      <c r="DQ31" s="96">
        <v>1.4563928E-3</v>
      </c>
      <c r="DR31" s="96">
        <v>1.4567848999999999E-3</v>
      </c>
      <c r="DS31" s="97">
        <v>1.4571771000000001E-3</v>
      </c>
      <c r="DT31" s="93">
        <v>64.791385219000006</v>
      </c>
      <c r="DU31" s="80">
        <v>0.45728073969999999</v>
      </c>
      <c r="DV31" s="80">
        <v>29.532110268</v>
      </c>
      <c r="DW31" s="80">
        <v>0.21760323179999999</v>
      </c>
      <c r="DX31" s="80">
        <v>13.199272809</v>
      </c>
      <c r="DY31" s="80">
        <v>0.10149923869999999</v>
      </c>
      <c r="DZ31" s="80">
        <v>5.8301680430999996</v>
      </c>
      <c r="EA31" s="80">
        <v>4.7265705499999998E-2</v>
      </c>
      <c r="EB31" s="80">
        <v>2.6205758865000002</v>
      </c>
      <c r="EC31" s="80">
        <v>2.2853664999999999E-2</v>
      </c>
      <c r="ED31" s="80">
        <v>1.2208493093999999</v>
      </c>
      <c r="EE31" s="80">
        <v>1.17936723E-2</v>
      </c>
      <c r="EF31" s="80">
        <v>0.59440643609999999</v>
      </c>
      <c r="EG31" s="80">
        <v>6.6185979000000002E-3</v>
      </c>
      <c r="EH31" s="80">
        <v>0.31525082339999999</v>
      </c>
      <c r="EI31" s="80">
        <v>4.1635513999999998E-3</v>
      </c>
      <c r="EJ31" s="80">
        <v>0.1829245884</v>
      </c>
      <c r="EK31" s="80">
        <v>2.8898770999999999E-3</v>
      </c>
      <c r="EL31" s="80">
        <v>0.11545926099999999</v>
      </c>
      <c r="EM31" s="94">
        <v>2.1614970000000001E-3</v>
      </c>
      <c r="EN31" s="80"/>
      <c r="EO31" s="80"/>
      <c r="EP31" s="80"/>
      <c r="EQ31" s="80"/>
      <c r="ER31" s="80"/>
      <c r="ES31" s="80"/>
      <c r="ET31" s="80"/>
      <c r="EU31" s="80"/>
      <c r="EV31" s="80"/>
      <c r="EW31" s="94"/>
    </row>
    <row r="32" spans="1:153" x14ac:dyDescent="0.2">
      <c r="A32" s="79">
        <v>2700</v>
      </c>
      <c r="B32" s="27">
        <v>33101</v>
      </c>
      <c r="C32" s="79">
        <v>1552.7995976</v>
      </c>
      <c r="D32" s="27">
        <v>2649.6702249999998</v>
      </c>
      <c r="E32" s="27">
        <v>48.891002821000001</v>
      </c>
      <c r="F32" s="27">
        <v>6.2712014400000002E-2</v>
      </c>
      <c r="G32" s="79">
        <v>1.3188327159</v>
      </c>
      <c r="H32" s="27">
        <v>8.6737209999999997E-4</v>
      </c>
      <c r="I32" s="27">
        <v>139.53800093000001</v>
      </c>
      <c r="J32" s="27">
        <v>0.92995716939999995</v>
      </c>
      <c r="K32" s="27">
        <f t="shared" si="4"/>
        <v>150.04777157643579</v>
      </c>
      <c r="L32" s="27">
        <v>68.657095377999994</v>
      </c>
      <c r="M32" s="27">
        <v>0.42726667309999999</v>
      </c>
      <c r="N32" s="27">
        <v>15.109222545</v>
      </c>
      <c r="O32" s="27">
        <v>0.12518875530000001</v>
      </c>
      <c r="P32" s="80" t="s">
        <v>136</v>
      </c>
      <c r="Q32" s="80">
        <v>0</v>
      </c>
      <c r="R32" s="27">
        <v>12.315860815000001</v>
      </c>
      <c r="S32" s="27">
        <v>2.42184046E-2</v>
      </c>
      <c r="T32" s="80" t="s">
        <v>136</v>
      </c>
      <c r="U32" s="80">
        <v>0</v>
      </c>
      <c r="V32" s="80" t="s">
        <v>136</v>
      </c>
      <c r="W32" s="80">
        <v>0</v>
      </c>
      <c r="X32" s="27">
        <v>0.2178211099</v>
      </c>
      <c r="Y32" s="27">
        <v>2.3585748999999999E-3</v>
      </c>
      <c r="Z32" s="27">
        <v>22.187304486999999</v>
      </c>
      <c r="AA32" s="27">
        <v>0.52509847570000001</v>
      </c>
      <c r="AB32" s="80" t="s">
        <v>136</v>
      </c>
      <c r="AC32" s="80">
        <v>0</v>
      </c>
      <c r="AD32" s="27">
        <v>9.2705800000000003E-5</v>
      </c>
      <c r="AE32" s="27">
        <v>5.7337835000000001E-7</v>
      </c>
      <c r="AF32" s="80" t="s">
        <v>136</v>
      </c>
      <c r="AG32" s="80">
        <v>0</v>
      </c>
      <c r="AH32" s="80" t="s">
        <v>136</v>
      </c>
      <c r="AI32" s="80">
        <v>0</v>
      </c>
      <c r="AJ32" s="27">
        <f t="shared" si="0"/>
        <v>9.2705800000000003E-5</v>
      </c>
      <c r="AK32" s="27">
        <f t="shared" si="1"/>
        <v>5.7337835000000001E-7</v>
      </c>
      <c r="AL32" s="27">
        <v>88.695946524999997</v>
      </c>
      <c r="AM32" s="27">
        <v>1.3400344222</v>
      </c>
      <c r="AN32" s="80" t="s">
        <v>136</v>
      </c>
      <c r="AO32" s="80">
        <v>0</v>
      </c>
      <c r="AP32" s="80" t="s">
        <v>136</v>
      </c>
      <c r="AQ32" s="80">
        <v>0</v>
      </c>
      <c r="AR32" s="80" t="s">
        <v>136</v>
      </c>
      <c r="AS32" s="80">
        <v>0</v>
      </c>
      <c r="AT32" s="27">
        <v>52.093778530999998</v>
      </c>
      <c r="AU32" s="27">
        <v>1.8822148187000001</v>
      </c>
      <c r="AV32" s="27">
        <v>40.135267012</v>
      </c>
      <c r="AW32" s="27">
        <v>0.34757532619999998</v>
      </c>
      <c r="AX32" s="27">
        <v>18.407136437999998</v>
      </c>
      <c r="AY32" s="27">
        <v>0.21117537759999999</v>
      </c>
      <c r="AZ32" s="27">
        <v>6.9844052601</v>
      </c>
      <c r="BA32" s="27">
        <v>6.5880121400000005E-2</v>
      </c>
      <c r="BB32" s="80">
        <f t="shared" si="2"/>
        <v>14.743725313900001</v>
      </c>
      <c r="BC32" s="80">
        <f t="shared" si="3"/>
        <v>7.0519827199999996E-2</v>
      </c>
      <c r="BD32" s="27">
        <v>0</v>
      </c>
      <c r="BE32" s="80">
        <v>0</v>
      </c>
      <c r="BF32" s="27">
        <v>103.39118834</v>
      </c>
      <c r="BG32" s="27">
        <v>1.334508188</v>
      </c>
      <c r="BH32" s="27">
        <v>1.6368901E-3</v>
      </c>
      <c r="BI32" s="27">
        <v>5.0631619000000004E-6</v>
      </c>
      <c r="BJ32" s="27">
        <v>98.507883148000005</v>
      </c>
      <c r="BK32" s="27">
        <v>3.4287767694000002</v>
      </c>
      <c r="BL32" s="27">
        <v>102.27758065</v>
      </c>
      <c r="BM32" s="27">
        <v>0.75845981439999999</v>
      </c>
      <c r="BN32" s="27">
        <v>24.984238723000001</v>
      </c>
      <c r="BO32" s="27">
        <v>0.1304964807</v>
      </c>
      <c r="BP32" s="27">
        <v>8.0627741599999997E-2</v>
      </c>
      <c r="BQ32" s="27">
        <v>6.4200550000000002E-4</v>
      </c>
      <c r="BR32" s="27">
        <v>0</v>
      </c>
      <c r="BS32" s="92">
        <v>0</v>
      </c>
      <c r="BT32" s="80" t="s">
        <v>136</v>
      </c>
      <c r="BU32" s="80">
        <v>0</v>
      </c>
      <c r="BV32" s="27">
        <v>0.29305738370000001</v>
      </c>
      <c r="BW32" s="27">
        <v>4.4095393999999998E-3</v>
      </c>
      <c r="BX32" s="27">
        <v>14.816165161000001</v>
      </c>
      <c r="BY32" s="27">
        <v>0.1207792159</v>
      </c>
      <c r="BZ32" s="80" t="s">
        <v>136</v>
      </c>
      <c r="CA32" s="80">
        <v>0</v>
      </c>
      <c r="CB32" s="80" t="s">
        <v>136</v>
      </c>
      <c r="CC32" s="80">
        <v>0</v>
      </c>
      <c r="CD32" s="27">
        <v>4.5498483727999997</v>
      </c>
      <c r="CE32" s="27">
        <v>5.9372212000000004E-3</v>
      </c>
      <c r="CF32" s="27">
        <v>7.7660124426000001</v>
      </c>
      <c r="CG32" s="27">
        <v>1.8281183400000001E-2</v>
      </c>
      <c r="CH32" s="80" t="s">
        <v>136</v>
      </c>
      <c r="CI32" s="80">
        <v>0</v>
      </c>
      <c r="CJ32" s="80" t="s">
        <v>136</v>
      </c>
      <c r="CK32" s="80">
        <v>0</v>
      </c>
      <c r="CL32" s="80" t="s">
        <v>136</v>
      </c>
      <c r="CM32" s="80">
        <v>0</v>
      </c>
      <c r="CN32" s="80" t="s">
        <v>136</v>
      </c>
      <c r="CO32" s="80">
        <v>0</v>
      </c>
      <c r="CP32" s="27">
        <v>5.8565320800000001E-2</v>
      </c>
      <c r="CQ32" s="27">
        <v>7.0154039999999998E-4</v>
      </c>
      <c r="CR32" s="27">
        <v>0.15925578909999999</v>
      </c>
      <c r="CS32" s="27">
        <v>1.6570345000000001E-3</v>
      </c>
      <c r="CT32" s="27">
        <v>1.4035713978</v>
      </c>
      <c r="CU32" s="27">
        <v>1.7705323799999999E-2</v>
      </c>
      <c r="CV32" s="27">
        <v>20.783733088999998</v>
      </c>
      <c r="CW32" s="27">
        <v>0.50739315190000001</v>
      </c>
      <c r="CX32" s="80" t="s">
        <v>136</v>
      </c>
      <c r="CY32" s="80">
        <v>0</v>
      </c>
      <c r="CZ32" s="80" t="s">
        <v>136</v>
      </c>
      <c r="DA32" s="80">
        <v>0</v>
      </c>
      <c r="DB32" s="27">
        <v>15.078365609</v>
      </c>
      <c r="DC32" s="27">
        <v>0.29271031889999999</v>
      </c>
      <c r="DD32" s="27">
        <v>37.015412922000003</v>
      </c>
      <c r="DE32" s="27">
        <v>1.5895044998000001</v>
      </c>
      <c r="DF32" s="27">
        <v>9.3987828819000008</v>
      </c>
      <c r="DG32" s="27">
        <v>0.4192246751</v>
      </c>
      <c r="DH32" s="27">
        <v>93.992405458999997</v>
      </c>
      <c r="DI32" s="27">
        <v>0.91528351279999998</v>
      </c>
      <c r="DJ32" s="95">
        <v>8.6341640000000002E-4</v>
      </c>
      <c r="DK32" s="96">
        <v>1.4574252000000001E-3</v>
      </c>
      <c r="DL32" s="96">
        <v>1.5940777E-3</v>
      </c>
      <c r="DM32" s="96">
        <v>1.6167538999999999E-3</v>
      </c>
      <c r="DN32" s="96">
        <v>1.6219750999999999E-3</v>
      </c>
      <c r="DO32" s="96">
        <v>1.6254291000000001E-3</v>
      </c>
      <c r="DP32" s="96">
        <v>1.6262062999999999E-3</v>
      </c>
      <c r="DQ32" s="96">
        <v>1.6265947999999999E-3</v>
      </c>
      <c r="DR32" s="96">
        <v>1.6269832999999999E-3</v>
      </c>
      <c r="DS32" s="97">
        <v>1.6273717999999999E-3</v>
      </c>
      <c r="DT32" s="93">
        <v>66.368088529999994</v>
      </c>
      <c r="DU32" s="80">
        <v>0.46805412079999997</v>
      </c>
      <c r="DV32" s="80">
        <v>30.547209423999998</v>
      </c>
      <c r="DW32" s="80">
        <v>0.2248190904</v>
      </c>
      <c r="DX32" s="80">
        <v>13.803813830999999</v>
      </c>
      <c r="DY32" s="80">
        <v>0.1059882419</v>
      </c>
      <c r="DZ32" s="80">
        <v>6.1792749454999996</v>
      </c>
      <c r="EA32" s="80">
        <v>4.9997765399999998E-2</v>
      </c>
      <c r="EB32" s="80">
        <v>2.8180658455000001</v>
      </c>
      <c r="EC32" s="80">
        <v>2.4508134599999998E-2</v>
      </c>
      <c r="ED32" s="80">
        <v>1.3333340107</v>
      </c>
      <c r="EE32" s="80">
        <v>1.2822472999999999E-2</v>
      </c>
      <c r="EF32" s="80">
        <v>0.66006774140000002</v>
      </c>
      <c r="EG32" s="80">
        <v>7.2834978000000002E-3</v>
      </c>
      <c r="EH32" s="80">
        <v>0.35437099230000002</v>
      </c>
      <c r="EI32" s="80">
        <v>4.6130192000000004E-3</v>
      </c>
      <c r="EJ32" s="80">
        <v>0.2073365462</v>
      </c>
      <c r="EK32" s="80">
        <v>3.2109228E-3</v>
      </c>
      <c r="EL32" s="80">
        <v>0.13127397330000001</v>
      </c>
      <c r="EM32" s="94">
        <v>2.4026064E-3</v>
      </c>
      <c r="EN32" s="80"/>
      <c r="EO32" s="80"/>
      <c r="EP32" s="80"/>
      <c r="EQ32" s="80"/>
      <c r="ER32" s="80"/>
      <c r="ES32" s="80"/>
      <c r="ET32" s="80"/>
      <c r="EU32" s="80"/>
      <c r="EV32" s="80"/>
      <c r="EW32" s="94"/>
    </row>
    <row r="33" spans="1:153" x14ac:dyDescent="0.2">
      <c r="A33" s="79">
        <v>2800</v>
      </c>
      <c r="B33" s="27">
        <v>31656</v>
      </c>
      <c r="C33" s="79">
        <v>1592.3747814000001</v>
      </c>
      <c r="D33" s="27">
        <v>2749.6393896999998</v>
      </c>
      <c r="E33" s="27">
        <v>51.166190944</v>
      </c>
      <c r="F33" s="27">
        <v>6.4506944499999996E-2</v>
      </c>
      <c r="G33" s="79">
        <v>1.5162388534</v>
      </c>
      <c r="H33" s="27">
        <v>9.6481560000000004E-4</v>
      </c>
      <c r="I33" s="27">
        <v>141.55964768999999</v>
      </c>
      <c r="J33" s="27">
        <v>0.94335688159999997</v>
      </c>
      <c r="K33" s="27">
        <f t="shared" si="4"/>
        <v>150.05948485784597</v>
      </c>
      <c r="L33" s="27">
        <v>70.224375381000002</v>
      </c>
      <c r="M33" s="27">
        <v>0.43677419080000002</v>
      </c>
      <c r="N33" s="27">
        <v>15.678073259</v>
      </c>
      <c r="O33" s="27">
        <v>0.1296158291</v>
      </c>
      <c r="P33" s="80" t="s">
        <v>136</v>
      </c>
      <c r="Q33" s="80">
        <v>0</v>
      </c>
      <c r="R33" s="27">
        <v>13.31745744</v>
      </c>
      <c r="S33" s="27">
        <v>2.5903231700000001E-2</v>
      </c>
      <c r="T33" s="80" t="s">
        <v>136</v>
      </c>
      <c r="U33" s="80">
        <v>0</v>
      </c>
      <c r="V33" s="80" t="s">
        <v>136</v>
      </c>
      <c r="W33" s="80">
        <v>0</v>
      </c>
      <c r="X33" s="27">
        <v>0.2362911794</v>
      </c>
      <c r="Y33" s="27">
        <v>2.5421584999999998E-3</v>
      </c>
      <c r="Z33" s="27">
        <v>23.256510483</v>
      </c>
      <c r="AA33" s="27">
        <v>0.54865387379999997</v>
      </c>
      <c r="AB33" s="80" t="s">
        <v>136</v>
      </c>
      <c r="AC33" s="80">
        <v>0</v>
      </c>
      <c r="AD33" s="27">
        <v>9.87897E-5</v>
      </c>
      <c r="AE33" s="27">
        <v>7.6689988000000001E-7</v>
      </c>
      <c r="AF33" s="80" t="s">
        <v>136</v>
      </c>
      <c r="AG33" s="80">
        <v>0</v>
      </c>
      <c r="AH33" s="80" t="s">
        <v>136</v>
      </c>
      <c r="AI33" s="80">
        <v>0</v>
      </c>
      <c r="AJ33" s="27">
        <f t="shared" si="0"/>
        <v>9.87897E-5</v>
      </c>
      <c r="AK33" s="27">
        <f t="shared" si="1"/>
        <v>7.6689988000000001E-7</v>
      </c>
      <c r="AL33" s="27">
        <v>90.921947376000006</v>
      </c>
      <c r="AM33" s="27">
        <v>1.36212976</v>
      </c>
      <c r="AN33" s="80" t="s">
        <v>136</v>
      </c>
      <c r="AO33" s="80">
        <v>0</v>
      </c>
      <c r="AP33" s="80" t="s">
        <v>136</v>
      </c>
      <c r="AQ33" s="80">
        <v>0</v>
      </c>
      <c r="AR33" s="80" t="s">
        <v>136</v>
      </c>
      <c r="AS33" s="80">
        <v>0</v>
      </c>
      <c r="AT33" s="27">
        <v>53.496255161999997</v>
      </c>
      <c r="AU33" s="27">
        <v>1.9208898396</v>
      </c>
      <c r="AV33" s="27">
        <v>41.592324581</v>
      </c>
      <c r="AW33" s="27">
        <v>0.3570057968</v>
      </c>
      <c r="AX33" s="27">
        <v>19.081582400999999</v>
      </c>
      <c r="AY33" s="27">
        <v>0.21709812119999999</v>
      </c>
      <c r="AZ33" s="27">
        <v>7.1902942238999996</v>
      </c>
      <c r="BA33" s="27">
        <v>6.7238711699999995E-2</v>
      </c>
      <c r="BB33" s="80">
        <f t="shared" si="2"/>
        <v>15.320447956100001</v>
      </c>
      <c r="BC33" s="80">
        <f t="shared" si="3"/>
        <v>7.2668963899999994E-2</v>
      </c>
      <c r="BD33" s="27">
        <v>0</v>
      </c>
      <c r="BE33" s="80">
        <v>0</v>
      </c>
      <c r="BF33" s="27">
        <v>106.7198884</v>
      </c>
      <c r="BG33" s="27">
        <v>1.3649008633999999</v>
      </c>
      <c r="BH33" s="27">
        <v>1.8254368E-3</v>
      </c>
      <c r="BI33" s="27">
        <v>4.9466123000000004E-6</v>
      </c>
      <c r="BJ33" s="27">
        <v>100.86338323</v>
      </c>
      <c r="BK33" s="27">
        <v>3.4843294266</v>
      </c>
      <c r="BL33" s="27">
        <v>107.63434597</v>
      </c>
      <c r="BM33" s="27">
        <v>0.79494674200000004</v>
      </c>
      <c r="BN33" s="27">
        <v>26.056850258000001</v>
      </c>
      <c r="BO33" s="27">
        <v>0.13482701559999999</v>
      </c>
      <c r="BP33" s="27">
        <v>8.4952642100000003E-2</v>
      </c>
      <c r="BQ33" s="27">
        <v>6.6410250000000003E-4</v>
      </c>
      <c r="BR33" s="27">
        <v>0</v>
      </c>
      <c r="BS33" s="92">
        <v>0</v>
      </c>
      <c r="BT33" s="80" t="s">
        <v>136</v>
      </c>
      <c r="BU33" s="80">
        <v>0</v>
      </c>
      <c r="BV33" s="27">
        <v>0.30646999689999999</v>
      </c>
      <c r="BW33" s="27">
        <v>4.5946855E-3</v>
      </c>
      <c r="BX33" s="27">
        <v>15.371603262000001</v>
      </c>
      <c r="BY33" s="27">
        <v>0.1250211437</v>
      </c>
      <c r="BZ33" s="80" t="s">
        <v>136</v>
      </c>
      <c r="CA33" s="80">
        <v>0</v>
      </c>
      <c r="CB33" s="80" t="s">
        <v>136</v>
      </c>
      <c r="CC33" s="80">
        <v>0</v>
      </c>
      <c r="CD33" s="27">
        <v>5.0445911279000004</v>
      </c>
      <c r="CE33" s="27">
        <v>6.4568124999999999E-3</v>
      </c>
      <c r="CF33" s="27">
        <v>8.2728663122999997</v>
      </c>
      <c r="CG33" s="27">
        <v>1.9446419199999999E-2</v>
      </c>
      <c r="CH33" s="80" t="s">
        <v>136</v>
      </c>
      <c r="CI33" s="80">
        <v>0</v>
      </c>
      <c r="CJ33" s="80" t="s">
        <v>136</v>
      </c>
      <c r="CK33" s="80">
        <v>0</v>
      </c>
      <c r="CL33" s="80" t="s">
        <v>136</v>
      </c>
      <c r="CM33" s="80">
        <v>0</v>
      </c>
      <c r="CN33" s="80" t="s">
        <v>136</v>
      </c>
      <c r="CO33" s="80">
        <v>0</v>
      </c>
      <c r="CP33" s="27">
        <v>6.2471692199999998E-2</v>
      </c>
      <c r="CQ33" s="27">
        <v>7.4331699999999996E-4</v>
      </c>
      <c r="CR33" s="27">
        <v>0.17381948720000001</v>
      </c>
      <c r="CS33" s="27">
        <v>1.7988413999999999E-3</v>
      </c>
      <c r="CT33" s="27">
        <v>1.5125847741</v>
      </c>
      <c r="CU33" s="27">
        <v>1.89308199E-2</v>
      </c>
      <c r="CV33" s="27">
        <v>21.743925707999999</v>
      </c>
      <c r="CW33" s="27">
        <v>0.52972305389999996</v>
      </c>
      <c r="CX33" s="80" t="s">
        <v>136</v>
      </c>
      <c r="CY33" s="80">
        <v>0</v>
      </c>
      <c r="CZ33" s="80" t="s">
        <v>136</v>
      </c>
      <c r="DA33" s="80">
        <v>0</v>
      </c>
      <c r="DB33" s="27">
        <v>15.555522140000001</v>
      </c>
      <c r="DC33" s="27">
        <v>0.30038085809999998</v>
      </c>
      <c r="DD33" s="27">
        <v>37.940733022000003</v>
      </c>
      <c r="DE33" s="27">
        <v>1.6205089815</v>
      </c>
      <c r="DF33" s="27">
        <v>9.9713777917000002</v>
      </c>
      <c r="DG33" s="27">
        <v>0.43062287939999999</v>
      </c>
      <c r="DH33" s="27">
        <v>96.748510604000003</v>
      </c>
      <c r="DI33" s="27">
        <v>0.93427798399999995</v>
      </c>
      <c r="DJ33" s="95">
        <v>9.6071169999999997E-4</v>
      </c>
      <c r="DK33" s="96">
        <v>1.6269336999999999E-3</v>
      </c>
      <c r="DL33" s="96">
        <v>1.7799185999999999E-3</v>
      </c>
      <c r="DM33" s="96">
        <v>1.8050173E-3</v>
      </c>
      <c r="DN33" s="96">
        <v>1.8106607E-3</v>
      </c>
      <c r="DO33" s="96">
        <v>1.8140744999999999E-3</v>
      </c>
      <c r="DP33" s="96">
        <v>1.8148432000000001E-3</v>
      </c>
      <c r="DQ33" s="96">
        <v>1.8152284E-3</v>
      </c>
      <c r="DR33" s="96">
        <v>1.8156136E-3</v>
      </c>
      <c r="DS33" s="97">
        <v>1.8159987999999999E-3</v>
      </c>
      <c r="DT33" s="93">
        <v>67.861036037999995</v>
      </c>
      <c r="DU33" s="80">
        <v>0.47822952070000002</v>
      </c>
      <c r="DV33" s="80">
        <v>31.516181448000001</v>
      </c>
      <c r="DW33" s="80">
        <v>0.2316779202</v>
      </c>
      <c r="DX33" s="80">
        <v>14.384639412</v>
      </c>
      <c r="DY33" s="80">
        <v>0.1102768147</v>
      </c>
      <c r="DZ33" s="80">
        <v>6.5152713553000003</v>
      </c>
      <c r="EA33" s="80">
        <v>5.2611831900000003E-2</v>
      </c>
      <c r="EB33" s="80">
        <v>3.010981766</v>
      </c>
      <c r="EC33" s="80">
        <v>2.61118927E-2</v>
      </c>
      <c r="ED33" s="80">
        <v>1.4456623683000001</v>
      </c>
      <c r="EE33" s="80">
        <v>1.38349628E-2</v>
      </c>
      <c r="EF33" s="80">
        <v>0.72572146039999996</v>
      </c>
      <c r="EG33" s="80">
        <v>7.9415978999999998E-3</v>
      </c>
      <c r="EH33" s="80">
        <v>0.39278050019999999</v>
      </c>
      <c r="EI33" s="80">
        <v>5.0571174E-3</v>
      </c>
      <c r="EJ33" s="80">
        <v>0.22975776849999999</v>
      </c>
      <c r="EK33" s="80">
        <v>3.5214374999999998E-3</v>
      </c>
      <c r="EL33" s="80">
        <v>0.14518404439999999</v>
      </c>
      <c r="EM33" s="94">
        <v>2.6357733000000002E-3</v>
      </c>
      <c r="EN33" s="80"/>
      <c r="EO33" s="80"/>
      <c r="EP33" s="80"/>
      <c r="EQ33" s="80"/>
      <c r="ER33" s="80"/>
      <c r="ES33" s="80"/>
      <c r="ET33" s="80"/>
      <c r="EU33" s="80"/>
      <c r="EV33" s="80"/>
      <c r="EW33" s="94"/>
    </row>
    <row r="34" spans="1:153" x14ac:dyDescent="0.2">
      <c r="A34" s="79">
        <v>2900</v>
      </c>
      <c r="B34" s="27">
        <v>30621</v>
      </c>
      <c r="C34" s="79">
        <v>1631.0352456999999</v>
      </c>
      <c r="D34" s="27">
        <v>2849.764068</v>
      </c>
      <c r="E34" s="27">
        <v>53.282982345999997</v>
      </c>
      <c r="F34" s="27">
        <v>6.6139056200000004E-2</v>
      </c>
      <c r="G34" s="79">
        <v>1.7120002298000001</v>
      </c>
      <c r="H34" s="27">
        <v>1.0594964E-3</v>
      </c>
      <c r="I34" s="27">
        <v>143.48060563999999</v>
      </c>
      <c r="J34" s="27">
        <v>0.95618370929999996</v>
      </c>
      <c r="K34" s="27">
        <f t="shared" si="4"/>
        <v>150.05548018072682</v>
      </c>
      <c r="L34" s="27">
        <v>71.732051178000006</v>
      </c>
      <c r="M34" s="27">
        <v>0.44629902449999997</v>
      </c>
      <c r="N34" s="27">
        <v>16.292145090999998</v>
      </c>
      <c r="O34" s="27">
        <v>0.13432954159999999</v>
      </c>
      <c r="P34" s="80" t="s">
        <v>136</v>
      </c>
      <c r="Q34" s="80">
        <v>0</v>
      </c>
      <c r="R34" s="27">
        <v>14.321923290000001</v>
      </c>
      <c r="S34" s="27">
        <v>2.7541296199999999E-2</v>
      </c>
      <c r="T34" s="80" t="s">
        <v>136</v>
      </c>
      <c r="U34" s="80">
        <v>0</v>
      </c>
      <c r="V34" s="80" t="s">
        <v>136</v>
      </c>
      <c r="W34" s="80">
        <v>0</v>
      </c>
      <c r="X34" s="27">
        <v>0.2497249527</v>
      </c>
      <c r="Y34" s="27">
        <v>2.7043985E-3</v>
      </c>
      <c r="Z34" s="27">
        <v>24.312735736</v>
      </c>
      <c r="AA34" s="27">
        <v>0.57165753699999999</v>
      </c>
      <c r="AB34" s="80" t="s">
        <v>136</v>
      </c>
      <c r="AC34" s="80">
        <v>0</v>
      </c>
      <c r="AD34" s="27">
        <v>9.7582499999999996E-5</v>
      </c>
      <c r="AE34" s="27">
        <v>7.5744507999999999E-7</v>
      </c>
      <c r="AF34" s="80" t="s">
        <v>136</v>
      </c>
      <c r="AG34" s="80">
        <v>0</v>
      </c>
      <c r="AH34" s="80" t="s">
        <v>136</v>
      </c>
      <c r="AI34" s="80">
        <v>0</v>
      </c>
      <c r="AJ34" s="27">
        <f t="shared" si="0"/>
        <v>9.7582499999999996E-5</v>
      </c>
      <c r="AK34" s="27">
        <f t="shared" si="1"/>
        <v>7.5744507999999999E-7</v>
      </c>
      <c r="AL34" s="27">
        <v>93.113072361999997</v>
      </c>
      <c r="AM34" s="27">
        <v>1.3835859145</v>
      </c>
      <c r="AN34" s="80" t="s">
        <v>136</v>
      </c>
      <c r="AO34" s="80">
        <v>0</v>
      </c>
      <c r="AP34" s="80" t="s">
        <v>136</v>
      </c>
      <c r="AQ34" s="80">
        <v>0</v>
      </c>
      <c r="AR34" s="80" t="s">
        <v>136</v>
      </c>
      <c r="AS34" s="80">
        <v>0</v>
      </c>
      <c r="AT34" s="27">
        <v>54.858829227000001</v>
      </c>
      <c r="AU34" s="27">
        <v>1.9574758553</v>
      </c>
      <c r="AV34" s="27">
        <v>43.092211689999999</v>
      </c>
      <c r="AW34" s="27">
        <v>0.36635444090000002</v>
      </c>
      <c r="AX34" s="27">
        <v>19.768602346000002</v>
      </c>
      <c r="AY34" s="27">
        <v>0.2229331037</v>
      </c>
      <c r="AZ34" s="27">
        <v>7.3816073636999997</v>
      </c>
      <c r="BA34" s="27">
        <v>6.8560761200000001E-2</v>
      </c>
      <c r="BB34" s="80">
        <f t="shared" si="2"/>
        <v>15.942001980299999</v>
      </c>
      <c r="BC34" s="80">
        <f t="shared" si="3"/>
        <v>7.4860576000000012E-2</v>
      </c>
      <c r="BD34" s="27">
        <v>0</v>
      </c>
      <c r="BE34" s="80">
        <v>0</v>
      </c>
      <c r="BF34" s="27">
        <v>110.11352678999999</v>
      </c>
      <c r="BG34" s="27">
        <v>1.395775306</v>
      </c>
      <c r="BH34" s="27">
        <v>2.0167423999999999E-3</v>
      </c>
      <c r="BI34" s="27">
        <v>4.8400481999999998E-6</v>
      </c>
      <c r="BJ34" s="27">
        <v>103.14322288</v>
      </c>
      <c r="BK34" s="27">
        <v>3.537198091</v>
      </c>
      <c r="BL34" s="27">
        <v>113.04215368</v>
      </c>
      <c r="BM34" s="27">
        <v>0.83172040179999995</v>
      </c>
      <c r="BN34" s="27">
        <v>27.220252992999999</v>
      </c>
      <c r="BO34" s="27">
        <v>0.13951284729999999</v>
      </c>
      <c r="BP34" s="27">
        <v>9.6995751500000005E-2</v>
      </c>
      <c r="BQ34" s="27">
        <v>6.861692E-4</v>
      </c>
      <c r="BR34" s="27">
        <v>0</v>
      </c>
      <c r="BS34" s="92">
        <v>0</v>
      </c>
      <c r="BT34" s="80" t="s">
        <v>136</v>
      </c>
      <c r="BU34" s="80">
        <v>0</v>
      </c>
      <c r="BV34" s="27">
        <v>0.31280945049999997</v>
      </c>
      <c r="BW34" s="27">
        <v>4.6890190999999996E-3</v>
      </c>
      <c r="BX34" s="27">
        <v>15.979335641</v>
      </c>
      <c r="BY34" s="27">
        <v>0.12964052249999999</v>
      </c>
      <c r="BZ34" s="80" t="s">
        <v>136</v>
      </c>
      <c r="CA34" s="80">
        <v>0</v>
      </c>
      <c r="CB34" s="80" t="s">
        <v>136</v>
      </c>
      <c r="CC34" s="80">
        <v>0</v>
      </c>
      <c r="CD34" s="27">
        <v>5.5348723095999999</v>
      </c>
      <c r="CE34" s="27">
        <v>6.9589420999999997E-3</v>
      </c>
      <c r="CF34" s="27">
        <v>8.7870509805000001</v>
      </c>
      <c r="CG34" s="27">
        <v>2.0582354099999998E-2</v>
      </c>
      <c r="CH34" s="80" t="s">
        <v>136</v>
      </c>
      <c r="CI34" s="80">
        <v>0</v>
      </c>
      <c r="CJ34" s="80" t="s">
        <v>136</v>
      </c>
      <c r="CK34" s="80">
        <v>0</v>
      </c>
      <c r="CL34" s="80" t="s">
        <v>136</v>
      </c>
      <c r="CM34" s="80">
        <v>0</v>
      </c>
      <c r="CN34" s="80" t="s">
        <v>136</v>
      </c>
      <c r="CO34" s="80">
        <v>0</v>
      </c>
      <c r="CP34" s="27">
        <v>6.6918653999999994E-2</v>
      </c>
      <c r="CQ34" s="27">
        <v>8.1324390000000004E-4</v>
      </c>
      <c r="CR34" s="27">
        <v>0.18280629879999999</v>
      </c>
      <c r="CS34" s="27">
        <v>1.8911545999999999E-3</v>
      </c>
      <c r="CT34" s="27">
        <v>1.6290929929</v>
      </c>
      <c r="CU34" s="27">
        <v>2.0140870200000001E-2</v>
      </c>
      <c r="CV34" s="27">
        <v>22.683642743</v>
      </c>
      <c r="CW34" s="27">
        <v>0.5515166668</v>
      </c>
      <c r="CX34" s="80" t="s">
        <v>136</v>
      </c>
      <c r="CY34" s="80">
        <v>0</v>
      </c>
      <c r="CZ34" s="80" t="s">
        <v>136</v>
      </c>
      <c r="DA34" s="80">
        <v>0</v>
      </c>
      <c r="DB34" s="27">
        <v>16.031781427999999</v>
      </c>
      <c r="DC34" s="27">
        <v>0.30784719179999998</v>
      </c>
      <c r="DD34" s="27">
        <v>38.827047798999999</v>
      </c>
      <c r="DE34" s="27">
        <v>1.6496286634999999</v>
      </c>
      <c r="DF34" s="27">
        <v>10.598751760000001</v>
      </c>
      <c r="DG34" s="27">
        <v>0.44242211380000002</v>
      </c>
      <c r="DH34" s="27">
        <v>99.514775032000003</v>
      </c>
      <c r="DI34" s="27">
        <v>0.95335319220000003</v>
      </c>
      <c r="DJ34" s="95">
        <v>1.0548107E-3</v>
      </c>
      <c r="DK34" s="96">
        <v>1.7921984E-3</v>
      </c>
      <c r="DL34" s="96">
        <v>1.9672437999999999E-3</v>
      </c>
      <c r="DM34" s="96">
        <v>1.9965194000000001E-3</v>
      </c>
      <c r="DN34" s="96">
        <v>2.0020987000000001E-3</v>
      </c>
      <c r="DO34" s="96">
        <v>2.0054755999999998E-3</v>
      </c>
      <c r="DP34" s="96">
        <v>2.0062363999999999E-3</v>
      </c>
      <c r="DQ34" s="96">
        <v>2.0066184000000001E-3</v>
      </c>
      <c r="DR34" s="96">
        <v>2.0070004999999998E-3</v>
      </c>
      <c r="DS34" s="97">
        <v>2.0073825E-3</v>
      </c>
      <c r="DT34" s="93">
        <v>69.294992019999995</v>
      </c>
      <c r="DU34" s="80">
        <v>0.48805095980000002</v>
      </c>
      <c r="DV34" s="80">
        <v>32.442279319000001</v>
      </c>
      <c r="DW34" s="80">
        <v>0.2382990197</v>
      </c>
      <c r="DX34" s="80">
        <v>14.949218377999999</v>
      </c>
      <c r="DY34" s="80">
        <v>0.1145038297</v>
      </c>
      <c r="DZ34" s="80">
        <v>6.8454857730000001</v>
      </c>
      <c r="EA34" s="80">
        <v>5.52292437E-2</v>
      </c>
      <c r="EB34" s="80">
        <v>3.2012102116999999</v>
      </c>
      <c r="EC34" s="80">
        <v>2.77341098E-2</v>
      </c>
      <c r="ED34" s="80">
        <v>1.5573181136000001</v>
      </c>
      <c r="EE34" s="80">
        <v>1.48760231E-2</v>
      </c>
      <c r="EF34" s="80">
        <v>0.79336108370000002</v>
      </c>
      <c r="EG34" s="80">
        <v>8.6464952999999994E-3</v>
      </c>
      <c r="EH34" s="80">
        <v>0.43425006700000002</v>
      </c>
      <c r="EI34" s="80">
        <v>5.5539311000000003E-3</v>
      </c>
      <c r="EJ34" s="80">
        <v>0.25670720180000001</v>
      </c>
      <c r="EK34" s="80">
        <v>3.8953341999999999E-3</v>
      </c>
      <c r="EL34" s="80">
        <v>0.16333868670000001</v>
      </c>
      <c r="EM34" s="94">
        <v>2.9304507E-3</v>
      </c>
      <c r="EN34" s="80"/>
      <c r="EO34" s="80"/>
      <c r="EP34" s="80"/>
      <c r="EQ34" s="80"/>
      <c r="ER34" s="80"/>
      <c r="ES34" s="80"/>
      <c r="ET34" s="80"/>
      <c r="EU34" s="80"/>
      <c r="EV34" s="80"/>
      <c r="EW34" s="94"/>
    </row>
    <row r="35" spans="1:153" x14ac:dyDescent="0.2">
      <c r="A35" s="79">
        <v>3000</v>
      </c>
      <c r="B35" s="27">
        <v>29691</v>
      </c>
      <c r="C35" s="79">
        <v>1669.0303443</v>
      </c>
      <c r="D35" s="27">
        <v>2949.5261225999998</v>
      </c>
      <c r="E35" s="27">
        <v>55.515736699000001</v>
      </c>
      <c r="F35" s="27">
        <v>6.7797221500000004E-2</v>
      </c>
      <c r="G35" s="79">
        <v>1.8936585749999999</v>
      </c>
      <c r="H35" s="27">
        <v>1.1481635E-3</v>
      </c>
      <c r="I35" s="27">
        <v>145.35385837000001</v>
      </c>
      <c r="J35" s="27">
        <v>0.96859747070000002</v>
      </c>
      <c r="K35" s="27">
        <f t="shared" si="4"/>
        <v>150.06632039308712</v>
      </c>
      <c r="L35" s="27">
        <v>73.257457776999999</v>
      </c>
      <c r="M35" s="27">
        <v>0.45572398959999999</v>
      </c>
      <c r="N35" s="27">
        <v>16.869788767999999</v>
      </c>
      <c r="O35" s="27">
        <v>0.1388412248</v>
      </c>
      <c r="P35" s="80" t="s">
        <v>136</v>
      </c>
      <c r="Q35" s="80">
        <v>0</v>
      </c>
      <c r="R35" s="27">
        <v>15.395675158</v>
      </c>
      <c r="S35" s="27">
        <v>2.9261741300000001E-2</v>
      </c>
      <c r="T35" s="80" t="s">
        <v>136</v>
      </c>
      <c r="U35" s="80">
        <v>0</v>
      </c>
      <c r="V35" s="80" t="s">
        <v>136</v>
      </c>
      <c r="W35" s="80">
        <v>0</v>
      </c>
      <c r="X35" s="27">
        <v>0.26433019410000003</v>
      </c>
      <c r="Y35" s="27">
        <v>2.8649537000000002E-3</v>
      </c>
      <c r="Z35" s="27">
        <v>25.362066891000001</v>
      </c>
      <c r="AA35" s="27">
        <v>0.59468661519999999</v>
      </c>
      <c r="AB35" s="80" t="s">
        <v>136</v>
      </c>
      <c r="AC35" s="80">
        <v>0</v>
      </c>
      <c r="AD35" s="27">
        <v>9.6461700000000005E-5</v>
      </c>
      <c r="AE35" s="27">
        <v>7.4859066000000002E-7</v>
      </c>
      <c r="AF35" s="80" t="s">
        <v>136</v>
      </c>
      <c r="AG35" s="80">
        <v>0</v>
      </c>
      <c r="AH35" s="80" t="s">
        <v>136</v>
      </c>
      <c r="AI35" s="80">
        <v>0</v>
      </c>
      <c r="AJ35" s="27">
        <f t="shared" si="0"/>
        <v>9.6461700000000005E-5</v>
      </c>
      <c r="AK35" s="27">
        <f t="shared" si="1"/>
        <v>7.4859066000000002E-7</v>
      </c>
      <c r="AL35" s="27">
        <v>95.248651448000004</v>
      </c>
      <c r="AM35" s="27">
        <v>1.4042799670999999</v>
      </c>
      <c r="AN35" s="80" t="s">
        <v>136</v>
      </c>
      <c r="AO35" s="80">
        <v>0</v>
      </c>
      <c r="AP35" s="80" t="s">
        <v>136</v>
      </c>
      <c r="AQ35" s="80">
        <v>0</v>
      </c>
      <c r="AR35" s="80" t="s">
        <v>136</v>
      </c>
      <c r="AS35" s="80">
        <v>0</v>
      </c>
      <c r="AT35" s="27">
        <v>56.183682050999998</v>
      </c>
      <c r="AU35" s="27">
        <v>1.9931138867</v>
      </c>
      <c r="AV35" s="27">
        <v>44.555506899999997</v>
      </c>
      <c r="AW35" s="27">
        <v>0.37549853529999999</v>
      </c>
      <c r="AX35" s="27">
        <v>20.459250829999998</v>
      </c>
      <c r="AY35" s="27">
        <v>0.22873285339999999</v>
      </c>
      <c r="AZ35" s="27">
        <v>7.5726878287000003</v>
      </c>
      <c r="BA35" s="27">
        <v>6.9852854199999995E-2</v>
      </c>
      <c r="BB35" s="80">
        <f t="shared" si="2"/>
        <v>16.523568241299998</v>
      </c>
      <c r="BC35" s="80">
        <f t="shared" si="3"/>
        <v>7.6912827700000019E-2</v>
      </c>
      <c r="BD35" s="27">
        <v>0</v>
      </c>
      <c r="BE35" s="80">
        <v>0</v>
      </c>
      <c r="BF35" s="27">
        <v>113.50884234</v>
      </c>
      <c r="BG35" s="27">
        <v>1.4259718968999999</v>
      </c>
      <c r="BH35" s="27">
        <v>2.1897780999999999E-3</v>
      </c>
      <c r="BI35" s="27">
        <v>5.1738798000000001E-6</v>
      </c>
      <c r="BJ35" s="27">
        <v>105.4427692</v>
      </c>
      <c r="BK35" s="27">
        <v>3.5914578651000002</v>
      </c>
      <c r="BL35" s="27">
        <v>118.49931943</v>
      </c>
      <c r="BM35" s="27">
        <v>0.86849430959999996</v>
      </c>
      <c r="BN35" s="27">
        <v>28.270088100999999</v>
      </c>
      <c r="BO35" s="27">
        <v>0.1436856601</v>
      </c>
      <c r="BP35" s="27">
        <v>0.10501635350000001</v>
      </c>
      <c r="BQ35" s="27">
        <v>7.0051670000000001E-4</v>
      </c>
      <c r="BR35" s="27">
        <v>0</v>
      </c>
      <c r="BS35" s="92">
        <v>0</v>
      </c>
      <c r="BT35" s="80" t="s">
        <v>136</v>
      </c>
      <c r="BU35" s="80">
        <v>0</v>
      </c>
      <c r="BV35" s="27">
        <v>0.32924268220000003</v>
      </c>
      <c r="BW35" s="27">
        <v>4.9113764000000004E-3</v>
      </c>
      <c r="BX35" s="27">
        <v>16.540546085999999</v>
      </c>
      <c r="BY35" s="27">
        <v>0.13392984829999999</v>
      </c>
      <c r="BZ35" s="80" t="s">
        <v>136</v>
      </c>
      <c r="CA35" s="80">
        <v>0</v>
      </c>
      <c r="CB35" s="80" t="s">
        <v>136</v>
      </c>
      <c r="CC35" s="80">
        <v>0</v>
      </c>
      <c r="CD35" s="27">
        <v>6.0497421282000001</v>
      </c>
      <c r="CE35" s="27">
        <v>7.4693043999999997E-3</v>
      </c>
      <c r="CF35" s="27">
        <v>9.3459330298999994</v>
      </c>
      <c r="CG35" s="27">
        <v>2.17924369E-2</v>
      </c>
      <c r="CH35" s="80" t="s">
        <v>136</v>
      </c>
      <c r="CI35" s="80">
        <v>0</v>
      </c>
      <c r="CJ35" s="80" t="s">
        <v>136</v>
      </c>
      <c r="CK35" s="80">
        <v>0</v>
      </c>
      <c r="CL35" s="80" t="s">
        <v>136</v>
      </c>
      <c r="CM35" s="80">
        <v>0</v>
      </c>
      <c r="CN35" s="80" t="s">
        <v>136</v>
      </c>
      <c r="CO35" s="80">
        <v>0</v>
      </c>
      <c r="CP35" s="27">
        <v>7.0102798899999999E-2</v>
      </c>
      <c r="CQ35" s="27">
        <v>8.5827410000000005E-4</v>
      </c>
      <c r="CR35" s="27">
        <v>0.19422739520000001</v>
      </c>
      <c r="CS35" s="27">
        <v>2.0066795000000001E-3</v>
      </c>
      <c r="CT35" s="27">
        <v>1.7342801998999999</v>
      </c>
      <c r="CU35" s="27">
        <v>2.1265626999999999E-2</v>
      </c>
      <c r="CV35" s="27">
        <v>23.627786691000001</v>
      </c>
      <c r="CW35" s="27">
        <v>0.57342098819999998</v>
      </c>
      <c r="CX35" s="80" t="s">
        <v>136</v>
      </c>
      <c r="CY35" s="80">
        <v>0</v>
      </c>
      <c r="CZ35" s="80" t="s">
        <v>136</v>
      </c>
      <c r="DA35" s="80">
        <v>0</v>
      </c>
      <c r="DB35" s="27">
        <v>16.491040321</v>
      </c>
      <c r="DC35" s="27">
        <v>0.31545982649999998</v>
      </c>
      <c r="DD35" s="27">
        <v>39.692641729999998</v>
      </c>
      <c r="DE35" s="27">
        <v>1.6776540602000001</v>
      </c>
      <c r="DF35" s="27">
        <v>11.272246430999999</v>
      </c>
      <c r="DG35" s="27">
        <v>0.4540285959</v>
      </c>
      <c r="DH35" s="27">
        <v>102.23659591000001</v>
      </c>
      <c r="DI35" s="27">
        <v>0.97194330110000005</v>
      </c>
      <c r="DJ35" s="95">
        <v>1.1429764999999999E-3</v>
      </c>
      <c r="DK35" s="96">
        <v>1.9461173999999999E-3</v>
      </c>
      <c r="DL35" s="96">
        <v>2.1373604000000002E-3</v>
      </c>
      <c r="DM35" s="96">
        <v>2.1682977999999999E-3</v>
      </c>
      <c r="DN35" s="96">
        <v>2.1747253999999999E-3</v>
      </c>
      <c r="DO35" s="96">
        <v>2.1784235999999998E-3</v>
      </c>
      <c r="DP35" s="96">
        <v>2.1793549E-3</v>
      </c>
      <c r="DQ35" s="96">
        <v>2.1797339E-3</v>
      </c>
      <c r="DR35" s="96">
        <v>2.1801129E-3</v>
      </c>
      <c r="DS35" s="97">
        <v>2.1804919E-3</v>
      </c>
      <c r="DT35" s="93">
        <v>70.701693139</v>
      </c>
      <c r="DU35" s="80">
        <v>0.49761706480000001</v>
      </c>
      <c r="DV35" s="80">
        <v>33.372880295000002</v>
      </c>
      <c r="DW35" s="80">
        <v>0.2448542786</v>
      </c>
      <c r="DX35" s="80">
        <v>15.52592044</v>
      </c>
      <c r="DY35" s="80">
        <v>0.1187112193</v>
      </c>
      <c r="DZ35" s="80">
        <v>7.1879008665999997</v>
      </c>
      <c r="EA35" s="80">
        <v>5.7838010099999997E-2</v>
      </c>
      <c r="EB35" s="80">
        <v>3.4001314282999999</v>
      </c>
      <c r="EC35" s="80">
        <v>2.9327722600000002E-2</v>
      </c>
      <c r="ED35" s="80">
        <v>1.6711111796</v>
      </c>
      <c r="EE35" s="80">
        <v>1.58542762E-2</v>
      </c>
      <c r="EF35" s="80">
        <v>0.86015987630000001</v>
      </c>
      <c r="EG35" s="80">
        <v>9.2688605E-3</v>
      </c>
      <c r="EH35" s="80">
        <v>0.47362547379999997</v>
      </c>
      <c r="EI35" s="80">
        <v>5.9611126000000004E-3</v>
      </c>
      <c r="EJ35" s="80">
        <v>0.28016901989999998</v>
      </c>
      <c r="EK35" s="80">
        <v>4.1714287000000003E-3</v>
      </c>
      <c r="EL35" s="80">
        <v>0.1779475489</v>
      </c>
      <c r="EM35" s="94">
        <v>3.1295047999999998E-3</v>
      </c>
      <c r="EN35" s="80"/>
      <c r="EO35" s="80"/>
      <c r="EP35" s="80"/>
      <c r="EQ35" s="80"/>
      <c r="ER35" s="80"/>
      <c r="ES35" s="80"/>
      <c r="ET35" s="80"/>
      <c r="EU35" s="80"/>
      <c r="EV35" s="80"/>
      <c r="EW35" s="94"/>
    </row>
    <row r="36" spans="1:153" x14ac:dyDescent="0.2">
      <c r="A36" s="79">
        <v>3100</v>
      </c>
      <c r="B36" s="27">
        <v>28285</v>
      </c>
      <c r="C36" s="79">
        <v>1706.3046650000001</v>
      </c>
      <c r="D36" s="27">
        <v>3049.4758221000002</v>
      </c>
      <c r="E36" s="27">
        <v>57.761840577000001</v>
      </c>
      <c r="F36" s="27">
        <v>6.9404275400000007E-2</v>
      </c>
      <c r="G36" s="79">
        <v>2.0845935290000002</v>
      </c>
      <c r="H36" s="27">
        <v>1.2398642999999999E-3</v>
      </c>
      <c r="I36" s="27">
        <v>147.13401626999999</v>
      </c>
      <c r="J36" s="27">
        <v>0.98052970630000003</v>
      </c>
      <c r="K36" s="27">
        <f t="shared" si="4"/>
        <v>150.05564372466171</v>
      </c>
      <c r="L36" s="27">
        <v>74.722344695000004</v>
      </c>
      <c r="M36" s="27">
        <v>0.4648853939</v>
      </c>
      <c r="N36" s="27">
        <v>17.473862497999999</v>
      </c>
      <c r="O36" s="27">
        <v>0.14344251599999999</v>
      </c>
      <c r="P36" s="80" t="s">
        <v>136</v>
      </c>
      <c r="Q36" s="80">
        <v>0</v>
      </c>
      <c r="R36" s="27">
        <v>16.438723865</v>
      </c>
      <c r="S36" s="27">
        <v>3.0908788199999999E-2</v>
      </c>
      <c r="T36" s="80" t="s">
        <v>136</v>
      </c>
      <c r="U36" s="80">
        <v>0</v>
      </c>
      <c r="V36" s="80" t="s">
        <v>136</v>
      </c>
      <c r="W36" s="80">
        <v>0</v>
      </c>
      <c r="X36" s="27">
        <v>0.28200216929999999</v>
      </c>
      <c r="Y36" s="27">
        <v>3.0430542E-3</v>
      </c>
      <c r="Z36" s="27">
        <v>26.405377486999999</v>
      </c>
      <c r="AA36" s="27">
        <v>0.61689463600000005</v>
      </c>
      <c r="AB36" s="80" t="s">
        <v>136</v>
      </c>
      <c r="AC36" s="80">
        <v>0</v>
      </c>
      <c r="AD36" s="27">
        <v>1.4404779999999999E-4</v>
      </c>
      <c r="AE36" s="27">
        <v>9.164727E-7</v>
      </c>
      <c r="AF36" s="80" t="s">
        <v>136</v>
      </c>
      <c r="AG36" s="80">
        <v>0</v>
      </c>
      <c r="AH36" s="80" t="s">
        <v>136</v>
      </c>
      <c r="AI36" s="80">
        <v>0</v>
      </c>
      <c r="AJ36" s="27">
        <f t="shared" si="0"/>
        <v>1.4404779999999999E-4</v>
      </c>
      <c r="AK36" s="27">
        <f t="shared" si="1"/>
        <v>9.164727E-7</v>
      </c>
      <c r="AL36" s="27">
        <v>97.398466364000001</v>
      </c>
      <c r="AM36" s="27">
        <v>1.4240954232</v>
      </c>
      <c r="AN36" s="80" t="s">
        <v>136</v>
      </c>
      <c r="AO36" s="80">
        <v>0</v>
      </c>
      <c r="AP36" s="80" t="s">
        <v>136</v>
      </c>
      <c r="AQ36" s="80">
        <v>0</v>
      </c>
      <c r="AR36" s="80" t="s">
        <v>136</v>
      </c>
      <c r="AS36" s="80">
        <v>0</v>
      </c>
      <c r="AT36" s="27">
        <v>57.520899997000001</v>
      </c>
      <c r="AU36" s="27">
        <v>2.0274834678000002</v>
      </c>
      <c r="AV36" s="27">
        <v>45.978526975999998</v>
      </c>
      <c r="AW36" s="27">
        <v>0.38424937079999999</v>
      </c>
      <c r="AX36" s="27">
        <v>21.116241925000001</v>
      </c>
      <c r="AY36" s="27">
        <v>0.23421956939999999</v>
      </c>
      <c r="AZ36" s="27">
        <v>7.7571573307000001</v>
      </c>
      <c r="BA36" s="27">
        <v>7.1112889100000007E-2</v>
      </c>
      <c r="BB36" s="80">
        <f t="shared" si="2"/>
        <v>17.105127720299997</v>
      </c>
      <c r="BC36" s="80">
        <f t="shared" si="3"/>
        <v>7.8916912299999975E-2</v>
      </c>
      <c r="BD36" s="27">
        <v>0</v>
      </c>
      <c r="BE36" s="80">
        <v>0</v>
      </c>
      <c r="BF36" s="27">
        <v>116.83491032000001</v>
      </c>
      <c r="BG36" s="27">
        <v>1.4550679627000001</v>
      </c>
      <c r="BH36" s="27">
        <v>2.3759824000000001E-3</v>
      </c>
      <c r="BI36" s="27">
        <v>5.0716627999999998E-6</v>
      </c>
      <c r="BJ36" s="27">
        <v>107.5457104</v>
      </c>
      <c r="BK36" s="27">
        <v>3.6407606118000002</v>
      </c>
      <c r="BL36" s="27">
        <v>123.77249303000001</v>
      </c>
      <c r="BM36" s="27">
        <v>0.90412584829999998</v>
      </c>
      <c r="BN36" s="27">
        <v>29.391334077</v>
      </c>
      <c r="BO36" s="27">
        <v>0.14813671910000001</v>
      </c>
      <c r="BP36" s="27">
        <v>0.11097354600000001</v>
      </c>
      <c r="BQ36" s="27">
        <v>7.2472210000000005E-4</v>
      </c>
      <c r="BR36" s="27">
        <v>0</v>
      </c>
      <c r="BS36" s="92">
        <v>0</v>
      </c>
      <c r="BT36" s="80" t="s">
        <v>136</v>
      </c>
      <c r="BU36" s="80">
        <v>0</v>
      </c>
      <c r="BV36" s="27">
        <v>0.34306042349999999</v>
      </c>
      <c r="BW36" s="27">
        <v>5.0545236999999998E-3</v>
      </c>
      <c r="BX36" s="27">
        <v>17.130802074999998</v>
      </c>
      <c r="BY36" s="27">
        <v>0.13838799230000001</v>
      </c>
      <c r="BZ36" s="80" t="s">
        <v>136</v>
      </c>
      <c r="CA36" s="80">
        <v>0</v>
      </c>
      <c r="CB36" s="80" t="s">
        <v>136</v>
      </c>
      <c r="CC36" s="80">
        <v>0</v>
      </c>
      <c r="CD36" s="27">
        <v>6.5473896678000001</v>
      </c>
      <c r="CE36" s="27">
        <v>7.9576009000000003E-3</v>
      </c>
      <c r="CF36" s="27">
        <v>9.8913341976000009</v>
      </c>
      <c r="CG36" s="27">
        <v>2.2951187299999998E-2</v>
      </c>
      <c r="CH36" s="80" t="s">
        <v>136</v>
      </c>
      <c r="CI36" s="80">
        <v>0</v>
      </c>
      <c r="CJ36" s="80" t="s">
        <v>136</v>
      </c>
      <c r="CK36" s="80">
        <v>0</v>
      </c>
      <c r="CL36" s="80" t="s">
        <v>136</v>
      </c>
      <c r="CM36" s="80">
        <v>0</v>
      </c>
      <c r="CN36" s="80" t="s">
        <v>136</v>
      </c>
      <c r="CO36" s="80">
        <v>0</v>
      </c>
      <c r="CP36" s="27">
        <v>7.7541005400000002E-2</v>
      </c>
      <c r="CQ36" s="27">
        <v>9.4643090000000004E-4</v>
      </c>
      <c r="CR36" s="27">
        <v>0.20446116380000001</v>
      </c>
      <c r="CS36" s="27">
        <v>2.0966232999999998E-3</v>
      </c>
      <c r="CT36" s="27">
        <v>1.8395556629000001</v>
      </c>
      <c r="CU36" s="27">
        <v>2.2538916799999999E-2</v>
      </c>
      <c r="CV36" s="27">
        <v>24.565821824</v>
      </c>
      <c r="CW36" s="27">
        <v>0.59435571919999997</v>
      </c>
      <c r="CX36" s="80" t="s">
        <v>136</v>
      </c>
      <c r="CY36" s="80">
        <v>0</v>
      </c>
      <c r="CZ36" s="80" t="s">
        <v>136</v>
      </c>
      <c r="DA36" s="80">
        <v>0</v>
      </c>
      <c r="DB36" s="27">
        <v>16.972008435999999</v>
      </c>
      <c r="DC36" s="27">
        <v>0.32295154269999998</v>
      </c>
      <c r="DD36" s="27">
        <v>40.548891560999998</v>
      </c>
      <c r="DE36" s="27">
        <v>1.7045319251</v>
      </c>
      <c r="DF36" s="27">
        <v>11.934128814999999</v>
      </c>
      <c r="DG36" s="27">
        <v>0.4654787326</v>
      </c>
      <c r="DH36" s="27">
        <v>104.90078151</v>
      </c>
      <c r="DI36" s="27">
        <v>0.98958922999999999</v>
      </c>
      <c r="DJ36" s="95">
        <v>1.2335253E-3</v>
      </c>
      <c r="DK36" s="96">
        <v>2.1071185E-3</v>
      </c>
      <c r="DL36" s="96">
        <v>2.3196937000000001E-3</v>
      </c>
      <c r="DM36" s="96">
        <v>2.3543322999999999E-3</v>
      </c>
      <c r="DN36" s="96">
        <v>2.3608711000000001E-3</v>
      </c>
      <c r="DO36" s="96">
        <v>2.3647097999999998E-3</v>
      </c>
      <c r="DP36" s="96">
        <v>2.3656324E-3</v>
      </c>
      <c r="DQ36" s="96">
        <v>2.3660088E-3</v>
      </c>
      <c r="DR36" s="96">
        <v>2.3663851E-3</v>
      </c>
      <c r="DS36" s="97">
        <v>2.3667614999999999E-3</v>
      </c>
      <c r="DT36" s="93">
        <v>72.042439591999994</v>
      </c>
      <c r="DU36" s="80">
        <v>0.50680323159999996</v>
      </c>
      <c r="DV36" s="80">
        <v>34.263633274999997</v>
      </c>
      <c r="DW36" s="80">
        <v>0.25114028510000003</v>
      </c>
      <c r="DX36" s="80">
        <v>16.083761161999998</v>
      </c>
      <c r="DY36" s="80">
        <v>0.12277518630000001</v>
      </c>
      <c r="DZ36" s="80">
        <v>7.5243611526</v>
      </c>
      <c r="EA36" s="80">
        <v>6.03907656E-2</v>
      </c>
      <c r="EB36" s="80">
        <v>3.5993030026000001</v>
      </c>
      <c r="EC36" s="80">
        <v>3.0917074199999998E-2</v>
      </c>
      <c r="ED36" s="80">
        <v>1.7888670521000001</v>
      </c>
      <c r="EE36" s="80">
        <v>1.6860426000000001E-2</v>
      </c>
      <c r="EF36" s="80">
        <v>0.92947200480000003</v>
      </c>
      <c r="EG36" s="80">
        <v>9.9224340000000008E-3</v>
      </c>
      <c r="EH36" s="80">
        <v>0.51588195729999997</v>
      </c>
      <c r="EI36" s="80">
        <v>6.405839E-3</v>
      </c>
      <c r="EJ36" s="80">
        <v>0.30712607279999998</v>
      </c>
      <c r="EK36" s="80">
        <v>4.4919193999999997E-3</v>
      </c>
      <c r="EL36" s="80">
        <v>0.19599679270000001</v>
      </c>
      <c r="EM36" s="94">
        <v>3.3725332000000001E-3</v>
      </c>
      <c r="EN36" s="80"/>
      <c r="EO36" s="80"/>
      <c r="EP36" s="80"/>
      <c r="EQ36" s="80"/>
      <c r="ER36" s="80"/>
      <c r="ES36" s="80"/>
      <c r="ET36" s="80"/>
      <c r="EU36" s="80"/>
      <c r="EV36" s="80"/>
      <c r="EW36" s="94"/>
    </row>
    <row r="37" spans="1:153" x14ac:dyDescent="0.2">
      <c r="A37" s="79">
        <v>3200</v>
      </c>
      <c r="B37" s="27">
        <v>27078</v>
      </c>
      <c r="C37" s="79">
        <v>1742.7472015999999</v>
      </c>
      <c r="D37" s="27">
        <v>3149.7135216000001</v>
      </c>
      <c r="E37" s="27">
        <v>59.851171573999999</v>
      </c>
      <c r="F37" s="27">
        <v>7.0883178899999996E-2</v>
      </c>
      <c r="G37" s="79">
        <v>2.2762678098000002</v>
      </c>
      <c r="H37" s="27">
        <v>1.3291545999999999E-3</v>
      </c>
      <c r="I37" s="27">
        <v>148.85423352999999</v>
      </c>
      <c r="J37" s="27">
        <v>0.99204453589999997</v>
      </c>
      <c r="K37" s="27">
        <f t="shared" si="4"/>
        <v>150.04793448608319</v>
      </c>
      <c r="L37" s="27">
        <v>76.144357166999995</v>
      </c>
      <c r="M37" s="27">
        <v>0.47394017820000001</v>
      </c>
      <c r="N37" s="27">
        <v>18.101890826999998</v>
      </c>
      <c r="O37" s="27">
        <v>0.14840402480000001</v>
      </c>
      <c r="P37" s="80" t="s">
        <v>136</v>
      </c>
      <c r="Q37" s="80">
        <v>0</v>
      </c>
      <c r="R37" s="27">
        <v>17.402669702000001</v>
      </c>
      <c r="S37" s="27">
        <v>3.2453422799999999E-2</v>
      </c>
      <c r="T37" s="80" t="s">
        <v>136</v>
      </c>
      <c r="U37" s="80">
        <v>0</v>
      </c>
      <c r="V37" s="80" t="s">
        <v>136</v>
      </c>
      <c r="W37" s="80">
        <v>0</v>
      </c>
      <c r="X37" s="27">
        <v>0.29692365570000001</v>
      </c>
      <c r="Y37" s="27">
        <v>3.2172023999999999E-3</v>
      </c>
      <c r="Z37" s="27">
        <v>27.445230233</v>
      </c>
      <c r="AA37" s="27">
        <v>0.63974315100000001</v>
      </c>
      <c r="AB37" s="80" t="s">
        <v>136</v>
      </c>
      <c r="AC37" s="80">
        <v>0</v>
      </c>
      <c r="AD37" s="27">
        <v>2.2745400000000001E-4</v>
      </c>
      <c r="AE37" s="27">
        <v>1.2737528000000001E-6</v>
      </c>
      <c r="AF37" s="80" t="s">
        <v>136</v>
      </c>
      <c r="AG37" s="80">
        <v>0</v>
      </c>
      <c r="AH37" s="80" t="s">
        <v>136</v>
      </c>
      <c r="AI37" s="80">
        <v>0</v>
      </c>
      <c r="AJ37" s="27">
        <f t="shared" ref="AJ37:AJ68" si="5">AD37</f>
        <v>2.2745400000000001E-4</v>
      </c>
      <c r="AK37" s="27">
        <f t="shared" ref="AK37:AK68" si="6">AE37</f>
        <v>1.2737528000000001E-6</v>
      </c>
      <c r="AL37" s="27">
        <v>99.455147483000005</v>
      </c>
      <c r="AM37" s="27">
        <v>1.4430236519999999</v>
      </c>
      <c r="AN37" s="80" t="s">
        <v>136</v>
      </c>
      <c r="AO37" s="80">
        <v>0</v>
      </c>
      <c r="AP37" s="80" t="s">
        <v>136</v>
      </c>
      <c r="AQ37" s="80">
        <v>0</v>
      </c>
      <c r="AR37" s="80" t="s">
        <v>136</v>
      </c>
      <c r="AS37" s="80">
        <v>0</v>
      </c>
      <c r="AT37" s="27">
        <v>58.803804806999999</v>
      </c>
      <c r="AU37" s="27">
        <v>2.0614340551999999</v>
      </c>
      <c r="AV37" s="27">
        <v>47.322251436000002</v>
      </c>
      <c r="AW37" s="27">
        <v>0.39254465630000002</v>
      </c>
      <c r="AX37" s="27">
        <v>21.721026083999998</v>
      </c>
      <c r="AY37" s="27">
        <v>0.23942769890000001</v>
      </c>
      <c r="AZ37" s="27">
        <v>7.9311338631000003</v>
      </c>
      <c r="BA37" s="27">
        <v>7.2280201200000005E-2</v>
      </c>
      <c r="BB37" s="80">
        <f t="shared" si="2"/>
        <v>17.670091488900002</v>
      </c>
      <c r="BC37" s="80">
        <f t="shared" si="3"/>
        <v>8.0836756199999971E-2</v>
      </c>
      <c r="BD37" s="27">
        <v>0</v>
      </c>
      <c r="BE37" s="80">
        <v>0</v>
      </c>
      <c r="BF37" s="27">
        <v>120.15049798</v>
      </c>
      <c r="BG37" s="27">
        <v>1.4830847403</v>
      </c>
      <c r="BH37" s="27">
        <v>2.5519727999999998E-3</v>
      </c>
      <c r="BI37" s="27">
        <v>4.9773338000000004E-6</v>
      </c>
      <c r="BJ37" s="27">
        <v>109.56487303</v>
      </c>
      <c r="BK37" s="27">
        <v>3.6869007505</v>
      </c>
      <c r="BL37" s="27">
        <v>129.14960692</v>
      </c>
      <c r="BM37" s="27">
        <v>0.94078753240000002</v>
      </c>
      <c r="BN37" s="27">
        <v>30.482312740000001</v>
      </c>
      <c r="BO37" s="27">
        <v>0.15233788039999999</v>
      </c>
      <c r="BP37" s="27">
        <v>0.1156563352</v>
      </c>
      <c r="BQ37" s="27">
        <v>7.6103200000000003E-4</v>
      </c>
      <c r="BR37" s="27">
        <v>0</v>
      </c>
      <c r="BS37" s="92">
        <v>0</v>
      </c>
      <c r="BT37" s="80" t="s">
        <v>136</v>
      </c>
      <c r="BU37" s="80">
        <v>0</v>
      </c>
      <c r="BV37" s="27">
        <v>0.3587829998</v>
      </c>
      <c r="BW37" s="27">
        <v>5.2871187999999998E-3</v>
      </c>
      <c r="BX37" s="27">
        <v>17.743107827999999</v>
      </c>
      <c r="BY37" s="27">
        <v>0.1431169061</v>
      </c>
      <c r="BZ37" s="80" t="s">
        <v>136</v>
      </c>
      <c r="CA37" s="80">
        <v>0</v>
      </c>
      <c r="CB37" s="80" t="s">
        <v>136</v>
      </c>
      <c r="CC37" s="80">
        <v>0</v>
      </c>
      <c r="CD37" s="27">
        <v>7.0321248559000002</v>
      </c>
      <c r="CE37" s="27">
        <v>8.4363163999999994E-3</v>
      </c>
      <c r="CF37" s="27">
        <v>10.370544846</v>
      </c>
      <c r="CG37" s="27">
        <v>2.40171065E-2</v>
      </c>
      <c r="CH37" s="80" t="s">
        <v>136</v>
      </c>
      <c r="CI37" s="80">
        <v>0</v>
      </c>
      <c r="CJ37" s="80" t="s">
        <v>136</v>
      </c>
      <c r="CK37" s="80">
        <v>0</v>
      </c>
      <c r="CL37" s="80" t="s">
        <v>136</v>
      </c>
      <c r="CM37" s="80">
        <v>0</v>
      </c>
      <c r="CN37" s="80" t="s">
        <v>136</v>
      </c>
      <c r="CO37" s="80">
        <v>0</v>
      </c>
      <c r="CP37" s="27">
        <v>8.2272142199999995E-2</v>
      </c>
      <c r="CQ37" s="27">
        <v>1.0196103000000001E-3</v>
      </c>
      <c r="CR37" s="27">
        <v>0.21465151360000001</v>
      </c>
      <c r="CS37" s="27">
        <v>2.1975919999999999E-3</v>
      </c>
      <c r="CT37" s="27">
        <v>1.9493353806</v>
      </c>
      <c r="CU37" s="27">
        <v>2.3703967499999999E-2</v>
      </c>
      <c r="CV37" s="27">
        <v>25.495894851999999</v>
      </c>
      <c r="CW37" s="27">
        <v>0.61603918349999998</v>
      </c>
      <c r="CX37" s="80" t="s">
        <v>136</v>
      </c>
      <c r="CY37" s="80">
        <v>0</v>
      </c>
      <c r="CZ37" s="80" t="s">
        <v>136</v>
      </c>
      <c r="DA37" s="80">
        <v>0</v>
      </c>
      <c r="DB37" s="27">
        <v>17.433456394</v>
      </c>
      <c r="DC37" s="27">
        <v>0.33015642439999998</v>
      </c>
      <c r="DD37" s="27">
        <v>41.370348413000002</v>
      </c>
      <c r="DE37" s="27">
        <v>1.7312776307</v>
      </c>
      <c r="DF37" s="27">
        <v>12.654108059</v>
      </c>
      <c r="DG37" s="27">
        <v>0.47683076730000001</v>
      </c>
      <c r="DH37" s="27">
        <v>107.49638992</v>
      </c>
      <c r="DI37" s="27">
        <v>1.006253973</v>
      </c>
      <c r="DJ37" s="95">
        <v>1.3221624999999999E-3</v>
      </c>
      <c r="DK37" s="96">
        <v>2.2625954999999998E-3</v>
      </c>
      <c r="DL37" s="96">
        <v>2.4936691E-3</v>
      </c>
      <c r="DM37" s="96">
        <v>2.5304974000000002E-3</v>
      </c>
      <c r="DN37" s="96">
        <v>2.5369746999999998E-3</v>
      </c>
      <c r="DO37" s="96">
        <v>2.540779E-3</v>
      </c>
      <c r="DP37" s="96">
        <v>2.5416936E-3</v>
      </c>
      <c r="DQ37" s="96">
        <v>2.5420674E-3</v>
      </c>
      <c r="DR37" s="96">
        <v>2.5424412E-3</v>
      </c>
      <c r="DS37" s="97">
        <v>2.5428148999999999E-3</v>
      </c>
      <c r="DT37" s="93">
        <v>73.345623626000005</v>
      </c>
      <c r="DU37" s="80">
        <v>0.51574525140000005</v>
      </c>
      <c r="DV37" s="80">
        <v>35.126634762000002</v>
      </c>
      <c r="DW37" s="80">
        <v>0.25728736870000002</v>
      </c>
      <c r="DX37" s="80">
        <v>16.620429951999999</v>
      </c>
      <c r="DY37" s="80">
        <v>0.12676148579999999</v>
      </c>
      <c r="DZ37" s="80">
        <v>7.8442319335999997</v>
      </c>
      <c r="EA37" s="80">
        <v>6.2890586600000006E-2</v>
      </c>
      <c r="EB37" s="80">
        <v>3.7906123403</v>
      </c>
      <c r="EC37" s="80">
        <v>3.2505312000000001E-2</v>
      </c>
      <c r="ED37" s="80">
        <v>1.9020723922</v>
      </c>
      <c r="EE37" s="80">
        <v>1.7880138399999999E-2</v>
      </c>
      <c r="EF37" s="80">
        <v>0.9980200414</v>
      </c>
      <c r="EG37" s="80">
        <v>1.0606649500000001E-2</v>
      </c>
      <c r="EH37" s="80">
        <v>0.55860460160000003</v>
      </c>
      <c r="EI37" s="80">
        <v>6.8864360000000001E-3</v>
      </c>
      <c r="EJ37" s="80">
        <v>0.33485926519999998</v>
      </c>
      <c r="EK37" s="80">
        <v>4.8489568E-3</v>
      </c>
      <c r="EL37" s="80">
        <v>0.21452981870000001</v>
      </c>
      <c r="EM37" s="94">
        <v>3.6493718000000001E-3</v>
      </c>
      <c r="EN37" s="80"/>
      <c r="EO37" s="80"/>
      <c r="EP37" s="80"/>
      <c r="EQ37" s="80"/>
      <c r="ER37" s="80"/>
      <c r="ES37" s="80"/>
      <c r="ET37" s="80"/>
      <c r="EU37" s="80"/>
      <c r="EV37" s="80"/>
      <c r="EW37" s="94"/>
    </row>
    <row r="38" spans="1:153" x14ac:dyDescent="0.2">
      <c r="A38" s="79">
        <v>3300</v>
      </c>
      <c r="B38" s="27">
        <v>26086</v>
      </c>
      <c r="C38" s="79">
        <v>1778.4501098000001</v>
      </c>
      <c r="D38" s="27">
        <v>3249.4981059000002</v>
      </c>
      <c r="E38" s="27">
        <v>61.862858426999999</v>
      </c>
      <c r="F38" s="27">
        <v>7.2336572000000002E-2</v>
      </c>
      <c r="G38" s="79">
        <v>2.5029158564</v>
      </c>
      <c r="H38" s="27">
        <v>1.4308984E-3</v>
      </c>
      <c r="I38" s="27">
        <v>150.47702809</v>
      </c>
      <c r="J38" s="27">
        <v>1.0027049888999999</v>
      </c>
      <c r="K38" s="27">
        <f t="shared" si="4"/>
        <v>150.07108746419843</v>
      </c>
      <c r="L38" s="27">
        <v>77.528126607999994</v>
      </c>
      <c r="M38" s="27">
        <v>0.48278380900000001</v>
      </c>
      <c r="N38" s="27">
        <v>18.674735651999999</v>
      </c>
      <c r="O38" s="27">
        <v>0.1528401955</v>
      </c>
      <c r="P38" s="80" t="s">
        <v>136</v>
      </c>
      <c r="Q38" s="80">
        <v>0</v>
      </c>
      <c r="R38" s="27">
        <v>18.485904897000001</v>
      </c>
      <c r="S38" s="27">
        <v>3.4170949499999999E-2</v>
      </c>
      <c r="T38" s="80" t="s">
        <v>136</v>
      </c>
      <c r="U38" s="80">
        <v>0</v>
      </c>
      <c r="V38" s="80" t="s">
        <v>136</v>
      </c>
      <c r="W38" s="80">
        <v>0</v>
      </c>
      <c r="X38" s="27">
        <v>0.31095221410000001</v>
      </c>
      <c r="Y38" s="27">
        <v>3.3588825999999999E-3</v>
      </c>
      <c r="Z38" s="27">
        <v>28.423356183999999</v>
      </c>
      <c r="AA38" s="27">
        <v>0.66085497709999996</v>
      </c>
      <c r="AB38" s="80" t="s">
        <v>136</v>
      </c>
      <c r="AC38" s="80">
        <v>0</v>
      </c>
      <c r="AD38" s="27">
        <v>2.2529970000000001E-4</v>
      </c>
      <c r="AE38" s="27">
        <v>1.2616318000000001E-6</v>
      </c>
      <c r="AF38" s="80" t="s">
        <v>136</v>
      </c>
      <c r="AG38" s="80">
        <v>0</v>
      </c>
      <c r="AH38" s="80" t="s">
        <v>136</v>
      </c>
      <c r="AI38" s="80">
        <v>0</v>
      </c>
      <c r="AJ38" s="27">
        <f t="shared" si="5"/>
        <v>2.2529970000000001E-4</v>
      </c>
      <c r="AK38" s="27">
        <f t="shared" si="6"/>
        <v>1.2616318000000001E-6</v>
      </c>
      <c r="AL38" s="27">
        <v>101.50446368</v>
      </c>
      <c r="AM38" s="27">
        <v>1.4614065738999999</v>
      </c>
      <c r="AN38" s="80" t="s">
        <v>136</v>
      </c>
      <c r="AO38" s="80">
        <v>0</v>
      </c>
      <c r="AP38" s="80" t="s">
        <v>136</v>
      </c>
      <c r="AQ38" s="80">
        <v>0</v>
      </c>
      <c r="AR38" s="80" t="s">
        <v>136</v>
      </c>
      <c r="AS38" s="80">
        <v>0</v>
      </c>
      <c r="AT38" s="27">
        <v>60.063430576999998</v>
      </c>
      <c r="AU38" s="27">
        <v>2.0935644740999999</v>
      </c>
      <c r="AV38" s="27">
        <v>48.646446628</v>
      </c>
      <c r="AW38" s="27">
        <v>0.40079104399999999</v>
      </c>
      <c r="AX38" s="27">
        <v>22.318640371000001</v>
      </c>
      <c r="AY38" s="27">
        <v>0.24461628999999999</v>
      </c>
      <c r="AZ38" s="27">
        <v>8.0915738370000003</v>
      </c>
      <c r="BA38" s="27">
        <v>7.3371137700000005E-2</v>
      </c>
      <c r="BB38" s="80">
        <f t="shared" ref="BB38:BB69" si="7">AV38-(AX38+AZ38)</f>
        <v>18.23623242</v>
      </c>
      <c r="BC38" s="80">
        <f t="shared" ref="BC38:BC69" si="8">AW38-(AY38+BA38)</f>
        <v>8.2803616299999994E-2</v>
      </c>
      <c r="BD38" s="27">
        <v>0</v>
      </c>
      <c r="BE38" s="80">
        <v>0</v>
      </c>
      <c r="BF38" s="27">
        <v>123.39135477000001</v>
      </c>
      <c r="BG38" s="27">
        <v>1.5109422869</v>
      </c>
      <c r="BH38" s="27">
        <v>2.7515857999999998E-3</v>
      </c>
      <c r="BI38" s="27">
        <v>4.8889626E-6</v>
      </c>
      <c r="BJ38" s="27">
        <v>111.5304762</v>
      </c>
      <c r="BK38" s="27">
        <v>3.7312639985999998</v>
      </c>
      <c r="BL38" s="27">
        <v>134.51471878999999</v>
      </c>
      <c r="BM38" s="27">
        <v>0.97644913519999998</v>
      </c>
      <c r="BN38" s="27">
        <v>31.561809844999999</v>
      </c>
      <c r="BO38" s="27">
        <v>0.1565493966</v>
      </c>
      <c r="BP38" s="27">
        <v>0.12091834160000001</v>
      </c>
      <c r="BQ38" s="27">
        <v>7.8069339999999997E-4</v>
      </c>
      <c r="BR38" s="27">
        <v>0</v>
      </c>
      <c r="BS38" s="92">
        <v>0</v>
      </c>
      <c r="BT38" s="80" t="s">
        <v>136</v>
      </c>
      <c r="BU38" s="80">
        <v>0</v>
      </c>
      <c r="BV38" s="27">
        <v>0.3740464154</v>
      </c>
      <c r="BW38" s="27">
        <v>5.4833987999999998E-3</v>
      </c>
      <c r="BX38" s="27">
        <v>18.300689236</v>
      </c>
      <c r="BY38" s="27">
        <v>0.14735679669999999</v>
      </c>
      <c r="BZ38" s="80" t="s">
        <v>136</v>
      </c>
      <c r="CA38" s="80">
        <v>0</v>
      </c>
      <c r="CB38" s="80" t="s">
        <v>136</v>
      </c>
      <c r="CC38" s="80">
        <v>0</v>
      </c>
      <c r="CD38" s="27">
        <v>7.5999462002999998</v>
      </c>
      <c r="CE38" s="27">
        <v>8.9757918000000006E-3</v>
      </c>
      <c r="CF38" s="27">
        <v>10.885958695999999</v>
      </c>
      <c r="CG38" s="27">
        <v>2.5195157700000002E-2</v>
      </c>
      <c r="CH38" s="80" t="s">
        <v>136</v>
      </c>
      <c r="CI38" s="80">
        <v>0</v>
      </c>
      <c r="CJ38" s="80" t="s">
        <v>136</v>
      </c>
      <c r="CK38" s="80">
        <v>0</v>
      </c>
      <c r="CL38" s="80" t="s">
        <v>136</v>
      </c>
      <c r="CM38" s="80">
        <v>0</v>
      </c>
      <c r="CN38" s="80" t="s">
        <v>136</v>
      </c>
      <c r="CO38" s="80">
        <v>0</v>
      </c>
      <c r="CP38" s="27">
        <v>8.6490430699999996E-2</v>
      </c>
      <c r="CQ38" s="27">
        <v>1.0666797000000001E-3</v>
      </c>
      <c r="CR38" s="27">
        <v>0.2244617834</v>
      </c>
      <c r="CS38" s="27">
        <v>2.2922029E-3</v>
      </c>
      <c r="CT38" s="27">
        <v>2.0570006038000002</v>
      </c>
      <c r="CU38" s="27">
        <v>2.4873850900000001E-2</v>
      </c>
      <c r="CV38" s="27">
        <v>26.36635558</v>
      </c>
      <c r="CW38" s="27">
        <v>0.63598112620000002</v>
      </c>
      <c r="CX38" s="80" t="s">
        <v>136</v>
      </c>
      <c r="CY38" s="80">
        <v>0</v>
      </c>
      <c r="CZ38" s="80" t="s">
        <v>136</v>
      </c>
      <c r="DA38" s="80">
        <v>0</v>
      </c>
      <c r="DB38" s="27">
        <v>17.895127894000002</v>
      </c>
      <c r="DC38" s="27">
        <v>0.3370614301</v>
      </c>
      <c r="DD38" s="27">
        <v>42.168302683</v>
      </c>
      <c r="DE38" s="27">
        <v>1.756503044</v>
      </c>
      <c r="DF38" s="27">
        <v>13.379704358</v>
      </c>
      <c r="DG38" s="27">
        <v>0.4881248332</v>
      </c>
      <c r="DH38" s="27">
        <v>110.01165041</v>
      </c>
      <c r="DI38" s="27">
        <v>1.0228174537000001</v>
      </c>
      <c r="DJ38" s="95">
        <v>1.4237983000000001E-3</v>
      </c>
      <c r="DK38" s="96">
        <v>2.4394335000000001E-3</v>
      </c>
      <c r="DL38" s="96">
        <v>2.6900044999999999E-3</v>
      </c>
      <c r="DM38" s="96">
        <v>2.7299122999999998E-3</v>
      </c>
      <c r="DN38" s="96">
        <v>2.7366947999999999E-3</v>
      </c>
      <c r="DO38" s="96">
        <v>2.7404664000000001E-3</v>
      </c>
      <c r="DP38" s="96">
        <v>2.7413734999999998E-3</v>
      </c>
      <c r="DQ38" s="96">
        <v>2.7417447999999998E-3</v>
      </c>
      <c r="DR38" s="96">
        <v>2.7421161999999998E-3</v>
      </c>
      <c r="DS38" s="97">
        <v>2.7424875999999998E-3</v>
      </c>
      <c r="DT38" s="93">
        <v>74.570245198999999</v>
      </c>
      <c r="DU38" s="80">
        <v>0.52397290549999997</v>
      </c>
      <c r="DV38" s="80">
        <v>35.945331119000002</v>
      </c>
      <c r="DW38" s="80">
        <v>0.26294377419999998</v>
      </c>
      <c r="DX38" s="80">
        <v>17.130005398000002</v>
      </c>
      <c r="DY38" s="80">
        <v>0.13039502140000001</v>
      </c>
      <c r="DZ38" s="80">
        <v>8.1469702938000008</v>
      </c>
      <c r="EA38" s="80">
        <v>6.5134810000000001E-2</v>
      </c>
      <c r="EB38" s="80">
        <v>3.9655166572999998</v>
      </c>
      <c r="EC38" s="80">
        <v>3.3871151500000002E-2</v>
      </c>
      <c r="ED38" s="80">
        <v>2.0037244530999998</v>
      </c>
      <c r="EE38" s="80">
        <v>1.87310363E-2</v>
      </c>
      <c r="EF38" s="80">
        <v>1.0596900461000001</v>
      </c>
      <c r="EG38" s="80">
        <v>1.11681096E-2</v>
      </c>
      <c r="EH38" s="80">
        <v>0.59769550709999997</v>
      </c>
      <c r="EI38" s="80">
        <v>7.2780435000000003E-3</v>
      </c>
      <c r="EJ38" s="80">
        <v>0.36072245650000001</v>
      </c>
      <c r="EK38" s="80">
        <v>5.1354679000000002E-3</v>
      </c>
      <c r="EL38" s="80">
        <v>0.2318013753</v>
      </c>
      <c r="EM38" s="94">
        <v>3.8658983000000001E-3</v>
      </c>
      <c r="EN38" s="80"/>
      <c r="EO38" s="80"/>
      <c r="EP38" s="80"/>
      <c r="EQ38" s="80"/>
      <c r="ER38" s="80"/>
      <c r="ES38" s="80"/>
      <c r="ET38" s="80"/>
      <c r="EU38" s="80"/>
      <c r="EV38" s="80"/>
      <c r="EW38" s="94"/>
    </row>
    <row r="39" spans="1:153" x14ac:dyDescent="0.2">
      <c r="A39" s="79">
        <v>3400</v>
      </c>
      <c r="B39" s="27">
        <v>25728</v>
      </c>
      <c r="C39" s="79">
        <v>1813.5996528999999</v>
      </c>
      <c r="D39" s="27">
        <v>3349.7696627999999</v>
      </c>
      <c r="E39" s="27">
        <v>63.995399304999999</v>
      </c>
      <c r="F39" s="27">
        <v>7.3791368199999999E-2</v>
      </c>
      <c r="G39" s="79">
        <v>2.7119431292999998</v>
      </c>
      <c r="H39" s="27">
        <v>1.527123E-3</v>
      </c>
      <c r="I39" s="27">
        <v>152.08032940999999</v>
      </c>
      <c r="J39" s="27">
        <v>1.0135279603</v>
      </c>
      <c r="K39" s="27">
        <f t="shared" si="4"/>
        <v>150.05045284097031</v>
      </c>
      <c r="L39" s="27">
        <v>78.909940706</v>
      </c>
      <c r="M39" s="27">
        <v>0.49123838549999999</v>
      </c>
      <c r="N39" s="27">
        <v>19.264977975000001</v>
      </c>
      <c r="O39" s="27">
        <v>0.15730200280000001</v>
      </c>
      <c r="P39" s="80" t="s">
        <v>136</v>
      </c>
      <c r="Q39" s="80">
        <v>0</v>
      </c>
      <c r="R39" s="27">
        <v>19.531805253999998</v>
      </c>
      <c r="S39" s="27">
        <v>3.5811609500000001E-2</v>
      </c>
      <c r="T39" s="80" t="s">
        <v>136</v>
      </c>
      <c r="U39" s="80">
        <v>0</v>
      </c>
      <c r="V39" s="80" t="s">
        <v>136</v>
      </c>
      <c r="W39" s="80">
        <v>0</v>
      </c>
      <c r="X39" s="27">
        <v>0.33134081139999999</v>
      </c>
      <c r="Y39" s="27">
        <v>3.5635167999999999E-3</v>
      </c>
      <c r="Z39" s="27">
        <v>29.471852224999999</v>
      </c>
      <c r="AA39" s="27">
        <v>0.68325821229999995</v>
      </c>
      <c r="AB39" s="80" t="s">
        <v>136</v>
      </c>
      <c r="AC39" s="80">
        <v>0</v>
      </c>
      <c r="AD39" s="27">
        <v>3.059103E-4</v>
      </c>
      <c r="AE39" s="27">
        <v>1.6097874000000001E-6</v>
      </c>
      <c r="AF39" s="80" t="s">
        <v>136</v>
      </c>
      <c r="AG39" s="80">
        <v>0</v>
      </c>
      <c r="AH39" s="80" t="s">
        <v>136</v>
      </c>
      <c r="AI39" s="80">
        <v>0</v>
      </c>
      <c r="AJ39" s="27">
        <f t="shared" si="5"/>
        <v>3.059103E-4</v>
      </c>
      <c r="AK39" s="27">
        <f t="shared" si="6"/>
        <v>1.6097874000000001E-6</v>
      </c>
      <c r="AL39" s="27">
        <v>103.50269779</v>
      </c>
      <c r="AM39" s="27">
        <v>1.4792266183</v>
      </c>
      <c r="AN39" s="80" t="s">
        <v>136</v>
      </c>
      <c r="AO39" s="80">
        <v>0</v>
      </c>
      <c r="AP39" s="80" t="s">
        <v>136</v>
      </c>
      <c r="AQ39" s="80">
        <v>0</v>
      </c>
      <c r="AR39" s="80" t="s">
        <v>136</v>
      </c>
      <c r="AS39" s="80">
        <v>0</v>
      </c>
      <c r="AT39" s="27">
        <v>61.327896160000002</v>
      </c>
      <c r="AU39" s="27">
        <v>2.1256881327000001</v>
      </c>
      <c r="AV39" s="27">
        <v>50.057898358999999</v>
      </c>
      <c r="AW39" s="27">
        <v>0.40915402680000001</v>
      </c>
      <c r="AX39" s="27">
        <v>22.950312957000001</v>
      </c>
      <c r="AY39" s="27">
        <v>0.24984121240000001</v>
      </c>
      <c r="AZ39" s="27">
        <v>8.2711770520000005</v>
      </c>
      <c r="BA39" s="27">
        <v>7.4528068399999994E-2</v>
      </c>
      <c r="BB39" s="80">
        <f t="shared" si="7"/>
        <v>18.836408349999999</v>
      </c>
      <c r="BC39" s="80">
        <f t="shared" si="8"/>
        <v>8.4784746000000022E-2</v>
      </c>
      <c r="BD39" s="27">
        <v>0</v>
      </c>
      <c r="BE39" s="80">
        <v>0</v>
      </c>
      <c r="BF39" s="27">
        <v>126.75560012</v>
      </c>
      <c r="BG39" s="27">
        <v>1.5393254778000001</v>
      </c>
      <c r="BH39" s="27">
        <v>2.9441040999999999E-3</v>
      </c>
      <c r="BI39" s="27">
        <v>4.8045187E-6</v>
      </c>
      <c r="BJ39" s="27">
        <v>113.43577218</v>
      </c>
      <c r="BK39" s="27">
        <v>3.7753605933999999</v>
      </c>
      <c r="BL39" s="27">
        <v>139.95782937999999</v>
      </c>
      <c r="BM39" s="27">
        <v>1.0128325512</v>
      </c>
      <c r="BN39" s="27">
        <v>32.601586560999998</v>
      </c>
      <c r="BO39" s="27">
        <v>0.16060964150000001</v>
      </c>
      <c r="BP39" s="27">
        <v>0.12773718419999999</v>
      </c>
      <c r="BQ39" s="27">
        <v>8.0920760000000003E-4</v>
      </c>
      <c r="BR39" s="27">
        <v>0</v>
      </c>
      <c r="BS39" s="92">
        <v>0</v>
      </c>
      <c r="BT39" s="80" t="s">
        <v>136</v>
      </c>
      <c r="BU39" s="80">
        <v>0</v>
      </c>
      <c r="BV39" s="27">
        <v>0.38935176690000001</v>
      </c>
      <c r="BW39" s="27">
        <v>5.6768766000000002E-3</v>
      </c>
      <c r="BX39" s="27">
        <v>18.875626208</v>
      </c>
      <c r="BY39" s="27">
        <v>0.15162512619999999</v>
      </c>
      <c r="BZ39" s="80" t="s">
        <v>136</v>
      </c>
      <c r="CA39" s="80">
        <v>0</v>
      </c>
      <c r="CB39" s="80" t="s">
        <v>136</v>
      </c>
      <c r="CC39" s="80">
        <v>0</v>
      </c>
      <c r="CD39" s="27">
        <v>8.1322501951999993</v>
      </c>
      <c r="CE39" s="27">
        <v>9.4840247999999992E-3</v>
      </c>
      <c r="CF39" s="27">
        <v>11.399555059000001</v>
      </c>
      <c r="CG39" s="27">
        <v>2.6327584800000001E-2</v>
      </c>
      <c r="CH39" s="80" t="s">
        <v>136</v>
      </c>
      <c r="CI39" s="80">
        <v>0</v>
      </c>
      <c r="CJ39" s="80" t="s">
        <v>136</v>
      </c>
      <c r="CK39" s="80">
        <v>0</v>
      </c>
      <c r="CL39" s="80" t="s">
        <v>136</v>
      </c>
      <c r="CM39" s="80">
        <v>0</v>
      </c>
      <c r="CN39" s="80" t="s">
        <v>136</v>
      </c>
      <c r="CO39" s="80">
        <v>0</v>
      </c>
      <c r="CP39" s="27">
        <v>9.0765921400000005E-2</v>
      </c>
      <c r="CQ39" s="27">
        <v>1.1254959999999999E-3</v>
      </c>
      <c r="CR39" s="27">
        <v>0.24057489000000001</v>
      </c>
      <c r="CS39" s="27">
        <v>2.4380208999999998E-3</v>
      </c>
      <c r="CT39" s="27">
        <v>2.1827395002999999</v>
      </c>
      <c r="CU39" s="27">
        <v>2.62752627E-2</v>
      </c>
      <c r="CV39" s="27">
        <v>27.289112724999999</v>
      </c>
      <c r="CW39" s="27">
        <v>0.65698294970000004</v>
      </c>
      <c r="CX39" s="80" t="s">
        <v>136</v>
      </c>
      <c r="CY39" s="80">
        <v>0</v>
      </c>
      <c r="CZ39" s="80" t="s">
        <v>136</v>
      </c>
      <c r="DA39" s="80">
        <v>0</v>
      </c>
      <c r="DB39" s="27">
        <v>18.355201635</v>
      </c>
      <c r="DC39" s="27">
        <v>0.34399306349999997</v>
      </c>
      <c r="DD39" s="27">
        <v>42.972694525000001</v>
      </c>
      <c r="DE39" s="27">
        <v>1.7816950692</v>
      </c>
      <c r="DF39" s="27">
        <v>14.135460331000001</v>
      </c>
      <c r="DG39" s="27">
        <v>0.49958713659999998</v>
      </c>
      <c r="DH39" s="27">
        <v>112.62013979</v>
      </c>
      <c r="DI39" s="27">
        <v>1.0397383412000001</v>
      </c>
      <c r="DJ39" s="95">
        <v>1.5189133000000001E-3</v>
      </c>
      <c r="DK39" s="96">
        <v>2.6073215999999999E-3</v>
      </c>
      <c r="DL39" s="96">
        <v>2.878313E-3</v>
      </c>
      <c r="DM39" s="96">
        <v>2.9218359000000001E-3</v>
      </c>
      <c r="DN39" s="96">
        <v>2.9289366999999998E-3</v>
      </c>
      <c r="DO39" s="96">
        <v>2.9330543000000001E-3</v>
      </c>
      <c r="DP39" s="96">
        <v>2.9339543E-3</v>
      </c>
      <c r="DQ39" s="96">
        <v>2.9343233000000001E-3</v>
      </c>
      <c r="DR39" s="96">
        <v>2.9346924000000002E-3</v>
      </c>
      <c r="DS39" s="97">
        <v>2.9350614999999998E-3</v>
      </c>
      <c r="DT39" s="93">
        <v>75.801653516000002</v>
      </c>
      <c r="DU39" s="80">
        <v>0.53246655809999999</v>
      </c>
      <c r="DV39" s="80">
        <v>36.776771771999996</v>
      </c>
      <c r="DW39" s="80">
        <v>0.26886330380000001</v>
      </c>
      <c r="DX39" s="80">
        <v>17.650009711999999</v>
      </c>
      <c r="DY39" s="80">
        <v>0.13425349189999999</v>
      </c>
      <c r="DZ39" s="80">
        <v>8.4608005037999998</v>
      </c>
      <c r="EA39" s="80">
        <v>6.7580464500000006E-2</v>
      </c>
      <c r="EB39" s="80">
        <v>4.1498988967999999</v>
      </c>
      <c r="EC39" s="80">
        <v>3.5406994800000001E-2</v>
      </c>
      <c r="ED39" s="80">
        <v>2.1117055943</v>
      </c>
      <c r="EE39" s="80">
        <v>1.9712847299999999E-2</v>
      </c>
      <c r="EF39" s="80">
        <v>1.1238057314000001</v>
      </c>
      <c r="EG39" s="80">
        <v>1.18211836E-2</v>
      </c>
      <c r="EH39" s="80">
        <v>0.63771235410000005</v>
      </c>
      <c r="EI39" s="80">
        <v>7.7423407999999997E-3</v>
      </c>
      <c r="EJ39" s="80">
        <v>0.38715533120000001</v>
      </c>
      <c r="EK39" s="80">
        <v>5.4865388000000003E-3</v>
      </c>
      <c r="EL39" s="80">
        <v>0.2500451541</v>
      </c>
      <c r="EM39" s="94">
        <v>4.1440111999999996E-3</v>
      </c>
      <c r="EN39" s="80"/>
      <c r="EO39" s="80"/>
      <c r="EP39" s="80"/>
      <c r="EQ39" s="80"/>
      <c r="ER39" s="80"/>
      <c r="ES39" s="80"/>
      <c r="ET39" s="80"/>
      <c r="EU39" s="80"/>
      <c r="EV39" s="80"/>
      <c r="EW39" s="94"/>
    </row>
    <row r="40" spans="1:153" x14ac:dyDescent="0.2">
      <c r="A40" s="79">
        <v>3500</v>
      </c>
      <c r="B40" s="27">
        <v>24567</v>
      </c>
      <c r="C40" s="79">
        <v>1848.0603255000001</v>
      </c>
      <c r="D40" s="27">
        <v>3449.8662257999999</v>
      </c>
      <c r="E40" s="27">
        <v>66.067267556000004</v>
      </c>
      <c r="F40" s="27">
        <v>7.5154420700000002E-2</v>
      </c>
      <c r="G40" s="79">
        <v>2.9445314021</v>
      </c>
      <c r="H40" s="27">
        <v>1.6319218E-3</v>
      </c>
      <c r="I40" s="27">
        <v>153.63247752999999</v>
      </c>
      <c r="J40" s="27">
        <v>1.0238034077</v>
      </c>
      <c r="K40" s="27">
        <f t="shared" si="4"/>
        <v>150.06052565808429</v>
      </c>
      <c r="L40" s="27">
        <v>80.273372355999996</v>
      </c>
      <c r="M40" s="27">
        <v>0.49973984849999997</v>
      </c>
      <c r="N40" s="27">
        <v>19.819092214000001</v>
      </c>
      <c r="O40" s="27">
        <v>0.161557216</v>
      </c>
      <c r="P40" s="80" t="s">
        <v>136</v>
      </c>
      <c r="Q40" s="80">
        <v>0</v>
      </c>
      <c r="R40" s="27">
        <v>20.61409067</v>
      </c>
      <c r="S40" s="27">
        <v>3.7453976799999997E-2</v>
      </c>
      <c r="T40" s="80" t="s">
        <v>136</v>
      </c>
      <c r="U40" s="80">
        <v>0</v>
      </c>
      <c r="V40" s="80" t="s">
        <v>136</v>
      </c>
      <c r="W40" s="80">
        <v>0</v>
      </c>
      <c r="X40" s="27">
        <v>0.3542479872</v>
      </c>
      <c r="Y40" s="27">
        <v>3.8232438999999999E-3</v>
      </c>
      <c r="Z40" s="27">
        <v>30.436216626</v>
      </c>
      <c r="AA40" s="27">
        <v>0.70413437690000003</v>
      </c>
      <c r="AB40" s="80" t="s">
        <v>136</v>
      </c>
      <c r="AC40" s="80">
        <v>0</v>
      </c>
      <c r="AD40" s="27">
        <v>3.0333410000000003E-4</v>
      </c>
      <c r="AE40" s="27">
        <v>1.5960283E-6</v>
      </c>
      <c r="AF40" s="80" t="s">
        <v>136</v>
      </c>
      <c r="AG40" s="80">
        <v>0</v>
      </c>
      <c r="AH40" s="80" t="s">
        <v>136</v>
      </c>
      <c r="AI40" s="80">
        <v>0</v>
      </c>
      <c r="AJ40" s="27">
        <f t="shared" si="5"/>
        <v>3.0333410000000003E-4</v>
      </c>
      <c r="AK40" s="27">
        <f t="shared" si="6"/>
        <v>1.5960283E-6</v>
      </c>
      <c r="AL40" s="27">
        <v>105.43384422</v>
      </c>
      <c r="AM40" s="27">
        <v>1.4964282166</v>
      </c>
      <c r="AN40" s="80" t="s">
        <v>136</v>
      </c>
      <c r="AO40" s="80">
        <v>0</v>
      </c>
      <c r="AP40" s="80" t="s">
        <v>136</v>
      </c>
      <c r="AQ40" s="80">
        <v>0</v>
      </c>
      <c r="AR40" s="80" t="s">
        <v>136</v>
      </c>
      <c r="AS40" s="80">
        <v>0</v>
      </c>
      <c r="AT40" s="27">
        <v>62.566965869000001</v>
      </c>
      <c r="AU40" s="27">
        <v>2.1570353973</v>
      </c>
      <c r="AV40" s="27">
        <v>51.377939251000001</v>
      </c>
      <c r="AW40" s="27">
        <v>0.4168558664</v>
      </c>
      <c r="AX40" s="27">
        <v>23.536231104999999</v>
      </c>
      <c r="AY40" s="27">
        <v>0.25462990520000001</v>
      </c>
      <c r="AZ40" s="27">
        <v>8.4305306928999997</v>
      </c>
      <c r="BA40" s="27">
        <v>7.5580145200000004E-2</v>
      </c>
      <c r="BB40" s="80">
        <f t="shared" si="7"/>
        <v>19.411177453100002</v>
      </c>
      <c r="BC40" s="80">
        <f t="shared" si="8"/>
        <v>8.6645815999999987E-2</v>
      </c>
      <c r="BD40" s="27">
        <v>0</v>
      </c>
      <c r="BE40" s="80">
        <v>0</v>
      </c>
      <c r="BF40" s="27">
        <v>130.03168033</v>
      </c>
      <c r="BG40" s="27">
        <v>1.5658184396999999</v>
      </c>
      <c r="BH40" s="27">
        <v>3.1547978999999999E-3</v>
      </c>
      <c r="BI40" s="27">
        <v>4.7245123000000004E-6</v>
      </c>
      <c r="BJ40" s="27">
        <v>115.34656231</v>
      </c>
      <c r="BK40" s="27">
        <v>3.8183564706999999</v>
      </c>
      <c r="BL40" s="27">
        <v>145.22419113000001</v>
      </c>
      <c r="BM40" s="27">
        <v>1.0480058881000001</v>
      </c>
      <c r="BN40" s="27">
        <v>33.687592320999997</v>
      </c>
      <c r="BO40" s="27">
        <v>0.1647077136</v>
      </c>
      <c r="BP40" s="27">
        <v>0.13451137220000001</v>
      </c>
      <c r="BQ40" s="27">
        <v>8.2743539999999998E-4</v>
      </c>
      <c r="BR40" s="27">
        <v>0</v>
      </c>
      <c r="BS40" s="92">
        <v>0</v>
      </c>
      <c r="BT40" s="80" t="s">
        <v>136</v>
      </c>
      <c r="BU40" s="80">
        <v>0</v>
      </c>
      <c r="BV40" s="27">
        <v>0.40671765510000002</v>
      </c>
      <c r="BW40" s="27">
        <v>5.8529428000000001E-3</v>
      </c>
      <c r="BX40" s="27">
        <v>19.412374559</v>
      </c>
      <c r="BY40" s="27">
        <v>0.15570427319999999</v>
      </c>
      <c r="BZ40" s="80" t="s">
        <v>136</v>
      </c>
      <c r="CA40" s="80">
        <v>0</v>
      </c>
      <c r="CB40" s="80" t="s">
        <v>136</v>
      </c>
      <c r="CC40" s="80">
        <v>0</v>
      </c>
      <c r="CD40" s="27">
        <v>8.6898909479000004</v>
      </c>
      <c r="CE40" s="27">
        <v>1.0000063999999999E-2</v>
      </c>
      <c r="CF40" s="27">
        <v>11.924199721999999</v>
      </c>
      <c r="CG40" s="27">
        <v>2.7453912800000001E-2</v>
      </c>
      <c r="CH40" s="80" t="s">
        <v>136</v>
      </c>
      <c r="CI40" s="80">
        <v>0</v>
      </c>
      <c r="CJ40" s="80" t="s">
        <v>136</v>
      </c>
      <c r="CK40" s="80">
        <v>0</v>
      </c>
      <c r="CL40" s="80" t="s">
        <v>136</v>
      </c>
      <c r="CM40" s="80">
        <v>0</v>
      </c>
      <c r="CN40" s="80" t="s">
        <v>136</v>
      </c>
      <c r="CO40" s="80">
        <v>0</v>
      </c>
      <c r="CP40" s="27">
        <v>9.8284690600000002E-2</v>
      </c>
      <c r="CQ40" s="27">
        <v>1.2331842000000001E-3</v>
      </c>
      <c r="CR40" s="27">
        <v>0.25596329670000001</v>
      </c>
      <c r="CS40" s="27">
        <v>2.5900596999999998E-3</v>
      </c>
      <c r="CT40" s="27">
        <v>2.2742786251</v>
      </c>
      <c r="CU40" s="27">
        <v>2.73449053E-2</v>
      </c>
      <c r="CV40" s="27">
        <v>28.161938000999999</v>
      </c>
      <c r="CW40" s="27">
        <v>0.67678947160000003</v>
      </c>
      <c r="CX40" s="80" t="s">
        <v>136</v>
      </c>
      <c r="CY40" s="80">
        <v>0</v>
      </c>
      <c r="CZ40" s="80" t="s">
        <v>136</v>
      </c>
      <c r="DA40" s="80">
        <v>0</v>
      </c>
      <c r="DB40" s="27">
        <v>18.802953417000001</v>
      </c>
      <c r="DC40" s="27">
        <v>0.35070979029999999</v>
      </c>
      <c r="DD40" s="27">
        <v>43.764012452999999</v>
      </c>
      <c r="DE40" s="27">
        <v>1.806325607</v>
      </c>
      <c r="DF40" s="27">
        <v>14.903597626</v>
      </c>
      <c r="DG40" s="27">
        <v>0.51040621419999999</v>
      </c>
      <c r="DH40" s="27">
        <v>115.12808269999999</v>
      </c>
      <c r="DI40" s="27">
        <v>1.0554122255</v>
      </c>
      <c r="DJ40" s="95">
        <v>1.6225428999999999E-3</v>
      </c>
      <c r="DK40" s="96">
        <v>2.7906166999999999E-3</v>
      </c>
      <c r="DL40" s="96">
        <v>3.0810421E-3</v>
      </c>
      <c r="DM40" s="96">
        <v>3.1286826E-3</v>
      </c>
      <c r="DN40" s="96">
        <v>3.1364550999999998E-3</v>
      </c>
      <c r="DO40" s="96">
        <v>3.1412698999999998E-3</v>
      </c>
      <c r="DP40" s="96">
        <v>3.1428926999999998E-3</v>
      </c>
      <c r="DQ40" s="96">
        <v>3.1439889999999998E-3</v>
      </c>
      <c r="DR40" s="96">
        <v>3.1448986999999999E-3</v>
      </c>
      <c r="DS40" s="97">
        <v>3.1458084000000001E-3</v>
      </c>
      <c r="DT40" s="93">
        <v>76.986972816000005</v>
      </c>
      <c r="DU40" s="80">
        <v>0.54047920009999995</v>
      </c>
      <c r="DV40" s="80">
        <v>37.574896179</v>
      </c>
      <c r="DW40" s="80">
        <v>0.27441921289999999</v>
      </c>
      <c r="DX40" s="80">
        <v>18.149899175000002</v>
      </c>
      <c r="DY40" s="80">
        <v>0.13785164529999999</v>
      </c>
      <c r="DZ40" s="80">
        <v>8.7608443040000008</v>
      </c>
      <c r="EA40" s="80">
        <v>6.9835912299999997E-2</v>
      </c>
      <c r="EB40" s="80">
        <v>4.3273815371</v>
      </c>
      <c r="EC40" s="80">
        <v>3.6819272299999997E-2</v>
      </c>
      <c r="ED40" s="80">
        <v>2.2198074471</v>
      </c>
      <c r="EE40" s="80">
        <v>2.0628466599999999E-2</v>
      </c>
      <c r="EF40" s="80">
        <v>1.1899276598999999</v>
      </c>
      <c r="EG40" s="80">
        <v>1.24275989E-2</v>
      </c>
      <c r="EH40" s="80">
        <v>0.67866038080000002</v>
      </c>
      <c r="EI40" s="80">
        <v>8.1588583000000003E-3</v>
      </c>
      <c r="EJ40" s="80">
        <v>0.41303552269999999</v>
      </c>
      <c r="EK40" s="80">
        <v>5.7850187000000001E-3</v>
      </c>
      <c r="EL40" s="80">
        <v>0.2668118391</v>
      </c>
      <c r="EM40" s="94">
        <v>4.3679671999999996E-3</v>
      </c>
      <c r="EN40" s="80"/>
      <c r="EO40" s="80"/>
      <c r="EP40" s="80"/>
      <c r="EQ40" s="80"/>
      <c r="ER40" s="80"/>
      <c r="ES40" s="80"/>
      <c r="ET40" s="80"/>
      <c r="EU40" s="80"/>
      <c r="EV40" s="80"/>
      <c r="EW40" s="94"/>
    </row>
    <row r="41" spans="1:153" x14ac:dyDescent="0.2">
      <c r="A41" s="79">
        <v>3600</v>
      </c>
      <c r="B41" s="27">
        <v>24027</v>
      </c>
      <c r="C41" s="79">
        <v>1881.8808792</v>
      </c>
      <c r="D41" s="27">
        <v>3549.7953802000002</v>
      </c>
      <c r="E41" s="27">
        <v>68.114513458999994</v>
      </c>
      <c r="F41" s="27">
        <v>7.6479163099999997E-2</v>
      </c>
      <c r="G41" s="79">
        <v>3.1821156535999999</v>
      </c>
      <c r="H41" s="27">
        <v>1.7350835000000001E-3</v>
      </c>
      <c r="I41" s="27">
        <v>155.13924914</v>
      </c>
      <c r="J41" s="27">
        <v>1.0337507786</v>
      </c>
      <c r="K41" s="27">
        <f t="shared" si="4"/>
        <v>150.07413039156671</v>
      </c>
      <c r="L41" s="27">
        <v>81.545785339999995</v>
      </c>
      <c r="M41" s="27">
        <v>0.50779931410000001</v>
      </c>
      <c r="N41" s="27">
        <v>20.395996061000002</v>
      </c>
      <c r="O41" s="27">
        <v>0.1659705031</v>
      </c>
      <c r="P41" s="80" t="s">
        <v>136</v>
      </c>
      <c r="Q41" s="80">
        <v>0</v>
      </c>
      <c r="R41" s="27">
        <v>21.684358877000001</v>
      </c>
      <c r="S41" s="27">
        <v>3.90673323E-2</v>
      </c>
      <c r="T41" s="80" t="s">
        <v>136</v>
      </c>
      <c r="U41" s="80">
        <v>0</v>
      </c>
      <c r="V41" s="80" t="s">
        <v>136</v>
      </c>
      <c r="W41" s="80">
        <v>0</v>
      </c>
      <c r="X41" s="27">
        <v>0.3742094494</v>
      </c>
      <c r="Y41" s="27">
        <v>4.0462763000000002E-3</v>
      </c>
      <c r="Z41" s="27">
        <v>31.445295274999999</v>
      </c>
      <c r="AA41" s="27">
        <v>0.7259759227</v>
      </c>
      <c r="AB41" s="80" t="s">
        <v>136</v>
      </c>
      <c r="AC41" s="80">
        <v>0</v>
      </c>
      <c r="AD41" s="27">
        <v>3.566272E-4</v>
      </c>
      <c r="AE41" s="27">
        <v>1.7681819000000001E-6</v>
      </c>
      <c r="AF41" s="80" t="s">
        <v>136</v>
      </c>
      <c r="AG41" s="80">
        <v>0</v>
      </c>
      <c r="AH41" s="80" t="s">
        <v>136</v>
      </c>
      <c r="AI41" s="80">
        <v>0</v>
      </c>
      <c r="AJ41" s="27">
        <f t="shared" si="5"/>
        <v>3.566272E-4</v>
      </c>
      <c r="AK41" s="27">
        <f t="shared" si="6"/>
        <v>1.7681819000000001E-6</v>
      </c>
      <c r="AL41" s="27">
        <v>107.36783008</v>
      </c>
      <c r="AM41" s="27">
        <v>1.5130684135000001</v>
      </c>
      <c r="AN41" s="80" t="s">
        <v>136</v>
      </c>
      <c r="AO41" s="80">
        <v>0</v>
      </c>
      <c r="AP41" s="80" t="s">
        <v>136</v>
      </c>
      <c r="AQ41" s="80">
        <v>0</v>
      </c>
      <c r="AR41" s="80" t="s">
        <v>136</v>
      </c>
      <c r="AS41" s="80">
        <v>0</v>
      </c>
      <c r="AT41" s="27">
        <v>63.782665407000003</v>
      </c>
      <c r="AU41" s="27">
        <v>2.1876195933</v>
      </c>
      <c r="AV41" s="27">
        <v>52.717461110000002</v>
      </c>
      <c r="AW41" s="27">
        <v>0.42476475180000001</v>
      </c>
      <c r="AX41" s="27">
        <v>24.119438709000001</v>
      </c>
      <c r="AY41" s="27">
        <v>0.25946744259999999</v>
      </c>
      <c r="AZ41" s="27">
        <v>8.6199794373999996</v>
      </c>
      <c r="BA41" s="27">
        <v>7.6746873500000007E-2</v>
      </c>
      <c r="BB41" s="80">
        <f t="shared" si="7"/>
        <v>19.978042963600004</v>
      </c>
      <c r="BC41" s="80">
        <f t="shared" si="8"/>
        <v>8.8550435700000041E-2</v>
      </c>
      <c r="BD41" s="27">
        <v>0</v>
      </c>
      <c r="BE41" s="80">
        <v>0</v>
      </c>
      <c r="BF41" s="27">
        <v>133.49874045999999</v>
      </c>
      <c r="BG41" s="27">
        <v>1.5928965224</v>
      </c>
      <c r="BH41" s="27">
        <v>3.3720668999999998E-3</v>
      </c>
      <c r="BI41" s="27">
        <v>4.6456877000000001E-6</v>
      </c>
      <c r="BJ41" s="27">
        <v>117.19155480000001</v>
      </c>
      <c r="BK41" s="27">
        <v>3.8603418226000001</v>
      </c>
      <c r="BL41" s="27">
        <v>150.65281783</v>
      </c>
      <c r="BM41" s="27">
        <v>1.0839510523</v>
      </c>
      <c r="BN41" s="27">
        <v>34.698363467</v>
      </c>
      <c r="BO41" s="27">
        <v>0.16863954240000001</v>
      </c>
      <c r="BP41" s="27">
        <v>0.14334987330000001</v>
      </c>
      <c r="BQ41" s="27">
        <v>8.4873779999999996E-4</v>
      </c>
      <c r="BR41" s="27">
        <v>0</v>
      </c>
      <c r="BS41" s="92">
        <v>0</v>
      </c>
      <c r="BT41" s="80" t="s">
        <v>136</v>
      </c>
      <c r="BU41" s="80">
        <v>0</v>
      </c>
      <c r="BV41" s="27">
        <v>0.41861500829999998</v>
      </c>
      <c r="BW41" s="27">
        <v>6.0196852000000004E-3</v>
      </c>
      <c r="BX41" s="27">
        <v>19.977381052999998</v>
      </c>
      <c r="BY41" s="27">
        <v>0.15995081789999999</v>
      </c>
      <c r="BZ41" s="80" t="s">
        <v>136</v>
      </c>
      <c r="CA41" s="80">
        <v>0</v>
      </c>
      <c r="CB41" s="80" t="s">
        <v>136</v>
      </c>
      <c r="CC41" s="80">
        <v>0</v>
      </c>
      <c r="CD41" s="27">
        <v>9.2336595020000001</v>
      </c>
      <c r="CE41" s="27">
        <v>1.05006758E-2</v>
      </c>
      <c r="CF41" s="27">
        <v>12.450699374999999</v>
      </c>
      <c r="CG41" s="27">
        <v>2.8566656499999999E-2</v>
      </c>
      <c r="CH41" s="80" t="s">
        <v>136</v>
      </c>
      <c r="CI41" s="80">
        <v>0</v>
      </c>
      <c r="CJ41" s="80" t="s">
        <v>136</v>
      </c>
      <c r="CK41" s="80">
        <v>0</v>
      </c>
      <c r="CL41" s="80" t="s">
        <v>136</v>
      </c>
      <c r="CM41" s="80">
        <v>0</v>
      </c>
      <c r="CN41" s="80" t="s">
        <v>136</v>
      </c>
      <c r="CO41" s="80">
        <v>0</v>
      </c>
      <c r="CP41" s="27">
        <v>0.10631801489999999</v>
      </c>
      <c r="CQ41" s="27">
        <v>1.3144207E-3</v>
      </c>
      <c r="CR41" s="27">
        <v>0.26789143450000003</v>
      </c>
      <c r="CS41" s="27">
        <v>2.7318556999999999E-3</v>
      </c>
      <c r="CT41" s="27">
        <v>2.3789955443999999</v>
      </c>
      <c r="CU41" s="27">
        <v>2.8432321100000001E-2</v>
      </c>
      <c r="CV41" s="27">
        <v>29.066299731000001</v>
      </c>
      <c r="CW41" s="27">
        <v>0.69754360159999995</v>
      </c>
      <c r="CX41" s="80" t="s">
        <v>136</v>
      </c>
      <c r="CY41" s="80">
        <v>0</v>
      </c>
      <c r="CZ41" s="80" t="s">
        <v>136</v>
      </c>
      <c r="DA41" s="80">
        <v>0</v>
      </c>
      <c r="DB41" s="27">
        <v>19.245250484</v>
      </c>
      <c r="DC41" s="27">
        <v>0.3574284774</v>
      </c>
      <c r="DD41" s="27">
        <v>44.537414922000004</v>
      </c>
      <c r="DE41" s="27">
        <v>1.8301911157999999</v>
      </c>
      <c r="DF41" s="27">
        <v>15.770107625</v>
      </c>
      <c r="DG41" s="27">
        <v>0.52173500829999997</v>
      </c>
      <c r="DH41" s="27">
        <v>117.72863283</v>
      </c>
      <c r="DI41" s="27">
        <v>1.0711615141999999</v>
      </c>
      <c r="DJ41" s="95">
        <v>1.7233645E-3</v>
      </c>
      <c r="DK41" s="96">
        <v>2.9721484000000001E-3</v>
      </c>
      <c r="DL41" s="96">
        <v>3.2863147000000001E-3</v>
      </c>
      <c r="DM41" s="96">
        <v>3.3387054000000001E-3</v>
      </c>
      <c r="DN41" s="96">
        <v>3.3477564E-3</v>
      </c>
      <c r="DO41" s="96">
        <v>3.3536866E-3</v>
      </c>
      <c r="DP41" s="96">
        <v>3.3564490000000001E-3</v>
      </c>
      <c r="DQ41" s="96">
        <v>3.3580785000000002E-3</v>
      </c>
      <c r="DR41" s="96">
        <v>3.3595229000000001E-3</v>
      </c>
      <c r="DS41" s="97">
        <v>3.3609673E-3</v>
      </c>
      <c r="DT41" s="93">
        <v>78.133921103000006</v>
      </c>
      <c r="DU41" s="80">
        <v>0.54822630750000001</v>
      </c>
      <c r="DV41" s="80">
        <v>38.339842275999999</v>
      </c>
      <c r="DW41" s="80">
        <v>0.27975153930000002</v>
      </c>
      <c r="DX41" s="80">
        <v>18.625707854000002</v>
      </c>
      <c r="DY41" s="80">
        <v>0.1412985786</v>
      </c>
      <c r="DZ41" s="80">
        <v>9.0467013193000003</v>
      </c>
      <c r="EA41" s="80">
        <v>7.2006234500000002E-2</v>
      </c>
      <c r="EB41" s="80">
        <v>4.4979377263</v>
      </c>
      <c r="EC41" s="80">
        <v>3.8199202799999998E-2</v>
      </c>
      <c r="ED41" s="80">
        <v>2.3214949794000002</v>
      </c>
      <c r="EE41" s="80">
        <v>2.1521737400000001E-2</v>
      </c>
      <c r="EF41" s="80">
        <v>1.2536017501000001</v>
      </c>
      <c r="EG41" s="80">
        <v>1.3038134599999999E-2</v>
      </c>
      <c r="EH41" s="80">
        <v>0.71972816419999996</v>
      </c>
      <c r="EI41" s="80">
        <v>8.5941833000000006E-3</v>
      </c>
      <c r="EJ41" s="80">
        <v>0.4400977016</v>
      </c>
      <c r="EK41" s="80">
        <v>6.1074375999999996E-3</v>
      </c>
      <c r="EL41" s="80">
        <v>0.28507926729999999</v>
      </c>
      <c r="EM41" s="94">
        <v>4.6153747E-3</v>
      </c>
      <c r="EN41" s="80"/>
      <c r="EO41" s="80"/>
      <c r="EP41" s="80"/>
      <c r="EQ41" s="80"/>
      <c r="ER41" s="80"/>
      <c r="ES41" s="80"/>
      <c r="ET41" s="80"/>
      <c r="EU41" s="80"/>
      <c r="EV41" s="80"/>
      <c r="EW41" s="94"/>
    </row>
    <row r="42" spans="1:153" x14ac:dyDescent="0.2">
      <c r="A42" s="79">
        <v>3700</v>
      </c>
      <c r="B42" s="27">
        <v>22892</v>
      </c>
      <c r="C42" s="79">
        <v>1915.0482993000001</v>
      </c>
      <c r="D42" s="27">
        <v>3649.6508484000001</v>
      </c>
      <c r="E42" s="27">
        <v>70.097962081999995</v>
      </c>
      <c r="F42" s="27">
        <v>7.7821021099999999E-2</v>
      </c>
      <c r="G42" s="79">
        <v>3.4302643089</v>
      </c>
      <c r="H42" s="27">
        <v>1.8418563000000001E-3</v>
      </c>
      <c r="I42" s="27">
        <v>156.60713605999999</v>
      </c>
      <c r="J42" s="27">
        <v>1.0435814132000001</v>
      </c>
      <c r="K42" s="27">
        <f t="shared" si="4"/>
        <v>150.06700395303665</v>
      </c>
      <c r="L42" s="27">
        <v>82.812962229999997</v>
      </c>
      <c r="M42" s="27">
        <v>0.5157617431</v>
      </c>
      <c r="N42" s="27">
        <v>20.996546937000002</v>
      </c>
      <c r="O42" s="27">
        <v>0.17062087519999999</v>
      </c>
      <c r="P42" s="80" t="s">
        <v>136</v>
      </c>
      <c r="Q42" s="80">
        <v>0</v>
      </c>
      <c r="R42" s="27">
        <v>22.747662486999999</v>
      </c>
      <c r="S42" s="27">
        <v>4.0688320600000001E-2</v>
      </c>
      <c r="T42" s="80" t="s">
        <v>136</v>
      </c>
      <c r="U42" s="80">
        <v>0</v>
      </c>
      <c r="V42" s="80" t="s">
        <v>136</v>
      </c>
      <c r="W42" s="80">
        <v>0</v>
      </c>
      <c r="X42" s="27">
        <v>0.39242441410000001</v>
      </c>
      <c r="Y42" s="27">
        <v>4.2646782000000001E-3</v>
      </c>
      <c r="Z42" s="27">
        <v>32.483227775000003</v>
      </c>
      <c r="AA42" s="27">
        <v>0.74855869220000004</v>
      </c>
      <c r="AB42" s="80" t="s">
        <v>136</v>
      </c>
      <c r="AC42" s="80">
        <v>0</v>
      </c>
      <c r="AD42" s="27">
        <v>3.5387739999999997E-4</v>
      </c>
      <c r="AE42" s="27">
        <v>1.7544687000000001E-6</v>
      </c>
      <c r="AF42" s="80" t="s">
        <v>136</v>
      </c>
      <c r="AG42" s="80">
        <v>0</v>
      </c>
      <c r="AH42" s="80" t="s">
        <v>136</v>
      </c>
      <c r="AI42" s="80">
        <v>0</v>
      </c>
      <c r="AJ42" s="27">
        <f t="shared" si="5"/>
        <v>3.5387739999999997E-4</v>
      </c>
      <c r="AK42" s="27">
        <f t="shared" si="6"/>
        <v>1.7544687000000001E-6</v>
      </c>
      <c r="AL42" s="27">
        <v>109.16732826000001</v>
      </c>
      <c r="AM42" s="27">
        <v>1.5287740836999999</v>
      </c>
      <c r="AN42" s="80" t="s">
        <v>136</v>
      </c>
      <c r="AO42" s="80">
        <v>0</v>
      </c>
      <c r="AP42" s="80" t="s">
        <v>136</v>
      </c>
      <c r="AQ42" s="80">
        <v>0</v>
      </c>
      <c r="AR42" s="80" t="s">
        <v>136</v>
      </c>
      <c r="AS42" s="80">
        <v>0</v>
      </c>
      <c r="AT42" s="27">
        <v>64.922376670000006</v>
      </c>
      <c r="AU42" s="27">
        <v>2.2166696653</v>
      </c>
      <c r="AV42" s="27">
        <v>53.994883751000003</v>
      </c>
      <c r="AW42" s="27">
        <v>0.43238969150000001</v>
      </c>
      <c r="AX42" s="27">
        <v>24.690888405999999</v>
      </c>
      <c r="AY42" s="27">
        <v>0.26426131009999998</v>
      </c>
      <c r="AZ42" s="27">
        <v>8.7813930806999991</v>
      </c>
      <c r="BA42" s="27">
        <v>7.7770410900000003E-2</v>
      </c>
      <c r="BB42" s="80">
        <f t="shared" si="7"/>
        <v>20.522602264300005</v>
      </c>
      <c r="BC42" s="80">
        <f t="shared" si="8"/>
        <v>9.0357970499999996E-2</v>
      </c>
      <c r="BD42" s="27">
        <v>0</v>
      </c>
      <c r="BE42" s="80">
        <v>0</v>
      </c>
      <c r="BF42" s="27">
        <v>136.85068390999999</v>
      </c>
      <c r="BG42" s="27">
        <v>1.6187587861999999</v>
      </c>
      <c r="BH42" s="27">
        <v>3.5882314E-3</v>
      </c>
      <c r="BI42" s="27">
        <v>4.5736519000000004E-6</v>
      </c>
      <c r="BJ42" s="27">
        <v>118.90194743000001</v>
      </c>
      <c r="BK42" s="27">
        <v>3.8994110318000001</v>
      </c>
      <c r="BL42" s="27">
        <v>155.83349870999999</v>
      </c>
      <c r="BM42" s="27">
        <v>1.1186059584000001</v>
      </c>
      <c r="BN42" s="27">
        <v>35.730659760999998</v>
      </c>
      <c r="BO42" s="27">
        <v>0.17253947989999999</v>
      </c>
      <c r="BP42" s="27">
        <v>0.14959345760000001</v>
      </c>
      <c r="BQ42" s="27">
        <v>8.6063929999999995E-4</v>
      </c>
      <c r="BR42" s="27">
        <v>0</v>
      </c>
      <c r="BS42" s="92">
        <v>0</v>
      </c>
      <c r="BT42" s="80" t="s">
        <v>136</v>
      </c>
      <c r="BU42" s="80">
        <v>0</v>
      </c>
      <c r="BV42" s="27">
        <v>0.43023500520000002</v>
      </c>
      <c r="BW42" s="27">
        <v>6.1675951999999997E-3</v>
      </c>
      <c r="BX42" s="27">
        <v>20.566311932000001</v>
      </c>
      <c r="BY42" s="27">
        <v>0.16445328000000001</v>
      </c>
      <c r="BZ42" s="80" t="s">
        <v>136</v>
      </c>
      <c r="CA42" s="80">
        <v>0</v>
      </c>
      <c r="CB42" s="80" t="s">
        <v>136</v>
      </c>
      <c r="CC42" s="80">
        <v>0</v>
      </c>
      <c r="CD42" s="27">
        <v>9.7812949176000004</v>
      </c>
      <c r="CE42" s="27">
        <v>1.10019781E-2</v>
      </c>
      <c r="CF42" s="27">
        <v>12.966367569000001</v>
      </c>
      <c r="CG42" s="27">
        <v>2.9686342500000001E-2</v>
      </c>
      <c r="CH42" s="80" t="s">
        <v>136</v>
      </c>
      <c r="CI42" s="80">
        <v>0</v>
      </c>
      <c r="CJ42" s="80" t="s">
        <v>136</v>
      </c>
      <c r="CK42" s="80">
        <v>0</v>
      </c>
      <c r="CL42" s="80" t="s">
        <v>136</v>
      </c>
      <c r="CM42" s="80">
        <v>0</v>
      </c>
      <c r="CN42" s="80" t="s">
        <v>136</v>
      </c>
      <c r="CO42" s="80">
        <v>0</v>
      </c>
      <c r="CP42" s="27">
        <v>0.1138624097</v>
      </c>
      <c r="CQ42" s="27">
        <v>1.4292597E-3</v>
      </c>
      <c r="CR42" s="27">
        <v>0.2785620043</v>
      </c>
      <c r="CS42" s="27">
        <v>2.8354184999999999E-3</v>
      </c>
      <c r="CT42" s="27">
        <v>2.4852107854000001</v>
      </c>
      <c r="CU42" s="27">
        <v>2.9594069399999999E-2</v>
      </c>
      <c r="CV42" s="27">
        <v>29.99801699</v>
      </c>
      <c r="CW42" s="27">
        <v>0.71896462279999995</v>
      </c>
      <c r="CX42" s="80" t="s">
        <v>136</v>
      </c>
      <c r="CY42" s="80">
        <v>0</v>
      </c>
      <c r="CZ42" s="80" t="s">
        <v>136</v>
      </c>
      <c r="DA42" s="80">
        <v>0</v>
      </c>
      <c r="DB42" s="27">
        <v>19.652594477000001</v>
      </c>
      <c r="DC42" s="27">
        <v>0.3637783879</v>
      </c>
      <c r="DD42" s="27">
        <v>45.269782192000001</v>
      </c>
      <c r="DE42" s="27">
        <v>1.8528912773999999</v>
      </c>
      <c r="DF42" s="27">
        <v>16.620854545</v>
      </c>
      <c r="DG42" s="27">
        <v>0.53249727209999997</v>
      </c>
      <c r="DH42" s="27">
        <v>120.22982936</v>
      </c>
      <c r="DI42" s="27">
        <v>1.0862615141</v>
      </c>
      <c r="DJ42" s="95">
        <v>1.8290009E-3</v>
      </c>
      <c r="DK42" s="96">
        <v>3.1605647000000001E-3</v>
      </c>
      <c r="DL42" s="96">
        <v>3.4962234999999999E-3</v>
      </c>
      <c r="DM42" s="96">
        <v>3.5532999000000001E-3</v>
      </c>
      <c r="DN42" s="96">
        <v>3.5637065E-3</v>
      </c>
      <c r="DO42" s="96">
        <v>3.5699492999999999E-3</v>
      </c>
      <c r="DP42" s="96">
        <v>3.5726960999999998E-3</v>
      </c>
      <c r="DQ42" s="96">
        <v>3.5743165999999999E-3</v>
      </c>
      <c r="DR42" s="96">
        <v>3.5757534999999998E-3</v>
      </c>
      <c r="DS42" s="97">
        <v>3.5771904000000002E-3</v>
      </c>
      <c r="DT42" s="93">
        <v>79.267283316000004</v>
      </c>
      <c r="DU42" s="80">
        <v>0.55598472799999998</v>
      </c>
      <c r="DV42" s="80">
        <v>39.116038664999998</v>
      </c>
      <c r="DW42" s="80">
        <v>0.28523529240000001</v>
      </c>
      <c r="DX42" s="80">
        <v>19.125710022</v>
      </c>
      <c r="DY42" s="80">
        <v>0.14494976270000001</v>
      </c>
      <c r="DZ42" s="80">
        <v>9.3616986576999999</v>
      </c>
      <c r="EA42" s="80">
        <v>7.4401913799999997E-2</v>
      </c>
      <c r="EB42" s="80">
        <v>4.6961056619999999</v>
      </c>
      <c r="EC42" s="80">
        <v>3.9784435899999998E-2</v>
      </c>
      <c r="ED42" s="80">
        <v>2.4468492109</v>
      </c>
      <c r="EE42" s="80">
        <v>2.2594621700000001E-2</v>
      </c>
      <c r="EF42" s="80">
        <v>1.3348536129999999</v>
      </c>
      <c r="EG42" s="80">
        <v>1.37907099E-2</v>
      </c>
      <c r="EH42" s="80">
        <v>0.77443702969999995</v>
      </c>
      <c r="EI42" s="80">
        <v>9.1485400999999997E-3</v>
      </c>
      <c r="EJ42" s="80">
        <v>0.47811768269999999</v>
      </c>
      <c r="EK42" s="80">
        <v>6.5311465000000004E-3</v>
      </c>
      <c r="EL42" s="80">
        <v>0.31221669899999999</v>
      </c>
      <c r="EM42" s="94">
        <v>4.9501181999999999E-3</v>
      </c>
      <c r="EN42" s="80"/>
      <c r="EO42" s="80"/>
      <c r="EP42" s="80"/>
      <c r="EQ42" s="80"/>
      <c r="ER42" s="80"/>
      <c r="ES42" s="80"/>
      <c r="ET42" s="80"/>
      <c r="EU42" s="80"/>
      <c r="EV42" s="80"/>
      <c r="EW42" s="94"/>
    </row>
    <row r="43" spans="1:153" x14ac:dyDescent="0.2">
      <c r="A43" s="79">
        <v>3800</v>
      </c>
      <c r="B43" s="27">
        <v>22217</v>
      </c>
      <c r="C43" s="79">
        <v>1947.6955439000001</v>
      </c>
      <c r="D43" s="27">
        <v>3749.8355793000001</v>
      </c>
      <c r="E43" s="27">
        <v>72.145916903</v>
      </c>
      <c r="F43" s="27">
        <v>7.9131630999999994E-2</v>
      </c>
      <c r="G43" s="79">
        <v>3.6870969895000001</v>
      </c>
      <c r="H43" s="27">
        <v>1.9512462000000001E-3</v>
      </c>
      <c r="I43" s="27">
        <v>158.01636830999999</v>
      </c>
      <c r="J43" s="27">
        <v>1.0529126443000001</v>
      </c>
      <c r="K43" s="27">
        <f t="shared" si="4"/>
        <v>150.07547792823098</v>
      </c>
      <c r="L43" s="27">
        <v>84.062925688999997</v>
      </c>
      <c r="M43" s="27">
        <v>0.52383223430000003</v>
      </c>
      <c r="N43" s="27">
        <v>21.525041001000002</v>
      </c>
      <c r="O43" s="27">
        <v>0.1746408538</v>
      </c>
      <c r="P43" s="80" t="s">
        <v>136</v>
      </c>
      <c r="Q43" s="80">
        <v>0</v>
      </c>
      <c r="R43" s="27">
        <v>23.850054443000001</v>
      </c>
      <c r="S43" s="27">
        <v>4.2349071100000003E-2</v>
      </c>
      <c r="T43" s="80" t="s">
        <v>136</v>
      </c>
      <c r="U43" s="80">
        <v>0</v>
      </c>
      <c r="V43" s="80" t="s">
        <v>136</v>
      </c>
      <c r="W43" s="80">
        <v>0</v>
      </c>
      <c r="X43" s="27">
        <v>0.4070030496</v>
      </c>
      <c r="Y43" s="27">
        <v>4.4056147000000002E-3</v>
      </c>
      <c r="Z43" s="27">
        <v>33.474587861000003</v>
      </c>
      <c r="AA43" s="27">
        <v>0.76901403059999995</v>
      </c>
      <c r="AB43" s="80" t="s">
        <v>136</v>
      </c>
      <c r="AC43" s="80">
        <v>0</v>
      </c>
      <c r="AD43" s="27">
        <v>5.3956190000000002E-4</v>
      </c>
      <c r="AE43" s="27">
        <v>2.8346173999999999E-6</v>
      </c>
      <c r="AF43" s="80" t="s">
        <v>136</v>
      </c>
      <c r="AG43" s="80">
        <v>0</v>
      </c>
      <c r="AH43" s="80" t="s">
        <v>136</v>
      </c>
      <c r="AI43" s="80">
        <v>0</v>
      </c>
      <c r="AJ43" s="27">
        <f t="shared" si="5"/>
        <v>5.3956190000000002E-4</v>
      </c>
      <c r="AK43" s="27">
        <f t="shared" si="6"/>
        <v>2.8346173999999999E-6</v>
      </c>
      <c r="AL43" s="27">
        <v>111.02075769</v>
      </c>
      <c r="AM43" s="27">
        <v>1.5440464860000001</v>
      </c>
      <c r="AN43" s="80" t="s">
        <v>136</v>
      </c>
      <c r="AO43" s="80">
        <v>0</v>
      </c>
      <c r="AP43" s="80" t="s">
        <v>136</v>
      </c>
      <c r="AQ43" s="80">
        <v>0</v>
      </c>
      <c r="AR43" s="80" t="s">
        <v>136</v>
      </c>
      <c r="AS43" s="80">
        <v>0</v>
      </c>
      <c r="AT43" s="27">
        <v>66.069586783000005</v>
      </c>
      <c r="AU43" s="27">
        <v>2.2451531418999999</v>
      </c>
      <c r="AV43" s="27">
        <v>55.272750406999997</v>
      </c>
      <c r="AW43" s="27">
        <v>0.43988951809999999</v>
      </c>
      <c r="AX43" s="27">
        <v>25.262477184000002</v>
      </c>
      <c r="AY43" s="27">
        <v>0.26895191060000001</v>
      </c>
      <c r="AZ43" s="27">
        <v>8.9392042225000008</v>
      </c>
      <c r="BA43" s="27">
        <v>7.8769737199999995E-2</v>
      </c>
      <c r="BB43" s="80">
        <f t="shared" si="7"/>
        <v>21.071069000499996</v>
      </c>
      <c r="BC43" s="80">
        <f t="shared" si="8"/>
        <v>9.2167870299999954E-2</v>
      </c>
      <c r="BD43" s="27">
        <v>0</v>
      </c>
      <c r="BE43" s="80">
        <v>0</v>
      </c>
      <c r="BF43" s="27">
        <v>140.22985918000001</v>
      </c>
      <c r="BG43" s="27">
        <v>1.6444709211999999</v>
      </c>
      <c r="BH43" s="27">
        <v>3.8232141000000002E-3</v>
      </c>
      <c r="BI43" s="27">
        <v>4.5055055000000004E-6</v>
      </c>
      <c r="BJ43" s="27">
        <v>120.62219344</v>
      </c>
      <c r="BK43" s="27">
        <v>3.9375274217</v>
      </c>
      <c r="BL43" s="27">
        <v>160.83041302000001</v>
      </c>
      <c r="BM43" s="27">
        <v>1.1517551492</v>
      </c>
      <c r="BN43" s="27">
        <v>36.768420198999998</v>
      </c>
      <c r="BO43" s="27">
        <v>0.176461654</v>
      </c>
      <c r="BP43" s="27">
        <v>0.15947996280000001</v>
      </c>
      <c r="BQ43" s="27">
        <v>8.9136110000000005E-4</v>
      </c>
      <c r="BR43" s="27">
        <v>0</v>
      </c>
      <c r="BS43" s="92">
        <v>0</v>
      </c>
      <c r="BT43" s="80" t="s">
        <v>136</v>
      </c>
      <c r="BU43" s="80">
        <v>0</v>
      </c>
      <c r="BV43" s="27">
        <v>0.44386029310000003</v>
      </c>
      <c r="BW43" s="27">
        <v>6.3095653999999998E-3</v>
      </c>
      <c r="BX43" s="27">
        <v>21.081180708000002</v>
      </c>
      <c r="BY43" s="27">
        <v>0.1683312884</v>
      </c>
      <c r="BZ43" s="80" t="s">
        <v>136</v>
      </c>
      <c r="CA43" s="80">
        <v>0</v>
      </c>
      <c r="CB43" s="80" t="s">
        <v>136</v>
      </c>
      <c r="CC43" s="80">
        <v>0</v>
      </c>
      <c r="CD43" s="27">
        <v>10.364523547999999</v>
      </c>
      <c r="CE43" s="27">
        <v>1.15277782E-2</v>
      </c>
      <c r="CF43" s="27">
        <v>13.485530894</v>
      </c>
      <c r="CG43" s="27">
        <v>3.0821293E-2</v>
      </c>
      <c r="CH43" s="80" t="s">
        <v>136</v>
      </c>
      <c r="CI43" s="80">
        <v>0</v>
      </c>
      <c r="CJ43" s="80" t="s">
        <v>136</v>
      </c>
      <c r="CK43" s="80">
        <v>0</v>
      </c>
      <c r="CL43" s="80" t="s">
        <v>136</v>
      </c>
      <c r="CM43" s="80">
        <v>0</v>
      </c>
      <c r="CN43" s="80" t="s">
        <v>136</v>
      </c>
      <c r="CO43" s="80">
        <v>0</v>
      </c>
      <c r="CP43" s="27">
        <v>0.1192969918</v>
      </c>
      <c r="CQ43" s="27">
        <v>1.4812267E-3</v>
      </c>
      <c r="CR43" s="27">
        <v>0.28770605780000003</v>
      </c>
      <c r="CS43" s="27">
        <v>2.924388E-3</v>
      </c>
      <c r="CT43" s="27">
        <v>2.6002587815</v>
      </c>
      <c r="CU43" s="27">
        <v>3.0833458000000001E-2</v>
      </c>
      <c r="CV43" s="27">
        <v>30.874329078999999</v>
      </c>
      <c r="CW43" s="27">
        <v>0.73818057270000004</v>
      </c>
      <c r="CX43" s="80" t="s">
        <v>136</v>
      </c>
      <c r="CY43" s="80">
        <v>0</v>
      </c>
      <c r="CZ43" s="80" t="s">
        <v>136</v>
      </c>
      <c r="DA43" s="80">
        <v>0</v>
      </c>
      <c r="DB43" s="27">
        <v>20.079108779999999</v>
      </c>
      <c r="DC43" s="27">
        <v>0.37011487830000001</v>
      </c>
      <c r="DD43" s="27">
        <v>45.990478003</v>
      </c>
      <c r="DE43" s="27">
        <v>1.8750382636</v>
      </c>
      <c r="DF43" s="27">
        <v>17.492317237999998</v>
      </c>
      <c r="DG43" s="27">
        <v>0.54339497989999996</v>
      </c>
      <c r="DH43" s="27">
        <v>122.73754194</v>
      </c>
      <c r="DI43" s="27">
        <v>1.1010759413</v>
      </c>
      <c r="DJ43" s="95">
        <v>1.9373989E-3</v>
      </c>
      <c r="DK43" s="96">
        <v>3.3513723000000001E-3</v>
      </c>
      <c r="DL43" s="96">
        <v>3.7066259000000002E-3</v>
      </c>
      <c r="DM43" s="96">
        <v>3.7687327000000001E-3</v>
      </c>
      <c r="DN43" s="96">
        <v>3.7799560000000001E-3</v>
      </c>
      <c r="DO43" s="96">
        <v>3.7870541999999998E-3</v>
      </c>
      <c r="DP43" s="96">
        <v>3.7903479999999998E-3</v>
      </c>
      <c r="DQ43" s="96">
        <v>3.7925213999999998E-3</v>
      </c>
      <c r="DR43" s="96">
        <v>3.7945126000000001E-3</v>
      </c>
      <c r="DS43" s="97">
        <v>3.7965039E-3</v>
      </c>
      <c r="DT43" s="93">
        <v>80.356689849000006</v>
      </c>
      <c r="DU43" s="80">
        <v>0.56334320579999997</v>
      </c>
      <c r="DV43" s="80">
        <v>39.855485502999997</v>
      </c>
      <c r="DW43" s="80">
        <v>0.29038957859999998</v>
      </c>
      <c r="DX43" s="80">
        <v>19.595133581999999</v>
      </c>
      <c r="DY43" s="80">
        <v>0.1483284688</v>
      </c>
      <c r="DZ43" s="80">
        <v>9.6477414578000005</v>
      </c>
      <c r="EA43" s="80">
        <v>7.6548606000000005E-2</v>
      </c>
      <c r="EB43" s="80">
        <v>4.8666275675000001</v>
      </c>
      <c r="EC43" s="80">
        <v>4.1133813399999997E-2</v>
      </c>
      <c r="ED43" s="80">
        <v>2.5507737234999999</v>
      </c>
      <c r="EE43" s="80">
        <v>2.3471068500000001E-2</v>
      </c>
      <c r="EF43" s="80">
        <v>1.3987359908999999</v>
      </c>
      <c r="EG43" s="80">
        <v>1.43753982E-2</v>
      </c>
      <c r="EH43" s="80">
        <v>0.81603610719999997</v>
      </c>
      <c r="EI43" s="80">
        <v>9.5624817999999997E-3</v>
      </c>
      <c r="EJ43" s="80">
        <v>0.50605087130000004</v>
      </c>
      <c r="EK43" s="80">
        <v>6.8373037000000001E-3</v>
      </c>
      <c r="EL43" s="80">
        <v>0.33183193979999998</v>
      </c>
      <c r="EM43" s="94">
        <v>5.1871395000000001E-3</v>
      </c>
      <c r="EN43" s="80"/>
      <c r="EO43" s="80"/>
      <c r="EP43" s="80"/>
      <c r="EQ43" s="80"/>
      <c r="ER43" s="80"/>
      <c r="ES43" s="80"/>
      <c r="ET43" s="80"/>
      <c r="EU43" s="80"/>
      <c r="EV43" s="80"/>
      <c r="EW43" s="94"/>
    </row>
    <row r="44" spans="1:153" x14ac:dyDescent="0.2">
      <c r="A44" s="79">
        <v>3900</v>
      </c>
      <c r="B44" s="27">
        <v>21429</v>
      </c>
      <c r="C44" s="79">
        <v>1979.7213892</v>
      </c>
      <c r="D44" s="27">
        <v>3849.6253585999998</v>
      </c>
      <c r="E44" s="27">
        <v>74.117317686999996</v>
      </c>
      <c r="F44" s="27">
        <v>8.0416666400000003E-2</v>
      </c>
      <c r="G44" s="79">
        <v>3.9271012511999999</v>
      </c>
      <c r="H44" s="27">
        <v>2.0535265000000001E-3</v>
      </c>
      <c r="I44" s="27">
        <v>159.37343898</v>
      </c>
      <c r="J44" s="27">
        <v>1.0620666209</v>
      </c>
      <c r="K44" s="27">
        <f t="shared" si="4"/>
        <v>150.05973810281904</v>
      </c>
      <c r="L44" s="27">
        <v>85.251393124000003</v>
      </c>
      <c r="M44" s="27">
        <v>0.53131788739999997</v>
      </c>
      <c r="N44" s="27">
        <v>22.032442091</v>
      </c>
      <c r="O44" s="27">
        <v>0.17862284580000001</v>
      </c>
      <c r="P44" s="80" t="s">
        <v>136</v>
      </c>
      <c r="Q44" s="80">
        <v>0</v>
      </c>
      <c r="R44" s="27">
        <v>24.965346254</v>
      </c>
      <c r="S44" s="27">
        <v>4.4030680799999999E-2</v>
      </c>
      <c r="T44" s="80" t="s">
        <v>136</v>
      </c>
      <c r="U44" s="80">
        <v>0</v>
      </c>
      <c r="V44" s="80" t="s">
        <v>136</v>
      </c>
      <c r="W44" s="80">
        <v>0</v>
      </c>
      <c r="X44" s="27">
        <v>0.42129346420000002</v>
      </c>
      <c r="Y44" s="27">
        <v>4.5371633999999996E-3</v>
      </c>
      <c r="Z44" s="27">
        <v>34.415744773</v>
      </c>
      <c r="AA44" s="27">
        <v>0.78867520120000001</v>
      </c>
      <c r="AB44" s="80" t="s">
        <v>136</v>
      </c>
      <c r="AC44" s="80">
        <v>0</v>
      </c>
      <c r="AD44" s="27">
        <v>5.9523110000000003E-4</v>
      </c>
      <c r="AE44" s="27">
        <v>2.9798630000000001E-6</v>
      </c>
      <c r="AF44" s="80" t="s">
        <v>136</v>
      </c>
      <c r="AG44" s="80">
        <v>0</v>
      </c>
      <c r="AH44" s="80" t="s">
        <v>136</v>
      </c>
      <c r="AI44" s="80">
        <v>0</v>
      </c>
      <c r="AJ44" s="27">
        <f t="shared" si="5"/>
        <v>5.9523110000000003E-4</v>
      </c>
      <c r="AK44" s="27">
        <f t="shared" si="6"/>
        <v>2.9798630000000001E-6</v>
      </c>
      <c r="AL44" s="27">
        <v>112.75694869</v>
      </c>
      <c r="AM44" s="27">
        <v>1.5589546406000001</v>
      </c>
      <c r="AN44" s="80" t="s">
        <v>136</v>
      </c>
      <c r="AO44" s="80">
        <v>0</v>
      </c>
      <c r="AP44" s="80" t="s">
        <v>136</v>
      </c>
      <c r="AQ44" s="80">
        <v>0</v>
      </c>
      <c r="AR44" s="80" t="s">
        <v>136</v>
      </c>
      <c r="AS44" s="80">
        <v>0</v>
      </c>
      <c r="AT44" s="27">
        <v>67.182198984999999</v>
      </c>
      <c r="AU44" s="27">
        <v>2.2734881707999999</v>
      </c>
      <c r="AV44" s="27">
        <v>56.538891516</v>
      </c>
      <c r="AW44" s="27">
        <v>0.44720695989999998</v>
      </c>
      <c r="AX44" s="27">
        <v>25.808501489000001</v>
      </c>
      <c r="AY44" s="27">
        <v>0.27341147510000002</v>
      </c>
      <c r="AZ44" s="27">
        <v>9.1019906585000001</v>
      </c>
      <c r="BA44" s="27">
        <v>7.9805453999999998E-2</v>
      </c>
      <c r="BB44" s="80">
        <f t="shared" si="7"/>
        <v>21.628399368499998</v>
      </c>
      <c r="BC44" s="80">
        <f t="shared" si="8"/>
        <v>9.3990030799999957E-2</v>
      </c>
      <c r="BD44" s="27">
        <v>0</v>
      </c>
      <c r="BE44" s="80">
        <v>0</v>
      </c>
      <c r="BF44" s="27">
        <v>143.63116493999999</v>
      </c>
      <c r="BG44" s="27">
        <v>1.6701947594</v>
      </c>
      <c r="BH44" s="27">
        <v>4.0362968999999999E-3</v>
      </c>
      <c r="BI44" s="27">
        <v>4.4421708000000004E-6</v>
      </c>
      <c r="BJ44" s="27">
        <v>122.29278861</v>
      </c>
      <c r="BK44" s="27">
        <v>3.9751292725999998</v>
      </c>
      <c r="BL44" s="27">
        <v>165.99125298999999</v>
      </c>
      <c r="BM44" s="27">
        <v>1.1853517107</v>
      </c>
      <c r="BN44" s="27">
        <v>37.706073107999998</v>
      </c>
      <c r="BO44" s="27">
        <v>0.1799890143</v>
      </c>
      <c r="BP44" s="27">
        <v>0.17448870480000001</v>
      </c>
      <c r="BQ44" s="27">
        <v>9.3009470000000004E-4</v>
      </c>
      <c r="BR44" s="27">
        <v>0</v>
      </c>
      <c r="BS44" s="92">
        <v>0</v>
      </c>
      <c r="BT44" s="80" t="s">
        <v>136</v>
      </c>
      <c r="BU44" s="80">
        <v>0</v>
      </c>
      <c r="BV44" s="27">
        <v>0.4528769668</v>
      </c>
      <c r="BW44" s="27">
        <v>6.4390823999999998E-3</v>
      </c>
      <c r="BX44" s="27">
        <v>21.579565123999998</v>
      </c>
      <c r="BY44" s="27">
        <v>0.1721837634</v>
      </c>
      <c r="BZ44" s="80" t="s">
        <v>136</v>
      </c>
      <c r="CA44" s="80">
        <v>0</v>
      </c>
      <c r="CB44" s="80" t="s">
        <v>136</v>
      </c>
      <c r="CC44" s="80">
        <v>0</v>
      </c>
      <c r="CD44" s="27">
        <v>10.953259015</v>
      </c>
      <c r="CE44" s="27">
        <v>1.2050962199999999E-2</v>
      </c>
      <c r="CF44" s="27">
        <v>14.01208724</v>
      </c>
      <c r="CG44" s="27">
        <v>3.1979718599999998E-2</v>
      </c>
      <c r="CH44" s="80" t="s">
        <v>136</v>
      </c>
      <c r="CI44" s="80">
        <v>0</v>
      </c>
      <c r="CJ44" s="80" t="s">
        <v>136</v>
      </c>
      <c r="CK44" s="80">
        <v>0</v>
      </c>
      <c r="CL44" s="80" t="s">
        <v>136</v>
      </c>
      <c r="CM44" s="80">
        <v>0</v>
      </c>
      <c r="CN44" s="80" t="s">
        <v>136</v>
      </c>
      <c r="CO44" s="80">
        <v>0</v>
      </c>
      <c r="CP44" s="27">
        <v>0.124544816</v>
      </c>
      <c r="CQ44" s="27">
        <v>1.5316399999999999E-3</v>
      </c>
      <c r="CR44" s="27">
        <v>0.29674864820000002</v>
      </c>
      <c r="CS44" s="27">
        <v>3.0055235000000001E-3</v>
      </c>
      <c r="CT44" s="27">
        <v>2.707464162</v>
      </c>
      <c r="CU44" s="27">
        <v>3.1946175200000003E-2</v>
      </c>
      <c r="CV44" s="27">
        <v>31.708280610999999</v>
      </c>
      <c r="CW44" s="27">
        <v>0.75672902590000002</v>
      </c>
      <c r="CX44" s="80" t="s">
        <v>136</v>
      </c>
      <c r="CY44" s="80">
        <v>0</v>
      </c>
      <c r="CZ44" s="80" t="s">
        <v>136</v>
      </c>
      <c r="DA44" s="80">
        <v>0</v>
      </c>
      <c r="DB44" s="27">
        <v>20.497698685</v>
      </c>
      <c r="DC44" s="27">
        <v>0.37660248210000002</v>
      </c>
      <c r="DD44" s="27">
        <v>46.684500300000003</v>
      </c>
      <c r="DE44" s="27">
        <v>1.8968856886000001</v>
      </c>
      <c r="DF44" s="27">
        <v>18.399770938</v>
      </c>
      <c r="DG44" s="27">
        <v>0.55435014220000001</v>
      </c>
      <c r="DH44" s="27">
        <v>125.23139399999999</v>
      </c>
      <c r="DI44" s="27">
        <v>1.1158446172000001</v>
      </c>
      <c r="DJ44" s="95">
        <v>2.0383215999999998E-3</v>
      </c>
      <c r="DK44" s="96">
        <v>3.5323030000000001E-3</v>
      </c>
      <c r="DL44" s="96">
        <v>3.9078126000000003E-3</v>
      </c>
      <c r="DM44" s="96">
        <v>3.9755461000000004E-3</v>
      </c>
      <c r="DN44" s="96">
        <v>3.9883534999999998E-3</v>
      </c>
      <c r="DO44" s="96">
        <v>3.9961783999999997E-3</v>
      </c>
      <c r="DP44" s="96">
        <v>4.0002229000000002E-3</v>
      </c>
      <c r="DQ44" s="96">
        <v>4.0031524000000004E-3</v>
      </c>
      <c r="DR44" s="96">
        <v>4.0057360000000002E-3</v>
      </c>
      <c r="DS44" s="97">
        <v>4.0081387000000003E-3</v>
      </c>
      <c r="DT44" s="93">
        <v>81.409327211999994</v>
      </c>
      <c r="DU44" s="80">
        <v>0.5705870032</v>
      </c>
      <c r="DV44" s="80">
        <v>40.579407903000003</v>
      </c>
      <c r="DW44" s="80">
        <v>0.29553451939999997</v>
      </c>
      <c r="DX44" s="80">
        <v>20.057135262999999</v>
      </c>
      <c r="DY44" s="80">
        <v>0.15174348479999999</v>
      </c>
      <c r="DZ44" s="80">
        <v>9.9299927077000003</v>
      </c>
      <c r="EA44" s="80">
        <v>7.87463682E-2</v>
      </c>
      <c r="EB44" s="80">
        <v>5.0395597847999998</v>
      </c>
      <c r="EC44" s="80">
        <v>4.2560510099999997E-2</v>
      </c>
      <c r="ED44" s="80">
        <v>2.6598172029999998</v>
      </c>
      <c r="EE44" s="80">
        <v>2.44332058E-2</v>
      </c>
      <c r="EF44" s="80">
        <v>1.4698555114</v>
      </c>
      <c r="EG44" s="80">
        <v>1.50560125E-2</v>
      </c>
      <c r="EH44" s="80">
        <v>0.86319354599999998</v>
      </c>
      <c r="EI44" s="80">
        <v>1.0059169499999999E-2</v>
      </c>
      <c r="EJ44" s="80">
        <v>0.537657312</v>
      </c>
      <c r="EK44" s="80">
        <v>7.2110537000000001E-3</v>
      </c>
      <c r="EL44" s="80">
        <v>0.35357810560000003</v>
      </c>
      <c r="EM44" s="94">
        <v>5.4774884000000001E-3</v>
      </c>
      <c r="EN44" s="80"/>
      <c r="EO44" s="80"/>
      <c r="EP44" s="80"/>
      <c r="EQ44" s="80"/>
      <c r="ER44" s="80"/>
      <c r="ES44" s="80"/>
      <c r="ET44" s="80"/>
      <c r="EU44" s="80"/>
      <c r="EV44" s="80"/>
      <c r="EW44" s="94"/>
    </row>
    <row r="45" spans="1:153" x14ac:dyDescent="0.2">
      <c r="A45" s="79">
        <v>4000</v>
      </c>
      <c r="B45" s="27">
        <v>20805</v>
      </c>
      <c r="C45" s="79">
        <v>2011.1966014</v>
      </c>
      <c r="D45" s="27">
        <v>3949.8122156999998</v>
      </c>
      <c r="E45" s="27">
        <v>76.073584552</v>
      </c>
      <c r="F45" s="27">
        <v>8.1640562099999994E-2</v>
      </c>
      <c r="G45" s="79">
        <v>4.1836316317</v>
      </c>
      <c r="H45" s="27">
        <v>2.1587943E-3</v>
      </c>
      <c r="I45" s="27">
        <v>160.65796119000001</v>
      </c>
      <c r="J45" s="27">
        <v>1.0705906522999999</v>
      </c>
      <c r="K45" s="27">
        <f t="shared" si="4"/>
        <v>150.06478979136517</v>
      </c>
      <c r="L45" s="27">
        <v>86.425086195000006</v>
      </c>
      <c r="M45" s="27">
        <v>0.53861525249999997</v>
      </c>
      <c r="N45" s="27">
        <v>22.606530840000001</v>
      </c>
      <c r="O45" s="27">
        <v>0.18313309</v>
      </c>
      <c r="P45" s="80" t="s">
        <v>136</v>
      </c>
      <c r="Q45" s="80">
        <v>0</v>
      </c>
      <c r="R45" s="27">
        <v>26.062409375000001</v>
      </c>
      <c r="S45" s="27">
        <v>4.56654227E-2</v>
      </c>
      <c r="T45" s="80" t="s">
        <v>136</v>
      </c>
      <c r="U45" s="80">
        <v>0</v>
      </c>
      <c r="V45" s="80" t="s">
        <v>136</v>
      </c>
      <c r="W45" s="80">
        <v>0</v>
      </c>
      <c r="X45" s="27">
        <v>0.44281087120000001</v>
      </c>
      <c r="Y45" s="27">
        <v>4.7607383000000001E-3</v>
      </c>
      <c r="Z45" s="27">
        <v>35.412282048999998</v>
      </c>
      <c r="AA45" s="27">
        <v>0.80968633779999999</v>
      </c>
      <c r="AB45" s="80" t="s">
        <v>136</v>
      </c>
      <c r="AC45" s="80">
        <v>0</v>
      </c>
      <c r="AD45" s="27">
        <v>5.913836E-4</v>
      </c>
      <c r="AE45" s="27">
        <v>2.9604371999999999E-6</v>
      </c>
      <c r="AF45" s="80" t="s">
        <v>136</v>
      </c>
      <c r="AG45" s="80">
        <v>0</v>
      </c>
      <c r="AH45" s="80" t="s">
        <v>136</v>
      </c>
      <c r="AI45" s="80">
        <v>0</v>
      </c>
      <c r="AJ45" s="27">
        <f t="shared" si="5"/>
        <v>5.913836E-4</v>
      </c>
      <c r="AK45" s="27">
        <f t="shared" si="6"/>
        <v>2.9604371999999999E-6</v>
      </c>
      <c r="AL45" s="27">
        <v>114.41698787999999</v>
      </c>
      <c r="AM45" s="27">
        <v>1.5732459099</v>
      </c>
      <c r="AN45" s="80" t="s">
        <v>136</v>
      </c>
      <c r="AO45" s="80">
        <v>0</v>
      </c>
      <c r="AP45" s="80" t="s">
        <v>136</v>
      </c>
      <c r="AQ45" s="80">
        <v>0</v>
      </c>
      <c r="AR45" s="80" t="s">
        <v>136</v>
      </c>
      <c r="AS45" s="80">
        <v>0</v>
      </c>
      <c r="AT45" s="27">
        <v>68.283470933000004</v>
      </c>
      <c r="AU45" s="27">
        <v>2.3010150900999999</v>
      </c>
      <c r="AV45" s="27">
        <v>57.786799193</v>
      </c>
      <c r="AW45" s="27">
        <v>0.45445621860000002</v>
      </c>
      <c r="AX45" s="27">
        <v>26.357325099000001</v>
      </c>
      <c r="AY45" s="27">
        <v>0.27790603110000001</v>
      </c>
      <c r="AZ45" s="27">
        <v>9.2599901098000004</v>
      </c>
      <c r="BA45" s="27">
        <v>8.0762916000000004E-2</v>
      </c>
      <c r="BB45" s="80">
        <f t="shared" si="7"/>
        <v>22.169483984199999</v>
      </c>
      <c r="BC45" s="80">
        <f t="shared" si="8"/>
        <v>9.5787271499999993E-2</v>
      </c>
      <c r="BD45" s="27">
        <v>0</v>
      </c>
      <c r="BE45" s="80">
        <v>0</v>
      </c>
      <c r="BF45" s="27">
        <v>147.0035914</v>
      </c>
      <c r="BG45" s="27">
        <v>1.6950121136</v>
      </c>
      <c r="BH45" s="27">
        <v>4.2663164000000002E-3</v>
      </c>
      <c r="BI45" s="27">
        <v>4.3808916999999998E-6</v>
      </c>
      <c r="BJ45" s="27">
        <v>123.88034623999999</v>
      </c>
      <c r="BK45" s="27">
        <v>4.0111786028000003</v>
      </c>
      <c r="BL45" s="27">
        <v>171.14839038</v>
      </c>
      <c r="BM45" s="27">
        <v>1.2187962559000001</v>
      </c>
      <c r="BN45" s="27">
        <v>38.659385016999998</v>
      </c>
      <c r="BO45" s="27">
        <v>0.1835077188</v>
      </c>
      <c r="BP45" s="27">
        <v>0.19048181989999999</v>
      </c>
      <c r="BQ45" s="27">
        <v>9.6392699999999995E-4</v>
      </c>
      <c r="BR45" s="27">
        <v>0</v>
      </c>
      <c r="BS45" s="92">
        <v>0</v>
      </c>
      <c r="BT45" s="80" t="s">
        <v>136</v>
      </c>
      <c r="BU45" s="80">
        <v>0</v>
      </c>
      <c r="BV45" s="27">
        <v>0.47635057590000002</v>
      </c>
      <c r="BW45" s="27">
        <v>6.7394448999999997E-3</v>
      </c>
      <c r="BX45" s="27">
        <v>22.130180265</v>
      </c>
      <c r="BY45" s="27">
        <v>0.1763936451</v>
      </c>
      <c r="BZ45" s="80" t="s">
        <v>136</v>
      </c>
      <c r="CA45" s="80">
        <v>0</v>
      </c>
      <c r="CB45" s="80" t="s">
        <v>136</v>
      </c>
      <c r="CC45" s="80">
        <v>0</v>
      </c>
      <c r="CD45" s="27">
        <v>11.56089607</v>
      </c>
      <c r="CE45" s="27">
        <v>1.2591070899999999E-2</v>
      </c>
      <c r="CF45" s="27">
        <v>14.501513306</v>
      </c>
      <c r="CG45" s="27">
        <v>3.3074351699999997E-2</v>
      </c>
      <c r="CH45" s="80" t="s">
        <v>136</v>
      </c>
      <c r="CI45" s="80">
        <v>0</v>
      </c>
      <c r="CJ45" s="80" t="s">
        <v>136</v>
      </c>
      <c r="CK45" s="80">
        <v>0</v>
      </c>
      <c r="CL45" s="80" t="s">
        <v>136</v>
      </c>
      <c r="CM45" s="80">
        <v>0</v>
      </c>
      <c r="CN45" s="80" t="s">
        <v>136</v>
      </c>
      <c r="CO45" s="80">
        <v>0</v>
      </c>
      <c r="CP45" s="27">
        <v>0.13525110309999999</v>
      </c>
      <c r="CQ45" s="27">
        <v>1.6377443999999999E-3</v>
      </c>
      <c r="CR45" s="27">
        <v>0.30755976810000002</v>
      </c>
      <c r="CS45" s="27">
        <v>3.1229939E-3</v>
      </c>
      <c r="CT45" s="27">
        <v>2.8125475927000001</v>
      </c>
      <c r="CU45" s="27">
        <v>3.3028746900000003E-2</v>
      </c>
      <c r="CV45" s="27">
        <v>32.599734456</v>
      </c>
      <c r="CW45" s="27">
        <v>0.77665759089999997</v>
      </c>
      <c r="CX45" s="80" t="s">
        <v>136</v>
      </c>
      <c r="CY45" s="80">
        <v>0</v>
      </c>
      <c r="CZ45" s="80" t="s">
        <v>136</v>
      </c>
      <c r="DA45" s="80">
        <v>0</v>
      </c>
      <c r="DB45" s="27">
        <v>20.893688499</v>
      </c>
      <c r="DC45" s="27">
        <v>0.38263102380000003</v>
      </c>
      <c r="DD45" s="27">
        <v>47.389782433999997</v>
      </c>
      <c r="DE45" s="27">
        <v>1.9183840663</v>
      </c>
      <c r="DF45" s="27">
        <v>19.285988788000001</v>
      </c>
      <c r="DG45" s="27">
        <v>0.56478230230000004</v>
      </c>
      <c r="DH45" s="27">
        <v>127.71760261</v>
      </c>
      <c r="DI45" s="27">
        <v>1.1302298113</v>
      </c>
      <c r="DJ45" s="95">
        <v>2.1418803000000002E-3</v>
      </c>
      <c r="DK45" s="96">
        <v>3.7215948000000002E-3</v>
      </c>
      <c r="DL45" s="96">
        <v>4.1231419000000002E-3</v>
      </c>
      <c r="DM45" s="96">
        <v>4.1992636999999998E-3</v>
      </c>
      <c r="DN45" s="96">
        <v>4.2132089000000003E-3</v>
      </c>
      <c r="DO45" s="96">
        <v>4.2218669999999998E-3</v>
      </c>
      <c r="DP45" s="96">
        <v>4.2264392000000003E-3</v>
      </c>
      <c r="DQ45" s="96">
        <v>4.2297224000000001E-3</v>
      </c>
      <c r="DR45" s="96">
        <v>4.2326619000000003E-3</v>
      </c>
      <c r="DS45" s="97">
        <v>4.2354217999999999E-3</v>
      </c>
      <c r="DT45" s="93">
        <v>82.407301231000005</v>
      </c>
      <c r="DU45" s="80">
        <v>0.57734107450000005</v>
      </c>
      <c r="DV45" s="80">
        <v>41.260297444000003</v>
      </c>
      <c r="DW45" s="80">
        <v>0.30027975159999998</v>
      </c>
      <c r="DX45" s="80">
        <v>20.488659134999999</v>
      </c>
      <c r="DY45" s="80">
        <v>0.1548447959</v>
      </c>
      <c r="DZ45" s="80">
        <v>10.193812146999999</v>
      </c>
      <c r="EA45" s="80">
        <v>8.0710748099999993E-2</v>
      </c>
      <c r="EB45" s="80">
        <v>5.1982369199000003</v>
      </c>
      <c r="EC45" s="80">
        <v>4.37988723E-2</v>
      </c>
      <c r="ED45" s="80">
        <v>2.7551896461999998</v>
      </c>
      <c r="EE45" s="80">
        <v>2.5220497299999999E-2</v>
      </c>
      <c r="EF45" s="80">
        <v>1.5298867091999999</v>
      </c>
      <c r="EG45" s="80">
        <v>1.5586467099999999E-2</v>
      </c>
      <c r="EH45" s="80">
        <v>0.90184331600000001</v>
      </c>
      <c r="EI45" s="80">
        <v>1.04299527E-2</v>
      </c>
      <c r="EJ45" s="80">
        <v>0.56368448120000003</v>
      </c>
      <c r="EK45" s="80">
        <v>7.4855705999999998E-3</v>
      </c>
      <c r="EL45" s="80">
        <v>0.37156709850000003</v>
      </c>
      <c r="EM45" s="94">
        <v>5.6882640000000002E-3</v>
      </c>
      <c r="EN45" s="80"/>
      <c r="EO45" s="80"/>
      <c r="EP45" s="80"/>
      <c r="EQ45" s="80"/>
      <c r="ER45" s="80"/>
      <c r="ES45" s="80"/>
      <c r="ET45" s="80"/>
      <c r="EU45" s="80"/>
      <c r="EV45" s="80"/>
      <c r="EW45" s="94"/>
    </row>
    <row r="46" spans="1:153" x14ac:dyDescent="0.2">
      <c r="A46" s="79">
        <v>4100</v>
      </c>
      <c r="B46" s="27">
        <v>20234</v>
      </c>
      <c r="C46" s="79">
        <v>2042.1592645999999</v>
      </c>
      <c r="D46" s="27">
        <v>4049.8220792000002</v>
      </c>
      <c r="E46" s="27">
        <v>78.044748134000002</v>
      </c>
      <c r="F46" s="27">
        <v>8.2850757900000002E-2</v>
      </c>
      <c r="G46" s="79">
        <v>4.4538059124</v>
      </c>
      <c r="H46" s="27">
        <v>2.2667122999999998E-3</v>
      </c>
      <c r="I46" s="27">
        <v>161.87596578</v>
      </c>
      <c r="J46" s="27">
        <v>1.0786449135</v>
      </c>
      <c r="K46" s="27">
        <f t="shared" si="4"/>
        <v>150.07345211942169</v>
      </c>
      <c r="L46" s="27">
        <v>87.645606228000005</v>
      </c>
      <c r="M46" s="27">
        <v>0.54631771740000001</v>
      </c>
      <c r="N46" s="27">
        <v>23.105235099000001</v>
      </c>
      <c r="O46" s="27">
        <v>0.1868476664</v>
      </c>
      <c r="P46" s="80" t="s">
        <v>136</v>
      </c>
      <c r="Q46" s="80">
        <v>0</v>
      </c>
      <c r="R46" s="27">
        <v>27.158695776999998</v>
      </c>
      <c r="S46" s="27">
        <v>4.7283698499999999E-2</v>
      </c>
      <c r="T46" s="80" t="s">
        <v>136</v>
      </c>
      <c r="U46" s="80">
        <v>0</v>
      </c>
      <c r="V46" s="80" t="s">
        <v>136</v>
      </c>
      <c r="W46" s="80">
        <v>0</v>
      </c>
      <c r="X46" s="27">
        <v>0.46534109569999998</v>
      </c>
      <c r="Y46" s="27">
        <v>4.9881218999999997E-3</v>
      </c>
      <c r="Z46" s="27">
        <v>36.366587144999997</v>
      </c>
      <c r="AA46" s="27">
        <v>0.82937687739999999</v>
      </c>
      <c r="AB46" s="80" t="s">
        <v>136</v>
      </c>
      <c r="AC46" s="80">
        <v>0</v>
      </c>
      <c r="AD46" s="27">
        <v>6.1522349999999998E-4</v>
      </c>
      <c r="AE46" s="27">
        <v>3.1199185000000002E-6</v>
      </c>
      <c r="AF46" s="80" t="s">
        <v>136</v>
      </c>
      <c r="AG46" s="80">
        <v>0</v>
      </c>
      <c r="AH46" s="80" t="s">
        <v>136</v>
      </c>
      <c r="AI46" s="80">
        <v>0</v>
      </c>
      <c r="AJ46" s="27">
        <f t="shared" si="5"/>
        <v>6.1522349999999998E-4</v>
      </c>
      <c r="AK46" s="27">
        <f t="shared" si="6"/>
        <v>3.1199185000000002E-6</v>
      </c>
      <c r="AL46" s="27">
        <v>116.12791525999999</v>
      </c>
      <c r="AM46" s="27">
        <v>1.5869666308000001</v>
      </c>
      <c r="AN46" s="80" t="s">
        <v>136</v>
      </c>
      <c r="AO46" s="80">
        <v>0</v>
      </c>
      <c r="AP46" s="80" t="s">
        <v>136</v>
      </c>
      <c r="AQ46" s="80">
        <v>0</v>
      </c>
      <c r="AR46" s="80" t="s">
        <v>136</v>
      </c>
      <c r="AS46" s="80">
        <v>0</v>
      </c>
      <c r="AT46" s="27">
        <v>69.408865728999999</v>
      </c>
      <c r="AU46" s="27">
        <v>2.3282036369000001</v>
      </c>
      <c r="AV46" s="27">
        <v>59.021119659</v>
      </c>
      <c r="AW46" s="27">
        <v>0.46136244409999999</v>
      </c>
      <c r="AX46" s="27">
        <v>26.910373139000001</v>
      </c>
      <c r="AY46" s="27">
        <v>0.28219035949999999</v>
      </c>
      <c r="AZ46" s="27">
        <v>9.4078773618000007</v>
      </c>
      <c r="BA46" s="27">
        <v>8.1698474199999996E-2</v>
      </c>
      <c r="BB46" s="80">
        <f t="shared" si="7"/>
        <v>22.702869158199995</v>
      </c>
      <c r="BC46" s="80">
        <f t="shared" si="8"/>
        <v>9.7473610400000021E-2</v>
      </c>
      <c r="BD46" s="27">
        <v>0</v>
      </c>
      <c r="BE46" s="80">
        <v>0</v>
      </c>
      <c r="BF46" s="27">
        <v>150.48047525000001</v>
      </c>
      <c r="BG46" s="27">
        <v>1.7198369884</v>
      </c>
      <c r="BH46" s="27">
        <v>4.4918548000000003E-3</v>
      </c>
      <c r="BI46" s="27">
        <v>4.3231352E-6</v>
      </c>
      <c r="BJ46" s="27">
        <v>125.40907396999999</v>
      </c>
      <c r="BK46" s="27">
        <v>4.0459127029999999</v>
      </c>
      <c r="BL46" s="27">
        <v>176.04746165</v>
      </c>
      <c r="BM46" s="27">
        <v>1.2505338318000001</v>
      </c>
      <c r="BN46" s="27">
        <v>39.633765304999997</v>
      </c>
      <c r="BO46" s="27">
        <v>0.187004748</v>
      </c>
      <c r="BP46" s="27">
        <v>0.20820764280000001</v>
      </c>
      <c r="BQ46" s="27">
        <v>9.972608999999999E-4</v>
      </c>
      <c r="BR46" s="27">
        <v>0</v>
      </c>
      <c r="BS46" s="92">
        <v>0</v>
      </c>
      <c r="BT46" s="80" t="s">
        <v>136</v>
      </c>
      <c r="BU46" s="80">
        <v>0</v>
      </c>
      <c r="BV46" s="27">
        <v>0.48846404440000002</v>
      </c>
      <c r="BW46" s="27">
        <v>6.8441027000000002E-3</v>
      </c>
      <c r="BX46" s="27">
        <v>22.616771055000001</v>
      </c>
      <c r="BY46" s="27">
        <v>0.18000356379999999</v>
      </c>
      <c r="BZ46" s="80" t="s">
        <v>136</v>
      </c>
      <c r="CA46" s="80">
        <v>0</v>
      </c>
      <c r="CB46" s="80" t="s">
        <v>136</v>
      </c>
      <c r="CC46" s="80">
        <v>0</v>
      </c>
      <c r="CD46" s="27">
        <v>12.142319621</v>
      </c>
      <c r="CE46" s="27">
        <v>1.30989903E-2</v>
      </c>
      <c r="CF46" s="27">
        <v>15.016376156</v>
      </c>
      <c r="CG46" s="27">
        <v>3.4184708299999998E-2</v>
      </c>
      <c r="CH46" s="80" t="s">
        <v>136</v>
      </c>
      <c r="CI46" s="80">
        <v>0</v>
      </c>
      <c r="CJ46" s="80" t="s">
        <v>136</v>
      </c>
      <c r="CK46" s="80">
        <v>0</v>
      </c>
      <c r="CL46" s="80" t="s">
        <v>136</v>
      </c>
      <c r="CM46" s="80">
        <v>0</v>
      </c>
      <c r="CN46" s="80" t="s">
        <v>136</v>
      </c>
      <c r="CO46" s="80">
        <v>0</v>
      </c>
      <c r="CP46" s="27">
        <v>0.14126108740000001</v>
      </c>
      <c r="CQ46" s="27">
        <v>1.7115836E-3</v>
      </c>
      <c r="CR46" s="27">
        <v>0.3240800083</v>
      </c>
      <c r="CS46" s="27">
        <v>3.2765382999999999E-3</v>
      </c>
      <c r="CT46" s="27">
        <v>2.9040489559</v>
      </c>
      <c r="CU46" s="27">
        <v>3.3949083900000003E-2</v>
      </c>
      <c r="CV46" s="27">
        <v>33.462538189</v>
      </c>
      <c r="CW46" s="27">
        <v>0.79542779350000004</v>
      </c>
      <c r="CX46" s="80" t="s">
        <v>136</v>
      </c>
      <c r="CY46" s="80">
        <v>0</v>
      </c>
      <c r="CZ46" s="80" t="s">
        <v>136</v>
      </c>
      <c r="DA46" s="80">
        <v>0</v>
      </c>
      <c r="DB46" s="27">
        <v>21.305533444000002</v>
      </c>
      <c r="DC46" s="27">
        <v>0.38886547690000001</v>
      </c>
      <c r="DD46" s="27">
        <v>48.103332285999997</v>
      </c>
      <c r="DE46" s="27">
        <v>1.9393381599999999</v>
      </c>
      <c r="DF46" s="27">
        <v>20.257415074000001</v>
      </c>
      <c r="DG46" s="27">
        <v>0.57546420089999994</v>
      </c>
      <c r="DH46" s="27">
        <v>130.22306018</v>
      </c>
      <c r="DI46" s="27">
        <v>1.1443727875</v>
      </c>
      <c r="DJ46" s="95">
        <v>2.2484324E-3</v>
      </c>
      <c r="DK46" s="96">
        <v>3.9121351000000002E-3</v>
      </c>
      <c r="DL46" s="96">
        <v>4.3389997000000003E-3</v>
      </c>
      <c r="DM46" s="96">
        <v>4.4214707000000001E-3</v>
      </c>
      <c r="DN46" s="96">
        <v>4.4371413E-3</v>
      </c>
      <c r="DO46" s="96">
        <v>4.4467860999999999E-3</v>
      </c>
      <c r="DP46" s="96">
        <v>4.4514927999999999E-3</v>
      </c>
      <c r="DQ46" s="96">
        <v>4.4549165999999999E-3</v>
      </c>
      <c r="DR46" s="96">
        <v>4.4579987000000001E-3</v>
      </c>
      <c r="DS46" s="97">
        <v>4.4609024999999998E-3</v>
      </c>
      <c r="DT46" s="93">
        <v>83.352554988999998</v>
      </c>
      <c r="DU46" s="80">
        <v>0.58370772500000001</v>
      </c>
      <c r="DV46" s="80">
        <v>41.909421287000001</v>
      </c>
      <c r="DW46" s="80">
        <v>0.3047760497</v>
      </c>
      <c r="DX46" s="80">
        <v>20.906073316000001</v>
      </c>
      <c r="DY46" s="80">
        <v>0.15782482370000001</v>
      </c>
      <c r="DZ46" s="80">
        <v>10.452811556</v>
      </c>
      <c r="EA46" s="80">
        <v>8.2637565299999993E-2</v>
      </c>
      <c r="EB46" s="80">
        <v>5.3560783477999996</v>
      </c>
      <c r="EC46" s="80">
        <v>4.5040019100000002E-2</v>
      </c>
      <c r="ED46" s="80">
        <v>2.8532830081</v>
      </c>
      <c r="EE46" s="80">
        <v>2.6045963500000002E-2</v>
      </c>
      <c r="EF46" s="80">
        <v>1.5929853651000001</v>
      </c>
      <c r="EG46" s="80">
        <v>1.61617072E-2</v>
      </c>
      <c r="EH46" s="80">
        <v>0.94346869529999999</v>
      </c>
      <c r="EI46" s="80">
        <v>1.0845997600000001E-2</v>
      </c>
      <c r="EJ46" s="80">
        <v>0.59214095509999998</v>
      </c>
      <c r="EK46" s="80">
        <v>7.8000146999999999E-3</v>
      </c>
      <c r="EL46" s="80">
        <v>0.39178008510000001</v>
      </c>
      <c r="EM46" s="94">
        <v>5.9365134000000002E-3</v>
      </c>
      <c r="EN46" s="80"/>
      <c r="EO46" s="80"/>
      <c r="EP46" s="80"/>
      <c r="EQ46" s="80"/>
      <c r="ER46" s="80"/>
      <c r="ES46" s="80"/>
      <c r="ET46" s="80"/>
      <c r="EU46" s="80"/>
      <c r="EV46" s="80"/>
      <c r="EW46" s="94"/>
    </row>
    <row r="47" spans="1:153" x14ac:dyDescent="0.2">
      <c r="A47" s="79">
        <v>4200</v>
      </c>
      <c r="B47" s="27">
        <v>19588</v>
      </c>
      <c r="C47" s="79">
        <v>2072.5416722999998</v>
      </c>
      <c r="D47" s="27">
        <v>4149.3660362999999</v>
      </c>
      <c r="E47" s="27">
        <v>79.935082894999994</v>
      </c>
      <c r="F47" s="27">
        <v>8.3972707999999993E-2</v>
      </c>
      <c r="G47" s="79">
        <v>4.7128275768999996</v>
      </c>
      <c r="H47" s="27">
        <v>2.3703576999999998E-3</v>
      </c>
      <c r="I47" s="27">
        <v>163.09777029</v>
      </c>
      <c r="J47" s="27">
        <v>1.0868903808999999</v>
      </c>
      <c r="K47" s="27">
        <f t="shared" si="4"/>
        <v>150.05907969757433</v>
      </c>
      <c r="L47" s="27">
        <v>88.788032463999997</v>
      </c>
      <c r="M47" s="27">
        <v>0.55402381450000004</v>
      </c>
      <c r="N47" s="27">
        <v>23.608467997000002</v>
      </c>
      <c r="O47" s="27">
        <v>0.19060999670000001</v>
      </c>
      <c r="P47" s="80" t="s">
        <v>136</v>
      </c>
      <c r="Q47" s="80">
        <v>0</v>
      </c>
      <c r="R47" s="27">
        <v>28.239041361999998</v>
      </c>
      <c r="S47" s="27">
        <v>4.8875262900000001E-2</v>
      </c>
      <c r="T47" s="80" t="s">
        <v>136</v>
      </c>
      <c r="U47" s="80">
        <v>0</v>
      </c>
      <c r="V47" s="80" t="s">
        <v>136</v>
      </c>
      <c r="W47" s="80">
        <v>0</v>
      </c>
      <c r="X47" s="27">
        <v>0.48633905300000002</v>
      </c>
      <c r="Y47" s="27">
        <v>5.1935384999999999E-3</v>
      </c>
      <c r="Z47" s="27">
        <v>37.273454184000002</v>
      </c>
      <c r="AA47" s="27">
        <v>0.84866393559999997</v>
      </c>
      <c r="AB47" s="80" t="s">
        <v>136</v>
      </c>
      <c r="AC47" s="80">
        <v>0</v>
      </c>
      <c r="AD47" s="27">
        <v>6.6231169999999998E-4</v>
      </c>
      <c r="AE47" s="27">
        <v>3.2776098000000002E-6</v>
      </c>
      <c r="AF47" s="80" t="s">
        <v>136</v>
      </c>
      <c r="AG47" s="80">
        <v>0</v>
      </c>
      <c r="AH47" s="80" t="s">
        <v>136</v>
      </c>
      <c r="AI47" s="80">
        <v>0</v>
      </c>
      <c r="AJ47" s="27">
        <f t="shared" si="5"/>
        <v>6.6231169999999998E-4</v>
      </c>
      <c r="AK47" s="27">
        <f t="shared" si="6"/>
        <v>3.2776098000000002E-6</v>
      </c>
      <c r="AL47" s="27">
        <v>117.82233803</v>
      </c>
      <c r="AM47" s="27">
        <v>1.6004860953</v>
      </c>
      <c r="AN47" s="80" t="s">
        <v>136</v>
      </c>
      <c r="AO47" s="80">
        <v>0</v>
      </c>
      <c r="AP47" s="80" t="s">
        <v>136</v>
      </c>
      <c r="AQ47" s="80">
        <v>0</v>
      </c>
      <c r="AR47" s="80" t="s">
        <v>136</v>
      </c>
      <c r="AS47" s="80">
        <v>0</v>
      </c>
      <c r="AT47" s="27">
        <v>70.481968546000004</v>
      </c>
      <c r="AU47" s="27">
        <v>2.3546494195999998</v>
      </c>
      <c r="AV47" s="27">
        <v>60.231989994999999</v>
      </c>
      <c r="AW47" s="27">
        <v>0.46830865859999998</v>
      </c>
      <c r="AX47" s="27">
        <v>27.466776101000001</v>
      </c>
      <c r="AY47" s="27">
        <v>0.28659962259999999</v>
      </c>
      <c r="AZ47" s="27">
        <v>9.5379789563999999</v>
      </c>
      <c r="BA47" s="27">
        <v>8.2561892299999995E-2</v>
      </c>
      <c r="BB47" s="80">
        <f t="shared" si="7"/>
        <v>23.227234937599995</v>
      </c>
      <c r="BC47" s="80">
        <f t="shared" si="8"/>
        <v>9.9147143699999996E-2</v>
      </c>
      <c r="BD47" s="27">
        <v>0</v>
      </c>
      <c r="BE47" s="80">
        <v>0</v>
      </c>
      <c r="BF47" s="27">
        <v>153.98077752</v>
      </c>
      <c r="BG47" s="27">
        <v>1.7443980718000001</v>
      </c>
      <c r="BH47" s="27">
        <v>4.7161434E-3</v>
      </c>
      <c r="BI47" s="27">
        <v>4.2669892999999997E-6</v>
      </c>
      <c r="BJ47" s="27">
        <v>126.93832743999999</v>
      </c>
      <c r="BK47" s="27">
        <v>4.0796394312000004</v>
      </c>
      <c r="BL47" s="27">
        <v>180.96505293000001</v>
      </c>
      <c r="BM47" s="27">
        <v>1.2823152461</v>
      </c>
      <c r="BN47" s="27">
        <v>40.593945171999998</v>
      </c>
      <c r="BO47" s="27">
        <v>0.19048172050000001</v>
      </c>
      <c r="BP47" s="27">
        <v>0.21561997799999999</v>
      </c>
      <c r="BQ47" s="27">
        <v>1.0136807999999999E-3</v>
      </c>
      <c r="BR47" s="27">
        <v>0</v>
      </c>
      <c r="BS47" s="92">
        <v>0</v>
      </c>
      <c r="BT47" s="80" t="s">
        <v>136</v>
      </c>
      <c r="BU47" s="80">
        <v>0</v>
      </c>
      <c r="BV47" s="27">
        <v>0.50469259369999997</v>
      </c>
      <c r="BW47" s="27">
        <v>7.0201839E-3</v>
      </c>
      <c r="BX47" s="27">
        <v>23.103775403</v>
      </c>
      <c r="BY47" s="27">
        <v>0.1835898128</v>
      </c>
      <c r="BZ47" s="80" t="s">
        <v>136</v>
      </c>
      <c r="CA47" s="80">
        <v>0</v>
      </c>
      <c r="CB47" s="80" t="s">
        <v>136</v>
      </c>
      <c r="CC47" s="80">
        <v>0</v>
      </c>
      <c r="CD47" s="27">
        <v>12.72239542</v>
      </c>
      <c r="CE47" s="27">
        <v>1.36014929E-2</v>
      </c>
      <c r="CF47" s="27">
        <v>15.516645942</v>
      </c>
      <c r="CG47" s="27">
        <v>3.5273770000000003E-2</v>
      </c>
      <c r="CH47" s="80" t="s">
        <v>136</v>
      </c>
      <c r="CI47" s="80">
        <v>0</v>
      </c>
      <c r="CJ47" s="80" t="s">
        <v>136</v>
      </c>
      <c r="CK47" s="80">
        <v>0</v>
      </c>
      <c r="CL47" s="80" t="s">
        <v>136</v>
      </c>
      <c r="CM47" s="80">
        <v>0</v>
      </c>
      <c r="CN47" s="80" t="s">
        <v>136</v>
      </c>
      <c r="CO47" s="80">
        <v>0</v>
      </c>
      <c r="CP47" s="27">
        <v>0.14594199020000001</v>
      </c>
      <c r="CQ47" s="27">
        <v>1.7648062999999999E-3</v>
      </c>
      <c r="CR47" s="27">
        <v>0.34039706279999998</v>
      </c>
      <c r="CS47" s="27">
        <v>3.4287321999999999E-3</v>
      </c>
      <c r="CT47" s="27">
        <v>3.0078291766</v>
      </c>
      <c r="CU47" s="27">
        <v>3.5000433599999999E-2</v>
      </c>
      <c r="CV47" s="27">
        <v>34.265625006999997</v>
      </c>
      <c r="CW47" s="27">
        <v>0.81366350210000005</v>
      </c>
      <c r="CX47" s="80" t="s">
        <v>136</v>
      </c>
      <c r="CY47" s="80">
        <v>0</v>
      </c>
      <c r="CZ47" s="80" t="s">
        <v>136</v>
      </c>
      <c r="DA47" s="80">
        <v>0</v>
      </c>
      <c r="DB47" s="27">
        <v>21.681352751999999</v>
      </c>
      <c r="DC47" s="27">
        <v>0.39457933740000001</v>
      </c>
      <c r="DD47" s="27">
        <v>48.800615794000002</v>
      </c>
      <c r="DE47" s="27">
        <v>1.9600700822999999</v>
      </c>
      <c r="DF47" s="27">
        <v>21.252444738000001</v>
      </c>
      <c r="DG47" s="27">
        <v>0.58613815130000002</v>
      </c>
      <c r="DH47" s="27">
        <v>132.72833277999999</v>
      </c>
      <c r="DI47" s="27">
        <v>1.1582599204999999</v>
      </c>
      <c r="DJ47" s="95">
        <v>2.3499107E-3</v>
      </c>
      <c r="DK47" s="96">
        <v>4.0993373000000003E-3</v>
      </c>
      <c r="DL47" s="96">
        <v>4.5530092999999999E-3</v>
      </c>
      <c r="DM47" s="96">
        <v>4.6417135000000002E-3</v>
      </c>
      <c r="DN47" s="96">
        <v>4.6583268999999998E-3</v>
      </c>
      <c r="DO47" s="96">
        <v>4.6689555000000004E-3</v>
      </c>
      <c r="DP47" s="96">
        <v>4.6741509999999997E-3</v>
      </c>
      <c r="DQ47" s="96">
        <v>4.6779070000000002E-3</v>
      </c>
      <c r="DR47" s="96">
        <v>4.6813234000000004E-3</v>
      </c>
      <c r="DS47" s="97">
        <v>4.6843852000000002E-3</v>
      </c>
      <c r="DT47" s="93">
        <v>84.312562012000001</v>
      </c>
      <c r="DU47" s="80">
        <v>0.59031995920000002</v>
      </c>
      <c r="DV47" s="80">
        <v>42.582607359000001</v>
      </c>
      <c r="DW47" s="80">
        <v>0.30954557760000001</v>
      </c>
      <c r="DX47" s="80">
        <v>21.348438012999999</v>
      </c>
      <c r="DY47" s="80">
        <v>0.1610636768</v>
      </c>
      <c r="DZ47" s="80">
        <v>10.730995628000001</v>
      </c>
      <c r="EA47" s="80">
        <v>8.4759851600000005E-2</v>
      </c>
      <c r="EB47" s="80">
        <v>5.5296660508000004</v>
      </c>
      <c r="EC47" s="80">
        <v>4.6433572899999997E-2</v>
      </c>
      <c r="ED47" s="80">
        <v>2.9631647602000002</v>
      </c>
      <c r="EE47" s="80">
        <v>2.6985604100000001E-2</v>
      </c>
      <c r="EF47" s="80">
        <v>1.6628963677999999</v>
      </c>
      <c r="EG47" s="80">
        <v>1.68106165E-2</v>
      </c>
      <c r="EH47" s="80">
        <v>0.98897347369999999</v>
      </c>
      <c r="EI47" s="80">
        <v>1.1311836299999999E-2</v>
      </c>
      <c r="EJ47" s="80">
        <v>0.62302569460000001</v>
      </c>
      <c r="EK47" s="80">
        <v>8.1497116999999994E-3</v>
      </c>
      <c r="EL47" s="80">
        <v>0.41307025040000001</v>
      </c>
      <c r="EM47" s="94">
        <v>6.2069912000000003E-3</v>
      </c>
      <c r="EN47" s="80"/>
      <c r="EO47" s="80"/>
      <c r="EP47" s="80"/>
      <c r="EQ47" s="80"/>
      <c r="ER47" s="80"/>
      <c r="ES47" s="80"/>
      <c r="ET47" s="80"/>
      <c r="EU47" s="80"/>
      <c r="EV47" s="80"/>
      <c r="EW47" s="94"/>
    </row>
    <row r="48" spans="1:153" x14ac:dyDescent="0.2">
      <c r="A48" s="79">
        <v>4300</v>
      </c>
      <c r="B48" s="27">
        <v>18824</v>
      </c>
      <c r="C48" s="79">
        <v>2102.4690581</v>
      </c>
      <c r="D48" s="27">
        <v>4250.1688647000001</v>
      </c>
      <c r="E48" s="27">
        <v>81.864538598999999</v>
      </c>
      <c r="F48" s="27">
        <v>8.5091841400000007E-2</v>
      </c>
      <c r="G48" s="79">
        <v>4.9582878587000003</v>
      </c>
      <c r="H48" s="27">
        <v>2.4672015999999998E-3</v>
      </c>
      <c r="I48" s="27">
        <v>164.30354002999999</v>
      </c>
      <c r="J48" s="27">
        <v>1.0948552668</v>
      </c>
      <c r="K48" s="27">
        <f t="shared" si="4"/>
        <v>150.06873055487958</v>
      </c>
      <c r="L48" s="27">
        <v>89.878371383000001</v>
      </c>
      <c r="M48" s="27">
        <v>0.56106307609999995</v>
      </c>
      <c r="N48" s="27">
        <v>24.116479783999999</v>
      </c>
      <c r="O48" s="27">
        <v>0.19443267610000001</v>
      </c>
      <c r="P48" s="80" t="s">
        <v>136</v>
      </c>
      <c r="Q48" s="80">
        <v>0</v>
      </c>
      <c r="R48" s="27">
        <v>29.370477751999999</v>
      </c>
      <c r="S48" s="27">
        <v>5.0494772299999997E-2</v>
      </c>
      <c r="T48" s="80" t="s">
        <v>136</v>
      </c>
      <c r="U48" s="80">
        <v>0</v>
      </c>
      <c r="V48" s="80" t="s">
        <v>136</v>
      </c>
      <c r="W48" s="80">
        <v>0</v>
      </c>
      <c r="X48" s="27">
        <v>0.50362488660000004</v>
      </c>
      <c r="Y48" s="27">
        <v>5.3515396E-3</v>
      </c>
      <c r="Z48" s="27">
        <v>38.228612144000003</v>
      </c>
      <c r="AA48" s="27">
        <v>0.86861066480000004</v>
      </c>
      <c r="AB48" s="80" t="s">
        <v>136</v>
      </c>
      <c r="AC48" s="80">
        <v>0</v>
      </c>
      <c r="AD48" s="27">
        <v>6.5845270000000004E-4</v>
      </c>
      <c r="AE48" s="27">
        <v>3.2583172999999999E-6</v>
      </c>
      <c r="AF48" s="80" t="s">
        <v>136</v>
      </c>
      <c r="AG48" s="80">
        <v>0</v>
      </c>
      <c r="AH48" s="80" t="s">
        <v>136</v>
      </c>
      <c r="AI48" s="80">
        <v>0</v>
      </c>
      <c r="AJ48" s="27">
        <f t="shared" si="5"/>
        <v>6.5845270000000004E-4</v>
      </c>
      <c r="AK48" s="27">
        <f t="shared" si="6"/>
        <v>3.2583172999999999E-6</v>
      </c>
      <c r="AL48" s="27">
        <v>119.42435648999999</v>
      </c>
      <c r="AM48" s="27">
        <v>1.6133712742999999</v>
      </c>
      <c r="AN48" s="80" t="s">
        <v>136</v>
      </c>
      <c r="AO48" s="80">
        <v>0</v>
      </c>
      <c r="AP48" s="80" t="s">
        <v>136</v>
      </c>
      <c r="AQ48" s="80">
        <v>0</v>
      </c>
      <c r="AR48" s="80" t="s">
        <v>136</v>
      </c>
      <c r="AS48" s="80">
        <v>0</v>
      </c>
      <c r="AT48" s="27">
        <v>71.542255467000004</v>
      </c>
      <c r="AU48" s="27">
        <v>2.3803685349000001</v>
      </c>
      <c r="AV48" s="27">
        <v>61.384785012000002</v>
      </c>
      <c r="AW48" s="27">
        <v>0.47491274680000001</v>
      </c>
      <c r="AX48" s="27">
        <v>27.986558624000001</v>
      </c>
      <c r="AY48" s="27">
        <v>0.29073853500000002</v>
      </c>
      <c r="AZ48" s="27">
        <v>9.6780512162000001</v>
      </c>
      <c r="BA48" s="27">
        <v>8.3430574600000001E-2</v>
      </c>
      <c r="BB48" s="80">
        <f t="shared" si="7"/>
        <v>23.720175171800001</v>
      </c>
      <c r="BC48" s="80">
        <f t="shared" si="8"/>
        <v>0.10074363719999996</v>
      </c>
      <c r="BD48" s="27">
        <v>0</v>
      </c>
      <c r="BE48" s="80">
        <v>0</v>
      </c>
      <c r="BF48" s="27">
        <v>157.41211623999999</v>
      </c>
      <c r="BG48" s="27">
        <v>1.7683415696</v>
      </c>
      <c r="BH48" s="27">
        <v>4.9237344000000001E-3</v>
      </c>
      <c r="BI48" s="27">
        <v>4.2142899999999998E-6</v>
      </c>
      <c r="BJ48" s="27">
        <v>128.42135087</v>
      </c>
      <c r="BK48" s="27">
        <v>4.1122578207</v>
      </c>
      <c r="BL48" s="27">
        <v>185.74351831999999</v>
      </c>
      <c r="BM48" s="27">
        <v>1.313657444</v>
      </c>
      <c r="BN48" s="27">
        <v>41.518512350000002</v>
      </c>
      <c r="BO48" s="27">
        <v>0.19377671329999999</v>
      </c>
      <c r="BP48" s="27">
        <v>0.22767828230000001</v>
      </c>
      <c r="BQ48" s="27">
        <v>1.0410867999999999E-3</v>
      </c>
      <c r="BR48" s="27">
        <v>0</v>
      </c>
      <c r="BS48" s="92">
        <v>0</v>
      </c>
      <c r="BT48" s="80" t="s">
        <v>136</v>
      </c>
      <c r="BU48" s="80">
        <v>0</v>
      </c>
      <c r="BV48" s="27">
        <v>0.51837643200000005</v>
      </c>
      <c r="BW48" s="27">
        <v>7.1733522999999997E-3</v>
      </c>
      <c r="BX48" s="27">
        <v>23.598103351999999</v>
      </c>
      <c r="BY48" s="27">
        <v>0.18725932379999999</v>
      </c>
      <c r="BZ48" s="80" t="s">
        <v>136</v>
      </c>
      <c r="CA48" s="80">
        <v>0</v>
      </c>
      <c r="CB48" s="80" t="s">
        <v>136</v>
      </c>
      <c r="CC48" s="80">
        <v>0</v>
      </c>
      <c r="CD48" s="27">
        <v>13.375270069000001</v>
      </c>
      <c r="CE48" s="27">
        <v>1.41305284E-2</v>
      </c>
      <c r="CF48" s="27">
        <v>15.995207683</v>
      </c>
      <c r="CG48" s="27">
        <v>3.6364243900000003E-2</v>
      </c>
      <c r="CH48" s="80" t="s">
        <v>136</v>
      </c>
      <c r="CI48" s="80">
        <v>0</v>
      </c>
      <c r="CJ48" s="80" t="s">
        <v>136</v>
      </c>
      <c r="CK48" s="80">
        <v>0</v>
      </c>
      <c r="CL48" s="80" t="s">
        <v>136</v>
      </c>
      <c r="CM48" s="80">
        <v>0</v>
      </c>
      <c r="CN48" s="80" t="s">
        <v>136</v>
      </c>
      <c r="CO48" s="80">
        <v>0</v>
      </c>
      <c r="CP48" s="27">
        <v>0.15092058210000001</v>
      </c>
      <c r="CQ48" s="27">
        <v>1.8071840000000001E-3</v>
      </c>
      <c r="CR48" s="27">
        <v>0.35270430450000001</v>
      </c>
      <c r="CS48" s="27">
        <v>3.5443556000000001E-3</v>
      </c>
      <c r="CT48" s="27">
        <v>3.1366751127999999</v>
      </c>
      <c r="CU48" s="27">
        <v>3.6284026099999998E-2</v>
      </c>
      <c r="CV48" s="27">
        <v>35.091937031999997</v>
      </c>
      <c r="CW48" s="27">
        <v>0.83232663870000001</v>
      </c>
      <c r="CX48" s="80" t="s">
        <v>136</v>
      </c>
      <c r="CY48" s="80">
        <v>0</v>
      </c>
      <c r="CZ48" s="80" t="s">
        <v>136</v>
      </c>
      <c r="DA48" s="80">
        <v>0</v>
      </c>
      <c r="DB48" s="27">
        <v>22.076729853</v>
      </c>
      <c r="DC48" s="27">
        <v>0.40057909289999999</v>
      </c>
      <c r="DD48" s="27">
        <v>49.465525614000001</v>
      </c>
      <c r="DE48" s="27">
        <v>1.979789442</v>
      </c>
      <c r="DF48" s="27">
        <v>22.240613085</v>
      </c>
      <c r="DG48" s="27">
        <v>0.59672821490000005</v>
      </c>
      <c r="DH48" s="27">
        <v>135.17150315000001</v>
      </c>
      <c r="DI48" s="27">
        <v>1.1716133546</v>
      </c>
      <c r="DJ48" s="95">
        <v>2.4456164E-3</v>
      </c>
      <c r="DK48" s="96">
        <v>4.2702814999999996E-3</v>
      </c>
      <c r="DL48" s="96">
        <v>4.7475032000000002E-3</v>
      </c>
      <c r="DM48" s="96">
        <v>4.8406862000000004E-3</v>
      </c>
      <c r="DN48" s="96">
        <v>4.8582642999999998E-3</v>
      </c>
      <c r="DO48" s="96">
        <v>4.8693677999999997E-3</v>
      </c>
      <c r="DP48" s="96">
        <v>4.8748925999999998E-3</v>
      </c>
      <c r="DQ48" s="96">
        <v>4.8789838000000002E-3</v>
      </c>
      <c r="DR48" s="96">
        <v>4.8827376E-3</v>
      </c>
      <c r="DS48" s="97">
        <v>4.8861384000000001E-3</v>
      </c>
      <c r="DT48" s="93">
        <v>85.257193994999994</v>
      </c>
      <c r="DU48" s="80">
        <v>0.59668194630000004</v>
      </c>
      <c r="DV48" s="80">
        <v>43.239351308000003</v>
      </c>
      <c r="DW48" s="80">
        <v>0.31409082989999998</v>
      </c>
      <c r="DX48" s="80">
        <v>21.775191620000001</v>
      </c>
      <c r="DY48" s="80">
        <v>0.1641147037</v>
      </c>
      <c r="DZ48" s="80">
        <v>10.998899406</v>
      </c>
      <c r="EA48" s="80">
        <v>8.6747612900000007E-2</v>
      </c>
      <c r="EB48" s="80">
        <v>5.6964749548000002</v>
      </c>
      <c r="EC48" s="80">
        <v>4.7726035E-2</v>
      </c>
      <c r="ED48" s="80">
        <v>3.0646828259999999</v>
      </c>
      <c r="EE48" s="80">
        <v>2.78166738E-2</v>
      </c>
      <c r="EF48" s="80">
        <v>1.7257955917000001</v>
      </c>
      <c r="EG48" s="80">
        <v>1.7366875600000001E-2</v>
      </c>
      <c r="EH48" s="80">
        <v>1.0292840793</v>
      </c>
      <c r="EI48" s="80">
        <v>1.16992005E-2</v>
      </c>
      <c r="EJ48" s="80">
        <v>0.64958329449999996</v>
      </c>
      <c r="EK48" s="80">
        <v>8.4299027999999998E-3</v>
      </c>
      <c r="EL48" s="80">
        <v>0.43163843660000001</v>
      </c>
      <c r="EM48" s="94">
        <v>6.4222022999999998E-3</v>
      </c>
      <c r="EN48" s="80"/>
      <c r="EO48" s="80"/>
      <c r="EP48" s="80"/>
      <c r="EQ48" s="80"/>
      <c r="ER48" s="80"/>
      <c r="ES48" s="80"/>
      <c r="ET48" s="80"/>
      <c r="EU48" s="80"/>
      <c r="EV48" s="80"/>
      <c r="EW48" s="94"/>
    </row>
    <row r="49" spans="1:153" x14ac:dyDescent="0.2">
      <c r="A49" s="79">
        <v>4400</v>
      </c>
      <c r="B49" s="27">
        <v>18279</v>
      </c>
      <c r="C49" s="79">
        <v>2131.9418771000001</v>
      </c>
      <c r="D49" s="27">
        <v>4349.8288124000001</v>
      </c>
      <c r="E49" s="27">
        <v>83.820306286000005</v>
      </c>
      <c r="F49" s="27">
        <v>8.6216877499999997E-2</v>
      </c>
      <c r="G49" s="79">
        <v>5.2148324725000004</v>
      </c>
      <c r="H49" s="27">
        <v>2.5660225E-3</v>
      </c>
      <c r="I49" s="27">
        <v>165.42765424999999</v>
      </c>
      <c r="J49" s="27">
        <v>1.1024368367999999</v>
      </c>
      <c r="K49" s="27">
        <f t="shared" si="4"/>
        <v>150.05635581824382</v>
      </c>
      <c r="L49" s="27">
        <v>90.970385299</v>
      </c>
      <c r="M49" s="27">
        <v>0.56806458500000001</v>
      </c>
      <c r="N49" s="27">
        <v>24.609202612000001</v>
      </c>
      <c r="O49" s="27">
        <v>0.19817930850000001</v>
      </c>
      <c r="P49" s="80" t="s">
        <v>136</v>
      </c>
      <c r="Q49" s="80">
        <v>0</v>
      </c>
      <c r="R49" s="27">
        <v>30.427358854000001</v>
      </c>
      <c r="S49" s="27">
        <v>5.2057079499999999E-2</v>
      </c>
      <c r="T49" s="80" t="s">
        <v>136</v>
      </c>
      <c r="U49" s="80">
        <v>0</v>
      </c>
      <c r="V49" s="80" t="s">
        <v>136</v>
      </c>
      <c r="W49" s="80">
        <v>0</v>
      </c>
      <c r="X49" s="27">
        <v>0.52212131949999996</v>
      </c>
      <c r="Y49" s="27">
        <v>5.5476941999999998E-3</v>
      </c>
      <c r="Z49" s="27">
        <v>39.141107191000003</v>
      </c>
      <c r="AA49" s="27">
        <v>0.8875190825</v>
      </c>
      <c r="AB49" s="80" t="s">
        <v>136</v>
      </c>
      <c r="AC49" s="80">
        <v>0</v>
      </c>
      <c r="AD49" s="27">
        <v>7.3445800000000001E-4</v>
      </c>
      <c r="AE49" s="27">
        <v>3.7658183999999998E-6</v>
      </c>
      <c r="AF49" s="80" t="s">
        <v>136</v>
      </c>
      <c r="AG49" s="80">
        <v>0</v>
      </c>
      <c r="AH49" s="80" t="s">
        <v>136</v>
      </c>
      <c r="AI49" s="80">
        <v>0</v>
      </c>
      <c r="AJ49" s="27">
        <f t="shared" si="5"/>
        <v>7.3445800000000001E-4</v>
      </c>
      <c r="AK49" s="27">
        <f t="shared" si="6"/>
        <v>3.7658183999999998E-6</v>
      </c>
      <c r="AL49" s="27">
        <v>120.96342199</v>
      </c>
      <c r="AM49" s="27">
        <v>1.6257656125</v>
      </c>
      <c r="AN49" s="80" t="s">
        <v>136</v>
      </c>
      <c r="AO49" s="80">
        <v>0</v>
      </c>
      <c r="AP49" s="80" t="s">
        <v>136</v>
      </c>
      <c r="AQ49" s="80">
        <v>0</v>
      </c>
      <c r="AR49" s="80" t="s">
        <v>136</v>
      </c>
      <c r="AS49" s="80">
        <v>0</v>
      </c>
      <c r="AT49" s="27">
        <v>72.582456367999995</v>
      </c>
      <c r="AU49" s="27">
        <v>2.4053520218000002</v>
      </c>
      <c r="AV49" s="27">
        <v>62.523133209999997</v>
      </c>
      <c r="AW49" s="27">
        <v>0.48146462480000002</v>
      </c>
      <c r="AX49" s="27">
        <v>28.483832666000001</v>
      </c>
      <c r="AY49" s="27">
        <v>0.29481023839999998</v>
      </c>
      <c r="AZ49" s="27">
        <v>9.8126347928000008</v>
      </c>
      <c r="BA49" s="27">
        <v>8.4268325800000002E-2</v>
      </c>
      <c r="BB49" s="80">
        <f t="shared" si="7"/>
        <v>24.226665751199995</v>
      </c>
      <c r="BC49" s="80">
        <f t="shared" si="8"/>
        <v>0.10238606060000005</v>
      </c>
      <c r="BD49" s="27">
        <v>0</v>
      </c>
      <c r="BE49" s="80">
        <v>0</v>
      </c>
      <c r="BF49" s="27">
        <v>160.81019922999999</v>
      </c>
      <c r="BG49" s="27">
        <v>1.7917690314000001</v>
      </c>
      <c r="BH49" s="27">
        <v>5.1368207000000001E-3</v>
      </c>
      <c r="BI49" s="27">
        <v>4.1644027000000004E-6</v>
      </c>
      <c r="BJ49" s="27">
        <v>129.82493016999999</v>
      </c>
      <c r="BK49" s="27">
        <v>4.1426865070999996</v>
      </c>
      <c r="BL49" s="27">
        <v>190.62469777000001</v>
      </c>
      <c r="BM49" s="27">
        <v>1.3453008544</v>
      </c>
      <c r="BN49" s="27">
        <v>42.406831394000001</v>
      </c>
      <c r="BO49" s="27">
        <v>0.19700685079999999</v>
      </c>
      <c r="BP49" s="27">
        <v>0.23797091819999999</v>
      </c>
      <c r="BQ49" s="27">
        <v>1.0707637E-3</v>
      </c>
      <c r="BR49" s="27">
        <v>0</v>
      </c>
      <c r="BS49" s="92">
        <v>0</v>
      </c>
      <c r="BT49" s="80" t="s">
        <v>136</v>
      </c>
      <c r="BU49" s="80">
        <v>0</v>
      </c>
      <c r="BV49" s="27">
        <v>0.5299518043</v>
      </c>
      <c r="BW49" s="27">
        <v>7.3176513000000002E-3</v>
      </c>
      <c r="BX49" s="27">
        <v>24.079250808000001</v>
      </c>
      <c r="BY49" s="27">
        <v>0.19086165720000001</v>
      </c>
      <c r="BZ49" s="80" t="s">
        <v>136</v>
      </c>
      <c r="CA49" s="80">
        <v>0</v>
      </c>
      <c r="CB49" s="80" t="s">
        <v>136</v>
      </c>
      <c r="CC49" s="80">
        <v>0</v>
      </c>
      <c r="CD49" s="27">
        <v>13.966344082999999</v>
      </c>
      <c r="CE49" s="27">
        <v>1.4636736900000001E-2</v>
      </c>
      <c r="CF49" s="27">
        <v>16.461014770999999</v>
      </c>
      <c r="CG49" s="27">
        <v>3.7420342500000002E-2</v>
      </c>
      <c r="CH49" s="80" t="s">
        <v>136</v>
      </c>
      <c r="CI49" s="80">
        <v>0</v>
      </c>
      <c r="CJ49" s="80" t="s">
        <v>136</v>
      </c>
      <c r="CK49" s="80">
        <v>0</v>
      </c>
      <c r="CL49" s="80" t="s">
        <v>136</v>
      </c>
      <c r="CM49" s="80">
        <v>0</v>
      </c>
      <c r="CN49" s="80" t="s">
        <v>136</v>
      </c>
      <c r="CO49" s="80">
        <v>0</v>
      </c>
      <c r="CP49" s="27">
        <v>0.15784457020000001</v>
      </c>
      <c r="CQ49" s="27">
        <v>1.8989574000000001E-3</v>
      </c>
      <c r="CR49" s="27">
        <v>0.36427674929999998</v>
      </c>
      <c r="CS49" s="27">
        <v>3.6487367999999999E-3</v>
      </c>
      <c r="CT49" s="27">
        <v>3.2434819081000001</v>
      </c>
      <c r="CU49" s="27">
        <v>3.7322342299999998E-2</v>
      </c>
      <c r="CV49" s="27">
        <v>35.897625283000004</v>
      </c>
      <c r="CW49" s="27">
        <v>0.85019674010000001</v>
      </c>
      <c r="CX49" s="80" t="s">
        <v>136</v>
      </c>
      <c r="CY49" s="80">
        <v>0</v>
      </c>
      <c r="CZ49" s="80" t="s">
        <v>136</v>
      </c>
      <c r="DA49" s="80">
        <v>0</v>
      </c>
      <c r="DB49" s="27">
        <v>22.451554169000001</v>
      </c>
      <c r="DC49" s="27">
        <v>0.40603397819999998</v>
      </c>
      <c r="DD49" s="27">
        <v>50.130902198000001</v>
      </c>
      <c r="DE49" s="27">
        <v>1.9993180436</v>
      </c>
      <c r="DF49" s="27">
        <v>23.246265824000002</v>
      </c>
      <c r="DG49" s="27">
        <v>0.60685182910000002</v>
      </c>
      <c r="DH49" s="27">
        <v>137.5639334</v>
      </c>
      <c r="DI49" s="27">
        <v>1.1849172023000001</v>
      </c>
      <c r="DJ49" s="95">
        <v>2.5428402999999999E-3</v>
      </c>
      <c r="DK49" s="96">
        <v>4.4471577999999996E-3</v>
      </c>
      <c r="DL49" s="96">
        <v>4.9508388999999998E-3</v>
      </c>
      <c r="DM49" s="96">
        <v>5.0517302E-3</v>
      </c>
      <c r="DN49" s="96">
        <v>5.0700551999999996E-3</v>
      </c>
      <c r="DO49" s="96">
        <v>5.0814485000000003E-3</v>
      </c>
      <c r="DP49" s="96">
        <v>5.0871183000000004E-3</v>
      </c>
      <c r="DQ49" s="96">
        <v>5.0913601999999997E-3</v>
      </c>
      <c r="DR49" s="96">
        <v>5.0952664999999999E-3</v>
      </c>
      <c r="DS49" s="97">
        <v>5.0988214E-3</v>
      </c>
      <c r="DT49" s="93">
        <v>86.149513490999993</v>
      </c>
      <c r="DU49" s="80">
        <v>0.60278303290000002</v>
      </c>
      <c r="DV49" s="80">
        <v>43.862970763</v>
      </c>
      <c r="DW49" s="80">
        <v>0.31846819869999998</v>
      </c>
      <c r="DX49" s="80">
        <v>22.183070265000001</v>
      </c>
      <c r="DY49" s="80">
        <v>0.1670677693</v>
      </c>
      <c r="DZ49" s="80">
        <v>11.260043222</v>
      </c>
      <c r="EA49" s="80">
        <v>8.8711410700000007E-2</v>
      </c>
      <c r="EB49" s="80">
        <v>5.8632774175</v>
      </c>
      <c r="EC49" s="80">
        <v>4.9038393499999999E-2</v>
      </c>
      <c r="ED49" s="80">
        <v>3.1716027503999999</v>
      </c>
      <c r="EE49" s="80">
        <v>2.87076125E-2</v>
      </c>
      <c r="EF49" s="80">
        <v>1.7948507383000001</v>
      </c>
      <c r="EG49" s="80">
        <v>1.79863096E-2</v>
      </c>
      <c r="EH49" s="80">
        <v>1.0746133959999999</v>
      </c>
      <c r="EI49" s="80">
        <v>1.21437974E-2</v>
      </c>
      <c r="EJ49" s="80">
        <v>0.68020026919999999</v>
      </c>
      <c r="EK49" s="80">
        <v>8.7632404000000004E-3</v>
      </c>
      <c r="EL49" s="80">
        <v>0.4528255457</v>
      </c>
      <c r="EM49" s="94">
        <v>6.6811804999999998E-3</v>
      </c>
      <c r="EN49" s="80"/>
      <c r="EO49" s="80"/>
      <c r="EP49" s="80"/>
      <c r="EQ49" s="80"/>
      <c r="ER49" s="80"/>
      <c r="ES49" s="80"/>
      <c r="ET49" s="80"/>
      <c r="EU49" s="80"/>
      <c r="EV49" s="80"/>
      <c r="EW49" s="94"/>
    </row>
    <row r="50" spans="1:153" x14ac:dyDescent="0.2">
      <c r="A50" s="79">
        <v>4500</v>
      </c>
      <c r="B50" s="27">
        <v>17764</v>
      </c>
      <c r="C50" s="79">
        <v>2160.8768488000001</v>
      </c>
      <c r="D50" s="27">
        <v>4449.9582344999999</v>
      </c>
      <c r="E50" s="27">
        <v>85.685812826000003</v>
      </c>
      <c r="F50" s="27">
        <v>8.7274709199999995E-2</v>
      </c>
      <c r="G50" s="79">
        <v>5.4720184104999996</v>
      </c>
      <c r="H50" s="27">
        <v>2.6616258000000002E-3</v>
      </c>
      <c r="I50" s="27">
        <v>166.51168134</v>
      </c>
      <c r="J50" s="27">
        <v>1.109739163</v>
      </c>
      <c r="K50" s="27">
        <f t="shared" si="4"/>
        <v>150.04578273137867</v>
      </c>
      <c r="L50" s="27">
        <v>92.025263791</v>
      </c>
      <c r="M50" s="27">
        <v>0.57495990480000003</v>
      </c>
      <c r="N50" s="27">
        <v>25.107168159</v>
      </c>
      <c r="O50" s="27">
        <v>0.20198485790000001</v>
      </c>
      <c r="P50" s="80" t="s">
        <v>136</v>
      </c>
      <c r="Q50" s="80">
        <v>0</v>
      </c>
      <c r="R50" s="27">
        <v>31.479946743999999</v>
      </c>
      <c r="S50" s="27">
        <v>5.3534377600000002E-2</v>
      </c>
      <c r="T50" s="80" t="s">
        <v>136</v>
      </c>
      <c r="U50" s="80">
        <v>0</v>
      </c>
      <c r="V50" s="80" t="s">
        <v>136</v>
      </c>
      <c r="W50" s="80">
        <v>0</v>
      </c>
      <c r="X50" s="27">
        <v>0.53919021659999999</v>
      </c>
      <c r="Y50" s="27">
        <v>5.7176626999999999E-3</v>
      </c>
      <c r="Z50" s="27">
        <v>40.131103842999998</v>
      </c>
      <c r="AA50" s="27">
        <v>0.90838916039999995</v>
      </c>
      <c r="AB50" s="80" t="s">
        <v>136</v>
      </c>
      <c r="AC50" s="80">
        <v>0</v>
      </c>
      <c r="AD50" s="27">
        <v>7.3044549999999998E-4</v>
      </c>
      <c r="AE50" s="27">
        <v>3.7450090000000002E-6</v>
      </c>
      <c r="AF50" s="80" t="s">
        <v>136</v>
      </c>
      <c r="AG50" s="80">
        <v>0</v>
      </c>
      <c r="AH50" s="80" t="s">
        <v>136</v>
      </c>
      <c r="AI50" s="80">
        <v>0</v>
      </c>
      <c r="AJ50" s="27">
        <f t="shared" si="5"/>
        <v>7.3044549999999998E-4</v>
      </c>
      <c r="AK50" s="27">
        <f t="shared" si="6"/>
        <v>3.7450090000000002E-6</v>
      </c>
      <c r="AL50" s="27">
        <v>122.47586293000001</v>
      </c>
      <c r="AM50" s="27">
        <v>1.6378946787999999</v>
      </c>
      <c r="AN50" s="80" t="s">
        <v>136</v>
      </c>
      <c r="AO50" s="80">
        <v>0</v>
      </c>
      <c r="AP50" s="80" t="s">
        <v>136</v>
      </c>
      <c r="AQ50" s="80">
        <v>0</v>
      </c>
      <c r="AR50" s="80" t="s">
        <v>136</v>
      </c>
      <c r="AS50" s="80">
        <v>0</v>
      </c>
      <c r="AT50" s="27">
        <v>73.596149765999996</v>
      </c>
      <c r="AU50" s="27">
        <v>2.4290627671</v>
      </c>
      <c r="AV50" s="27">
        <v>63.661411805999997</v>
      </c>
      <c r="AW50" s="27">
        <v>0.48785583589999998</v>
      </c>
      <c r="AX50" s="27">
        <v>28.971493227</v>
      </c>
      <c r="AY50" s="27">
        <v>0.2987617407</v>
      </c>
      <c r="AZ50" s="27">
        <v>9.9500924979000001</v>
      </c>
      <c r="BA50" s="27">
        <v>8.5098793800000003E-2</v>
      </c>
      <c r="BB50" s="80">
        <f t="shared" si="7"/>
        <v>24.739826081099999</v>
      </c>
      <c r="BC50" s="80">
        <f t="shared" si="8"/>
        <v>0.10399530139999996</v>
      </c>
      <c r="BD50" s="27">
        <v>0</v>
      </c>
      <c r="BE50" s="80">
        <v>0</v>
      </c>
      <c r="BF50" s="27">
        <v>164.26881871000001</v>
      </c>
      <c r="BG50" s="27">
        <v>1.8149936448999999</v>
      </c>
      <c r="BH50" s="27">
        <v>5.3454364000000004E-3</v>
      </c>
      <c r="BI50" s="27">
        <v>4.1156404E-6</v>
      </c>
      <c r="BJ50" s="27">
        <v>131.21385802</v>
      </c>
      <c r="BK50" s="27">
        <v>4.1731176865000004</v>
      </c>
      <c r="BL50" s="27">
        <v>195.41608853</v>
      </c>
      <c r="BM50" s="27">
        <v>1.3757571342999999</v>
      </c>
      <c r="BN50" s="27">
        <v>43.320766183000003</v>
      </c>
      <c r="BO50" s="27">
        <v>0.2003281589</v>
      </c>
      <c r="BP50" s="27">
        <v>0.25087544140000001</v>
      </c>
      <c r="BQ50" s="27">
        <v>1.0899340000000001E-3</v>
      </c>
      <c r="BR50" s="27">
        <v>0</v>
      </c>
      <c r="BS50" s="92">
        <v>0</v>
      </c>
      <c r="BT50" s="80" t="s">
        <v>136</v>
      </c>
      <c r="BU50" s="80">
        <v>0</v>
      </c>
      <c r="BV50" s="27">
        <v>0.54685304530000001</v>
      </c>
      <c r="BW50" s="27">
        <v>7.5016859E-3</v>
      </c>
      <c r="BX50" s="27">
        <v>24.560315114000002</v>
      </c>
      <c r="BY50" s="27">
        <v>0.19448317200000001</v>
      </c>
      <c r="BZ50" s="80" t="s">
        <v>136</v>
      </c>
      <c r="CA50" s="80">
        <v>0</v>
      </c>
      <c r="CB50" s="80" t="s">
        <v>136</v>
      </c>
      <c r="CC50" s="80">
        <v>0</v>
      </c>
      <c r="CD50" s="27">
        <v>14.559302223</v>
      </c>
      <c r="CE50" s="27">
        <v>1.5118929099999999E-2</v>
      </c>
      <c r="CF50" s="27">
        <v>16.920644521</v>
      </c>
      <c r="CG50" s="27">
        <v>3.8415448599999999E-2</v>
      </c>
      <c r="CH50" s="80" t="s">
        <v>136</v>
      </c>
      <c r="CI50" s="80">
        <v>0</v>
      </c>
      <c r="CJ50" s="80" t="s">
        <v>136</v>
      </c>
      <c r="CK50" s="80">
        <v>0</v>
      </c>
      <c r="CL50" s="80" t="s">
        <v>136</v>
      </c>
      <c r="CM50" s="80">
        <v>0</v>
      </c>
      <c r="CN50" s="80" t="s">
        <v>136</v>
      </c>
      <c r="CO50" s="80">
        <v>0</v>
      </c>
      <c r="CP50" s="27">
        <v>0.16193019010000001</v>
      </c>
      <c r="CQ50" s="27">
        <v>1.9548362999999998E-3</v>
      </c>
      <c r="CR50" s="27">
        <v>0.3772600264</v>
      </c>
      <c r="CS50" s="27">
        <v>3.7628264000000001E-3</v>
      </c>
      <c r="CT50" s="27">
        <v>3.3581492536000002</v>
      </c>
      <c r="CU50" s="27">
        <v>3.8469540400000002E-2</v>
      </c>
      <c r="CV50" s="27">
        <v>36.772954589999998</v>
      </c>
      <c r="CW50" s="27">
        <v>0.8699196199</v>
      </c>
      <c r="CX50" s="80" t="s">
        <v>136</v>
      </c>
      <c r="CY50" s="80">
        <v>0</v>
      </c>
      <c r="CZ50" s="80" t="s">
        <v>136</v>
      </c>
      <c r="DA50" s="80">
        <v>0</v>
      </c>
      <c r="DB50" s="27">
        <v>22.831240678</v>
      </c>
      <c r="DC50" s="27">
        <v>0.41160274479999998</v>
      </c>
      <c r="DD50" s="27">
        <v>50.764909088000003</v>
      </c>
      <c r="DE50" s="27">
        <v>2.0174600222999999</v>
      </c>
      <c r="DF50" s="27">
        <v>24.317399622</v>
      </c>
      <c r="DG50" s="27">
        <v>0.61718820630000004</v>
      </c>
      <c r="DH50" s="27">
        <v>139.95141909</v>
      </c>
      <c r="DI50" s="27">
        <v>1.1978054386000001</v>
      </c>
      <c r="DJ50" s="95">
        <v>2.6375529999999999E-3</v>
      </c>
      <c r="DK50" s="96">
        <v>4.6222855999999996E-3</v>
      </c>
      <c r="DL50" s="96">
        <v>5.1528216999999999E-3</v>
      </c>
      <c r="DM50" s="96">
        <v>5.2597180999999996E-3</v>
      </c>
      <c r="DN50" s="96">
        <v>5.2786227999999996E-3</v>
      </c>
      <c r="DO50" s="96">
        <v>5.2902890000000001E-3</v>
      </c>
      <c r="DP50" s="96">
        <v>5.2960879000000004E-3</v>
      </c>
      <c r="DQ50" s="96">
        <v>5.3003049000000003E-3</v>
      </c>
      <c r="DR50" s="96">
        <v>5.3041879999999996E-3</v>
      </c>
      <c r="DS50" s="97">
        <v>5.3077215000000002E-3</v>
      </c>
      <c r="DT50" s="93">
        <v>87.004459006999994</v>
      </c>
      <c r="DU50" s="80">
        <v>0.6086637587</v>
      </c>
      <c r="DV50" s="80">
        <v>44.457545621000001</v>
      </c>
      <c r="DW50" s="80">
        <v>0.32269664469999998</v>
      </c>
      <c r="DX50" s="80">
        <v>22.566037604000002</v>
      </c>
      <c r="DY50" s="80">
        <v>0.16991754740000001</v>
      </c>
      <c r="DZ50" s="80">
        <v>11.500117406999999</v>
      </c>
      <c r="EA50" s="80">
        <v>9.0594243599999999E-2</v>
      </c>
      <c r="EB50" s="80">
        <v>6.0124465085000001</v>
      </c>
      <c r="EC50" s="80">
        <v>5.0287851699999997E-2</v>
      </c>
      <c r="ED50" s="80">
        <v>3.2643557235</v>
      </c>
      <c r="EE50" s="80">
        <v>2.9555464E-2</v>
      </c>
      <c r="EF50" s="80">
        <v>1.8554507433</v>
      </c>
      <c r="EG50" s="80">
        <v>1.85973348E-2</v>
      </c>
      <c r="EH50" s="80">
        <v>1.1153694677999999</v>
      </c>
      <c r="EI50" s="80">
        <v>1.2604417600000001E-2</v>
      </c>
      <c r="EJ50" s="80">
        <v>0.70791023779999995</v>
      </c>
      <c r="EK50" s="80">
        <v>9.1203034999999995E-3</v>
      </c>
      <c r="EL50" s="80">
        <v>0.47200860090000002</v>
      </c>
      <c r="EM50" s="94">
        <v>6.965812E-3</v>
      </c>
      <c r="EN50" s="80"/>
      <c r="EO50" s="80"/>
      <c r="EP50" s="80"/>
      <c r="EQ50" s="80"/>
      <c r="ER50" s="80"/>
      <c r="ES50" s="80"/>
      <c r="ET50" s="80"/>
      <c r="EU50" s="80"/>
      <c r="EV50" s="80"/>
      <c r="EW50" s="94"/>
    </row>
    <row r="51" spans="1:153" x14ac:dyDescent="0.2">
      <c r="A51" s="79">
        <v>4600</v>
      </c>
      <c r="B51" s="27">
        <v>17231</v>
      </c>
      <c r="C51" s="79">
        <v>2189.3532546000001</v>
      </c>
      <c r="D51" s="27">
        <v>4549.7896828000003</v>
      </c>
      <c r="E51" s="27">
        <v>87.541798847999999</v>
      </c>
      <c r="F51" s="27">
        <v>8.8295076799999997E-2</v>
      </c>
      <c r="G51" s="79">
        <v>5.7562874482000002</v>
      </c>
      <c r="H51" s="27">
        <v>2.7654969E-3</v>
      </c>
      <c r="I51" s="27">
        <v>167.58784918000001</v>
      </c>
      <c r="J51" s="27">
        <v>1.1169463262999999</v>
      </c>
      <c r="K51" s="27">
        <f t="shared" si="4"/>
        <v>150.04109439631901</v>
      </c>
      <c r="L51" s="27">
        <v>93.045044157000007</v>
      </c>
      <c r="M51" s="27">
        <v>0.58182114360000003</v>
      </c>
      <c r="N51" s="27">
        <v>25.595296834999999</v>
      </c>
      <c r="O51" s="27">
        <v>0.2055495403</v>
      </c>
      <c r="P51" s="80" t="s">
        <v>136</v>
      </c>
      <c r="Q51" s="80">
        <v>0</v>
      </c>
      <c r="R51" s="27">
        <v>32.604333138000001</v>
      </c>
      <c r="S51" s="27">
        <v>5.51256096E-2</v>
      </c>
      <c r="T51" s="80" t="s">
        <v>136</v>
      </c>
      <c r="U51" s="80">
        <v>0</v>
      </c>
      <c r="V51" s="80" t="s">
        <v>136</v>
      </c>
      <c r="W51" s="80">
        <v>0</v>
      </c>
      <c r="X51" s="27">
        <v>0.55663895100000005</v>
      </c>
      <c r="Y51" s="27">
        <v>5.8916387999999997E-3</v>
      </c>
      <c r="Z51" s="27">
        <v>41.035395754</v>
      </c>
      <c r="AA51" s="27">
        <v>0.92711492090000003</v>
      </c>
      <c r="AB51" s="80" t="s">
        <v>136</v>
      </c>
      <c r="AC51" s="80">
        <v>0</v>
      </c>
      <c r="AD51" s="27">
        <v>7.491768E-4</v>
      </c>
      <c r="AE51" s="27">
        <v>3.8847488000000003E-6</v>
      </c>
      <c r="AF51" s="80" t="s">
        <v>136</v>
      </c>
      <c r="AG51" s="80">
        <v>0</v>
      </c>
      <c r="AH51" s="80" t="s">
        <v>136</v>
      </c>
      <c r="AI51" s="80">
        <v>0</v>
      </c>
      <c r="AJ51" s="27">
        <f t="shared" si="5"/>
        <v>7.491768E-4</v>
      </c>
      <c r="AK51" s="27">
        <f t="shared" si="6"/>
        <v>3.8847488000000003E-6</v>
      </c>
      <c r="AL51" s="27">
        <v>123.92849775000001</v>
      </c>
      <c r="AM51" s="27">
        <v>1.6495839830000001</v>
      </c>
      <c r="AN51" s="80" t="s">
        <v>136</v>
      </c>
      <c r="AO51" s="80">
        <v>0</v>
      </c>
      <c r="AP51" s="80" t="s">
        <v>136</v>
      </c>
      <c r="AQ51" s="80">
        <v>0</v>
      </c>
      <c r="AR51" s="80" t="s">
        <v>136</v>
      </c>
      <c r="AS51" s="80">
        <v>0</v>
      </c>
      <c r="AT51" s="27">
        <v>74.586525426999998</v>
      </c>
      <c r="AU51" s="27">
        <v>2.4527835096000001</v>
      </c>
      <c r="AV51" s="27">
        <v>64.766323968999998</v>
      </c>
      <c r="AW51" s="27">
        <v>0.49410402799999997</v>
      </c>
      <c r="AX51" s="27">
        <v>29.453683873999999</v>
      </c>
      <c r="AY51" s="27">
        <v>0.30260377840000002</v>
      </c>
      <c r="AZ51" s="27">
        <v>10.090202151</v>
      </c>
      <c r="BA51" s="27">
        <v>8.5970431299999997E-2</v>
      </c>
      <c r="BB51" s="80">
        <f t="shared" si="7"/>
        <v>25.222437943999999</v>
      </c>
      <c r="BC51" s="80">
        <f t="shared" si="8"/>
        <v>0.10552981829999997</v>
      </c>
      <c r="BD51" s="27">
        <v>0</v>
      </c>
      <c r="BE51" s="80">
        <v>0</v>
      </c>
      <c r="BF51" s="27">
        <v>167.74442601000001</v>
      </c>
      <c r="BG51" s="27">
        <v>1.838315664</v>
      </c>
      <c r="BH51" s="27">
        <v>5.5599350000000002E-3</v>
      </c>
      <c r="BI51" s="27">
        <v>4.0700557E-6</v>
      </c>
      <c r="BJ51" s="27">
        <v>132.57443021</v>
      </c>
      <c r="BK51" s="27">
        <v>4.2026924475999996</v>
      </c>
      <c r="BL51" s="27">
        <v>200.12542991000001</v>
      </c>
      <c r="BM51" s="27">
        <v>1.4063979467000001</v>
      </c>
      <c r="BN51" s="27">
        <v>44.239436247999997</v>
      </c>
      <c r="BO51" s="27">
        <v>0.20356691930000001</v>
      </c>
      <c r="BP51" s="27">
        <v>0.27205898890000002</v>
      </c>
      <c r="BQ51" s="27">
        <v>1.1214097999999999E-3</v>
      </c>
      <c r="BR51" s="27">
        <v>0</v>
      </c>
      <c r="BS51" s="92">
        <v>0</v>
      </c>
      <c r="BT51" s="80" t="s">
        <v>136</v>
      </c>
      <c r="BU51" s="80">
        <v>0</v>
      </c>
      <c r="BV51" s="27">
        <v>0.56172376369999999</v>
      </c>
      <c r="BW51" s="27">
        <v>7.6849784000000004E-3</v>
      </c>
      <c r="BX51" s="27">
        <v>25.033573070999999</v>
      </c>
      <c r="BY51" s="27">
        <v>0.19786456180000001</v>
      </c>
      <c r="BZ51" s="80" t="s">
        <v>136</v>
      </c>
      <c r="CA51" s="80">
        <v>0</v>
      </c>
      <c r="CB51" s="80" t="s">
        <v>136</v>
      </c>
      <c r="CC51" s="80">
        <v>0</v>
      </c>
      <c r="CD51" s="27">
        <v>15.194388681</v>
      </c>
      <c r="CE51" s="27">
        <v>1.56524917E-2</v>
      </c>
      <c r="CF51" s="27">
        <v>17.409944457000002</v>
      </c>
      <c r="CG51" s="27">
        <v>3.94731179E-2</v>
      </c>
      <c r="CH51" s="80" t="s">
        <v>136</v>
      </c>
      <c r="CI51" s="80">
        <v>0</v>
      </c>
      <c r="CJ51" s="80" t="s">
        <v>136</v>
      </c>
      <c r="CK51" s="80">
        <v>0</v>
      </c>
      <c r="CL51" s="80" t="s">
        <v>136</v>
      </c>
      <c r="CM51" s="80">
        <v>0</v>
      </c>
      <c r="CN51" s="80" t="s">
        <v>136</v>
      </c>
      <c r="CO51" s="80">
        <v>0</v>
      </c>
      <c r="CP51" s="27">
        <v>0.1682325697</v>
      </c>
      <c r="CQ51" s="27">
        <v>2.0229753999999999E-3</v>
      </c>
      <c r="CR51" s="27">
        <v>0.38840638119999998</v>
      </c>
      <c r="CS51" s="27">
        <v>3.8686634000000002E-3</v>
      </c>
      <c r="CT51" s="27">
        <v>3.4793780793</v>
      </c>
      <c r="CU51" s="27">
        <v>3.96102251E-2</v>
      </c>
      <c r="CV51" s="27">
        <v>37.556017674000003</v>
      </c>
      <c r="CW51" s="27">
        <v>0.88750469580000002</v>
      </c>
      <c r="CX51" s="80" t="s">
        <v>136</v>
      </c>
      <c r="CY51" s="80">
        <v>0</v>
      </c>
      <c r="CZ51" s="80" t="s">
        <v>136</v>
      </c>
      <c r="DA51" s="80">
        <v>0</v>
      </c>
      <c r="DB51" s="27">
        <v>23.192255679999999</v>
      </c>
      <c r="DC51" s="27">
        <v>0.41712194139999997</v>
      </c>
      <c r="DD51" s="27">
        <v>51.394269747999999</v>
      </c>
      <c r="DE51" s="27">
        <v>2.0356615682000001</v>
      </c>
      <c r="DF51" s="27">
        <v>25.407653994</v>
      </c>
      <c r="DG51" s="27">
        <v>0.62758480250000004</v>
      </c>
      <c r="DH51" s="27">
        <v>142.33677202000001</v>
      </c>
      <c r="DI51" s="27">
        <v>1.2107308615000001</v>
      </c>
      <c r="DJ51" s="95">
        <v>2.7410405999999999E-3</v>
      </c>
      <c r="DK51" s="96">
        <v>4.8060441000000002E-3</v>
      </c>
      <c r="DL51" s="96">
        <v>5.3610604999999997E-3</v>
      </c>
      <c r="DM51" s="96">
        <v>5.4730975999999999E-3</v>
      </c>
      <c r="DN51" s="96">
        <v>5.4934004E-3</v>
      </c>
      <c r="DO51" s="96">
        <v>5.5051652999999999E-3</v>
      </c>
      <c r="DP51" s="96">
        <v>5.5109338999999999E-3</v>
      </c>
      <c r="DQ51" s="96">
        <v>5.5151269000000003E-3</v>
      </c>
      <c r="DR51" s="96">
        <v>5.5189875999999997E-3</v>
      </c>
      <c r="DS51" s="97">
        <v>5.5225001000000001E-3</v>
      </c>
      <c r="DT51" s="93">
        <v>87.856653046000005</v>
      </c>
      <c r="DU51" s="80">
        <v>0.61447025450000003</v>
      </c>
      <c r="DV51" s="80">
        <v>45.056450693999999</v>
      </c>
      <c r="DW51" s="80">
        <v>0.32688993119999998</v>
      </c>
      <c r="DX51" s="80">
        <v>22.952909229999999</v>
      </c>
      <c r="DY51" s="80">
        <v>0.1727255321</v>
      </c>
      <c r="DZ51" s="80">
        <v>11.740465237</v>
      </c>
      <c r="EA51" s="80">
        <v>9.2421864100000001E-2</v>
      </c>
      <c r="EB51" s="80">
        <v>6.1601603674999996</v>
      </c>
      <c r="EC51" s="80">
        <v>5.1484626300000003E-2</v>
      </c>
      <c r="ED51" s="80">
        <v>3.3577654189000001</v>
      </c>
      <c r="EE51" s="80">
        <v>3.03685593E-2</v>
      </c>
      <c r="EF51" s="80">
        <v>1.9154293129</v>
      </c>
      <c r="EG51" s="80">
        <v>1.91672518E-2</v>
      </c>
      <c r="EH51" s="80">
        <v>1.1555945888000001</v>
      </c>
      <c r="EI51" s="80">
        <v>1.30232154E-2</v>
      </c>
      <c r="EJ51" s="80">
        <v>0.73550525680000001</v>
      </c>
      <c r="EK51" s="80">
        <v>9.4377434999999999E-3</v>
      </c>
      <c r="EL51" s="80">
        <v>0.49178712569999999</v>
      </c>
      <c r="EM51" s="94">
        <v>7.2172692000000002E-3</v>
      </c>
      <c r="EN51" s="80"/>
      <c r="EO51" s="80"/>
      <c r="EP51" s="80"/>
      <c r="EQ51" s="80"/>
      <c r="ER51" s="80"/>
      <c r="ES51" s="80"/>
      <c r="ET51" s="80"/>
      <c r="EU51" s="80"/>
      <c r="EV51" s="80"/>
      <c r="EW51" s="94"/>
    </row>
    <row r="52" spans="1:153" x14ac:dyDescent="0.2">
      <c r="A52" s="79">
        <v>4700</v>
      </c>
      <c r="B52" s="27">
        <v>16772</v>
      </c>
      <c r="C52" s="79">
        <v>2217.3573998000002</v>
      </c>
      <c r="D52" s="27">
        <v>4649.8572821999996</v>
      </c>
      <c r="E52" s="27">
        <v>89.356656908999994</v>
      </c>
      <c r="F52" s="27">
        <v>8.93085619E-2</v>
      </c>
      <c r="G52" s="79">
        <v>6.0365823213000001</v>
      </c>
      <c r="H52" s="27">
        <v>2.8666096999999998E-3</v>
      </c>
      <c r="I52" s="27">
        <v>168.60923790000001</v>
      </c>
      <c r="J52" s="27">
        <v>1.1237916241999999</v>
      </c>
      <c r="K52" s="27">
        <f t="shared" si="4"/>
        <v>150.03603361079405</v>
      </c>
      <c r="L52" s="27">
        <v>94.096107875000001</v>
      </c>
      <c r="M52" s="27">
        <v>0.58860811840000005</v>
      </c>
      <c r="N52" s="27">
        <v>26.068668013</v>
      </c>
      <c r="O52" s="27">
        <v>0.20901361700000001</v>
      </c>
      <c r="P52" s="80" t="s">
        <v>136</v>
      </c>
      <c r="Q52" s="80">
        <v>0</v>
      </c>
      <c r="R52" s="27">
        <v>33.779511534999997</v>
      </c>
      <c r="S52" s="27">
        <v>5.6749885999999999E-2</v>
      </c>
      <c r="T52" s="80" t="s">
        <v>136</v>
      </c>
      <c r="U52" s="80">
        <v>0</v>
      </c>
      <c r="V52" s="80" t="s">
        <v>136</v>
      </c>
      <c r="W52" s="80">
        <v>0</v>
      </c>
      <c r="X52" s="27">
        <v>0.56681767220000001</v>
      </c>
      <c r="Y52" s="27">
        <v>5.9754094999999998E-3</v>
      </c>
      <c r="Z52" s="27">
        <v>41.922549588000003</v>
      </c>
      <c r="AA52" s="27">
        <v>0.94519439390000004</v>
      </c>
      <c r="AB52" s="80" t="s">
        <v>136</v>
      </c>
      <c r="AC52" s="80">
        <v>0</v>
      </c>
      <c r="AD52" s="27">
        <v>7.4547169999999996E-4</v>
      </c>
      <c r="AE52" s="27">
        <v>3.8653578999999996E-6</v>
      </c>
      <c r="AF52" s="80" t="s">
        <v>136</v>
      </c>
      <c r="AG52" s="80">
        <v>0</v>
      </c>
      <c r="AH52" s="80" t="s">
        <v>136</v>
      </c>
      <c r="AI52" s="80">
        <v>0</v>
      </c>
      <c r="AJ52" s="27">
        <f t="shared" si="5"/>
        <v>7.4547169999999996E-4</v>
      </c>
      <c r="AK52" s="27">
        <f t="shared" si="6"/>
        <v>3.8653578999999996E-6</v>
      </c>
      <c r="AL52" s="27">
        <v>125.34685472</v>
      </c>
      <c r="AM52" s="27">
        <v>1.6609157564000001</v>
      </c>
      <c r="AN52" s="80" t="s">
        <v>136</v>
      </c>
      <c r="AO52" s="80">
        <v>0</v>
      </c>
      <c r="AP52" s="80" t="s">
        <v>136</v>
      </c>
      <c r="AQ52" s="80">
        <v>0</v>
      </c>
      <c r="AR52" s="80" t="s">
        <v>136</v>
      </c>
      <c r="AS52" s="80">
        <v>0</v>
      </c>
      <c r="AT52" s="27">
        <v>75.557034408000007</v>
      </c>
      <c r="AU52" s="27">
        <v>2.4755806427999998</v>
      </c>
      <c r="AV52" s="27">
        <v>65.856357016999993</v>
      </c>
      <c r="AW52" s="27">
        <v>0.50023317489999997</v>
      </c>
      <c r="AX52" s="27">
        <v>29.921662585</v>
      </c>
      <c r="AY52" s="27">
        <v>0.30642488340000001</v>
      </c>
      <c r="AZ52" s="27">
        <v>10.204421618</v>
      </c>
      <c r="BA52" s="27">
        <v>8.6706943199999997E-2</v>
      </c>
      <c r="BB52" s="80">
        <f t="shared" si="7"/>
        <v>25.730272813999996</v>
      </c>
      <c r="BC52" s="80">
        <f t="shared" si="8"/>
        <v>0.10710134829999995</v>
      </c>
      <c r="BD52" s="27">
        <v>0</v>
      </c>
      <c r="BE52" s="80">
        <v>0</v>
      </c>
      <c r="BF52" s="27">
        <v>171.22145169000001</v>
      </c>
      <c r="BG52" s="27">
        <v>1.8612564908</v>
      </c>
      <c r="BH52" s="27">
        <v>5.7709349E-3</v>
      </c>
      <c r="BI52" s="27">
        <v>4.0250220999999997E-6</v>
      </c>
      <c r="BJ52" s="27">
        <v>133.89269071000001</v>
      </c>
      <c r="BK52" s="27">
        <v>4.2314558072999997</v>
      </c>
      <c r="BL52" s="27">
        <v>204.78682229</v>
      </c>
      <c r="BM52" s="27">
        <v>1.4363145148000001</v>
      </c>
      <c r="BN52" s="27">
        <v>45.118467965000001</v>
      </c>
      <c r="BO52" s="27">
        <v>0.20663832739999999</v>
      </c>
      <c r="BP52" s="27">
        <v>0.28424965600000002</v>
      </c>
      <c r="BQ52" s="27">
        <v>1.1515394E-3</v>
      </c>
      <c r="BR52" s="27">
        <v>0</v>
      </c>
      <c r="BS52" s="92">
        <v>0</v>
      </c>
      <c r="BT52" s="80" t="s">
        <v>136</v>
      </c>
      <c r="BU52" s="80">
        <v>0</v>
      </c>
      <c r="BV52" s="27">
        <v>0.57363302589999998</v>
      </c>
      <c r="BW52" s="27">
        <v>7.8018923999999996E-3</v>
      </c>
      <c r="BX52" s="27">
        <v>25.495034988</v>
      </c>
      <c r="BY52" s="27">
        <v>0.2012117246</v>
      </c>
      <c r="BZ52" s="80" t="s">
        <v>136</v>
      </c>
      <c r="CA52" s="80">
        <v>0</v>
      </c>
      <c r="CB52" s="80" t="s">
        <v>136</v>
      </c>
      <c r="CC52" s="80">
        <v>0</v>
      </c>
      <c r="CD52" s="27">
        <v>15.877129500000001</v>
      </c>
      <c r="CE52" s="27">
        <v>1.6196511800000001E-2</v>
      </c>
      <c r="CF52" s="27">
        <v>17.902382034999999</v>
      </c>
      <c r="CG52" s="27">
        <v>4.0553374199999999E-2</v>
      </c>
      <c r="CH52" s="80" t="s">
        <v>136</v>
      </c>
      <c r="CI52" s="80">
        <v>0</v>
      </c>
      <c r="CJ52" s="80" t="s">
        <v>136</v>
      </c>
      <c r="CK52" s="80">
        <v>0</v>
      </c>
      <c r="CL52" s="80" t="s">
        <v>136</v>
      </c>
      <c r="CM52" s="80">
        <v>0</v>
      </c>
      <c r="CN52" s="80" t="s">
        <v>136</v>
      </c>
      <c r="CO52" s="80">
        <v>0</v>
      </c>
      <c r="CP52" s="27">
        <v>0.17186288559999999</v>
      </c>
      <c r="CQ52" s="27">
        <v>2.0573007E-3</v>
      </c>
      <c r="CR52" s="27">
        <v>0.3949547866</v>
      </c>
      <c r="CS52" s="27">
        <v>3.9181088000000003E-3</v>
      </c>
      <c r="CT52" s="27">
        <v>3.6038200085000001</v>
      </c>
      <c r="CU52" s="27">
        <v>4.08243119E-2</v>
      </c>
      <c r="CV52" s="27">
        <v>38.318729580000003</v>
      </c>
      <c r="CW52" s="27">
        <v>0.90437008200000002</v>
      </c>
      <c r="CX52" s="80" t="s">
        <v>136</v>
      </c>
      <c r="CY52" s="80">
        <v>0</v>
      </c>
      <c r="CZ52" s="80" t="s">
        <v>136</v>
      </c>
      <c r="DA52" s="80">
        <v>0</v>
      </c>
      <c r="DB52" s="27">
        <v>23.554983727</v>
      </c>
      <c r="DC52" s="27">
        <v>0.42255001879999998</v>
      </c>
      <c r="DD52" s="27">
        <v>52.002050681</v>
      </c>
      <c r="DE52" s="27">
        <v>2.0530306239999998</v>
      </c>
      <c r="DF52" s="27">
        <v>26.483846317000001</v>
      </c>
      <c r="DG52" s="27">
        <v>0.63784759489999998</v>
      </c>
      <c r="DH52" s="27">
        <v>144.73760537000001</v>
      </c>
      <c r="DI52" s="27">
        <v>1.2234088959</v>
      </c>
      <c r="DJ52" s="95">
        <v>2.8414250999999999E-3</v>
      </c>
      <c r="DK52" s="96">
        <v>4.9854696000000004E-3</v>
      </c>
      <c r="DL52" s="96">
        <v>5.5643693999999997E-3</v>
      </c>
      <c r="DM52" s="96">
        <v>5.6822223000000003E-3</v>
      </c>
      <c r="DN52" s="96">
        <v>5.7037040000000004E-3</v>
      </c>
      <c r="DO52" s="96">
        <v>5.7163479E-3</v>
      </c>
      <c r="DP52" s="96">
        <v>5.7222604E-3</v>
      </c>
      <c r="DQ52" s="96">
        <v>5.7264305999999996E-3</v>
      </c>
      <c r="DR52" s="96">
        <v>5.7302702999999997E-3</v>
      </c>
      <c r="DS52" s="97">
        <v>5.7337632000000003E-3</v>
      </c>
      <c r="DT52" s="93">
        <v>88.667356424000005</v>
      </c>
      <c r="DU52" s="80">
        <v>0.61999527269999999</v>
      </c>
      <c r="DV52" s="80">
        <v>45.623785851000001</v>
      </c>
      <c r="DW52" s="80">
        <v>0.33087254199999999</v>
      </c>
      <c r="DX52" s="80">
        <v>23.321507034</v>
      </c>
      <c r="DY52" s="80">
        <v>0.17540350699999999</v>
      </c>
      <c r="DZ52" s="80">
        <v>11.971050228999999</v>
      </c>
      <c r="EA52" s="80">
        <v>9.4168174199999996E-2</v>
      </c>
      <c r="EB52" s="80">
        <v>6.3024315893000002</v>
      </c>
      <c r="EC52" s="80">
        <v>5.2623367400000003E-2</v>
      </c>
      <c r="ED52" s="80">
        <v>3.4470308658</v>
      </c>
      <c r="EE52" s="80">
        <v>3.1136486500000001E-2</v>
      </c>
      <c r="EF52" s="80">
        <v>1.9723859344000001</v>
      </c>
      <c r="EG52" s="80">
        <v>1.9702940799999999E-2</v>
      </c>
      <c r="EH52" s="80">
        <v>1.1932523325</v>
      </c>
      <c r="EI52" s="80">
        <v>1.34159537E-2</v>
      </c>
      <c r="EJ52" s="80">
        <v>0.76130328179999995</v>
      </c>
      <c r="EK52" s="80">
        <v>9.7385990000000006E-3</v>
      </c>
      <c r="EL52" s="80">
        <v>0.51012220659999996</v>
      </c>
      <c r="EM52" s="94">
        <v>7.4583617E-3</v>
      </c>
      <c r="EN52" s="80"/>
      <c r="EO52" s="80"/>
      <c r="EP52" s="80"/>
      <c r="EQ52" s="80"/>
      <c r="ER52" s="80"/>
      <c r="ES52" s="80"/>
      <c r="ET52" s="80"/>
      <c r="EU52" s="80"/>
      <c r="EV52" s="80"/>
      <c r="EW52" s="94"/>
    </row>
    <row r="53" spans="1:153" x14ac:dyDescent="0.2">
      <c r="A53" s="79">
        <v>4800</v>
      </c>
      <c r="B53" s="27">
        <v>16231</v>
      </c>
      <c r="C53" s="79">
        <v>2244.8433783999999</v>
      </c>
      <c r="D53" s="27">
        <v>4749.7428129999998</v>
      </c>
      <c r="E53" s="27">
        <v>91.061268455999993</v>
      </c>
      <c r="F53" s="27">
        <v>9.0249126099999993E-2</v>
      </c>
      <c r="G53" s="79">
        <v>6.3124347572000001</v>
      </c>
      <c r="H53" s="27">
        <v>2.9668356999999999E-3</v>
      </c>
      <c r="I53" s="27">
        <v>169.6347135</v>
      </c>
      <c r="J53" s="27">
        <v>1.1306530596</v>
      </c>
      <c r="K53" s="27">
        <f t="shared" si="4"/>
        <v>150.03250737234373</v>
      </c>
      <c r="L53" s="27">
        <v>95.115119109999995</v>
      </c>
      <c r="M53" s="27">
        <v>0.59495800809999999</v>
      </c>
      <c r="N53" s="27">
        <v>26.550547084000002</v>
      </c>
      <c r="O53" s="27">
        <v>0.21262462809999999</v>
      </c>
      <c r="P53" s="80" t="s">
        <v>136</v>
      </c>
      <c r="Q53" s="80">
        <v>0</v>
      </c>
      <c r="R53" s="27">
        <v>34.8339827</v>
      </c>
      <c r="S53" s="27">
        <v>5.8252133400000003E-2</v>
      </c>
      <c r="T53" s="80" t="s">
        <v>136</v>
      </c>
      <c r="U53" s="80">
        <v>0</v>
      </c>
      <c r="V53" s="80" t="s">
        <v>136</v>
      </c>
      <c r="W53" s="80">
        <v>0</v>
      </c>
      <c r="X53" s="27">
        <v>0.59247824380000003</v>
      </c>
      <c r="Y53" s="27">
        <v>6.1866578000000002E-3</v>
      </c>
      <c r="Z53" s="27">
        <v>42.813853676000001</v>
      </c>
      <c r="AA53" s="27">
        <v>0.96322760289999998</v>
      </c>
      <c r="AB53" s="80" t="s">
        <v>136</v>
      </c>
      <c r="AC53" s="80">
        <v>0</v>
      </c>
      <c r="AD53" s="27">
        <v>7.421064E-4</v>
      </c>
      <c r="AE53" s="27">
        <v>3.8477434000000003E-6</v>
      </c>
      <c r="AF53" s="80" t="s">
        <v>136</v>
      </c>
      <c r="AG53" s="80">
        <v>0</v>
      </c>
      <c r="AH53" s="80" t="s">
        <v>136</v>
      </c>
      <c r="AI53" s="80">
        <v>0</v>
      </c>
      <c r="AJ53" s="27">
        <f t="shared" si="5"/>
        <v>7.421064E-4</v>
      </c>
      <c r="AK53" s="27">
        <f t="shared" si="6"/>
        <v>3.8477434000000003E-6</v>
      </c>
      <c r="AL53" s="27">
        <v>126.78520797</v>
      </c>
      <c r="AM53" s="27">
        <v>1.6720670382</v>
      </c>
      <c r="AN53" s="80" t="s">
        <v>136</v>
      </c>
      <c r="AO53" s="80">
        <v>0</v>
      </c>
      <c r="AP53" s="80" t="s">
        <v>136</v>
      </c>
      <c r="AQ53" s="80">
        <v>0</v>
      </c>
      <c r="AR53" s="80" t="s">
        <v>136</v>
      </c>
      <c r="AS53" s="80">
        <v>0</v>
      </c>
      <c r="AT53" s="27">
        <v>76.565240188999994</v>
      </c>
      <c r="AU53" s="27">
        <v>2.4989332482000002</v>
      </c>
      <c r="AV53" s="27">
        <v>66.982338626000001</v>
      </c>
      <c r="AW53" s="27">
        <v>0.50635680439999997</v>
      </c>
      <c r="AX53" s="27">
        <v>30.411954095999999</v>
      </c>
      <c r="AY53" s="27">
        <v>0.31025179149999998</v>
      </c>
      <c r="AZ53" s="27">
        <v>10.331676045</v>
      </c>
      <c r="BA53" s="27">
        <v>8.7437429400000002E-2</v>
      </c>
      <c r="BB53" s="80">
        <f t="shared" si="7"/>
        <v>26.238708485000004</v>
      </c>
      <c r="BC53" s="80">
        <f t="shared" si="8"/>
        <v>0.1086675835</v>
      </c>
      <c r="BD53" s="27">
        <v>0</v>
      </c>
      <c r="BE53" s="80">
        <v>0</v>
      </c>
      <c r="BF53" s="27">
        <v>174.63685394999999</v>
      </c>
      <c r="BG53" s="27">
        <v>1.8828790454</v>
      </c>
      <c r="BH53" s="27">
        <v>5.9845480000000001E-3</v>
      </c>
      <c r="BI53" s="27">
        <v>3.9832668000000003E-6</v>
      </c>
      <c r="BJ53" s="27">
        <v>135.19886185999999</v>
      </c>
      <c r="BK53" s="27">
        <v>4.2585637579000002</v>
      </c>
      <c r="BL53" s="27">
        <v>209.42321229999999</v>
      </c>
      <c r="BM53" s="27">
        <v>1.4652675508999999</v>
      </c>
      <c r="BN53" s="27">
        <v>45.976899975000002</v>
      </c>
      <c r="BO53" s="27">
        <v>0.20972540740000001</v>
      </c>
      <c r="BP53" s="27">
        <v>0.29613950909999998</v>
      </c>
      <c r="BQ53" s="27">
        <v>1.1811208E-3</v>
      </c>
      <c r="BR53" s="27">
        <v>0</v>
      </c>
      <c r="BS53" s="92">
        <v>0</v>
      </c>
      <c r="BT53" s="80" t="s">
        <v>136</v>
      </c>
      <c r="BU53" s="80">
        <v>0</v>
      </c>
      <c r="BV53" s="27">
        <v>0.58616772569999998</v>
      </c>
      <c r="BW53" s="27">
        <v>7.9144582000000002E-3</v>
      </c>
      <c r="BX53" s="27">
        <v>25.964379357999999</v>
      </c>
      <c r="BY53" s="27">
        <v>0.20471016989999999</v>
      </c>
      <c r="BZ53" s="80" t="s">
        <v>136</v>
      </c>
      <c r="CA53" s="80">
        <v>0</v>
      </c>
      <c r="CB53" s="80" t="s">
        <v>136</v>
      </c>
      <c r="CC53" s="80">
        <v>0</v>
      </c>
      <c r="CD53" s="27">
        <v>16.487054519000001</v>
      </c>
      <c r="CE53" s="27">
        <v>1.6700211999999999E-2</v>
      </c>
      <c r="CF53" s="27">
        <v>18.346928181999999</v>
      </c>
      <c r="CG53" s="27">
        <v>4.1551921399999997E-2</v>
      </c>
      <c r="CH53" s="80" t="s">
        <v>136</v>
      </c>
      <c r="CI53" s="80">
        <v>0</v>
      </c>
      <c r="CJ53" s="80" t="s">
        <v>136</v>
      </c>
      <c r="CK53" s="80">
        <v>0</v>
      </c>
      <c r="CL53" s="80" t="s">
        <v>136</v>
      </c>
      <c r="CM53" s="80">
        <v>0</v>
      </c>
      <c r="CN53" s="80" t="s">
        <v>136</v>
      </c>
      <c r="CO53" s="80">
        <v>0</v>
      </c>
      <c r="CP53" s="27">
        <v>0.179181906</v>
      </c>
      <c r="CQ53" s="27">
        <v>2.0953232000000001E-3</v>
      </c>
      <c r="CR53" s="27">
        <v>0.41329633780000002</v>
      </c>
      <c r="CS53" s="27">
        <v>4.0913347000000001E-3</v>
      </c>
      <c r="CT53" s="27">
        <v>3.7160236404</v>
      </c>
      <c r="CU53" s="27">
        <v>4.1987915799999997E-2</v>
      </c>
      <c r="CV53" s="27">
        <v>39.097830035000001</v>
      </c>
      <c r="CW53" s="27">
        <v>0.92123968710000004</v>
      </c>
      <c r="CX53" s="80" t="s">
        <v>136</v>
      </c>
      <c r="CY53" s="80">
        <v>0</v>
      </c>
      <c r="CZ53" s="80" t="s">
        <v>136</v>
      </c>
      <c r="DA53" s="80">
        <v>0</v>
      </c>
      <c r="DB53" s="27">
        <v>23.927604000999999</v>
      </c>
      <c r="DC53" s="27">
        <v>0.42792504390000002</v>
      </c>
      <c r="DD53" s="27">
        <v>52.637636186999998</v>
      </c>
      <c r="DE53" s="27">
        <v>2.0710082043</v>
      </c>
      <c r="DF53" s="27">
        <v>27.582135888</v>
      </c>
      <c r="DG53" s="27">
        <v>0.64750205459999999</v>
      </c>
      <c r="DH53" s="27">
        <v>147.05471806</v>
      </c>
      <c r="DI53" s="27">
        <v>1.2353769907000001</v>
      </c>
      <c r="DJ53" s="95">
        <v>2.9403941999999999E-3</v>
      </c>
      <c r="DK53" s="96">
        <v>5.1641858000000002E-3</v>
      </c>
      <c r="DL53" s="96">
        <v>5.7699012000000001E-3</v>
      </c>
      <c r="DM53" s="96">
        <v>5.8951100999999999E-3</v>
      </c>
      <c r="DN53" s="96">
        <v>5.9177190999999997E-3</v>
      </c>
      <c r="DO53" s="96">
        <v>5.9303063000000003E-3</v>
      </c>
      <c r="DP53" s="96">
        <v>5.9361908000000003E-3</v>
      </c>
      <c r="DQ53" s="96">
        <v>5.9403390999999998E-3</v>
      </c>
      <c r="DR53" s="96">
        <v>5.9441583000000003E-3</v>
      </c>
      <c r="DS53" s="97">
        <v>5.9476321E-3</v>
      </c>
      <c r="DT53" s="93">
        <v>89.488035715999999</v>
      </c>
      <c r="DU53" s="80">
        <v>0.6255587628</v>
      </c>
      <c r="DV53" s="80">
        <v>46.205057228000001</v>
      </c>
      <c r="DW53" s="80">
        <v>0.33491389729999999</v>
      </c>
      <c r="DX53" s="80">
        <v>23.707601574000002</v>
      </c>
      <c r="DY53" s="80">
        <v>0.1781706109</v>
      </c>
      <c r="DZ53" s="80">
        <v>12.215554745</v>
      </c>
      <c r="EA53" s="80">
        <v>9.5992584800000003E-2</v>
      </c>
      <c r="EB53" s="80">
        <v>6.4572325146000003</v>
      </c>
      <c r="EC53" s="80">
        <v>5.38318541E-2</v>
      </c>
      <c r="ED53" s="80">
        <v>3.5450247453000001</v>
      </c>
      <c r="EE53" s="80">
        <v>3.1947931899999997E-2</v>
      </c>
      <c r="EF53" s="80">
        <v>2.0349163691999999</v>
      </c>
      <c r="EG53" s="80">
        <v>2.0261565299999999E-2</v>
      </c>
      <c r="EH53" s="80">
        <v>1.2336629374999999</v>
      </c>
      <c r="EI53" s="80">
        <v>1.3814271899999999E-2</v>
      </c>
      <c r="EJ53" s="80">
        <v>0.78805101580000003</v>
      </c>
      <c r="EK53" s="80">
        <v>1.0034536300000001E-2</v>
      </c>
      <c r="EL53" s="80">
        <v>0.52899578570000005</v>
      </c>
      <c r="EM53" s="94">
        <v>7.6919082E-3</v>
      </c>
      <c r="EN53" s="80"/>
      <c r="EO53" s="80"/>
      <c r="EP53" s="80"/>
      <c r="EQ53" s="80"/>
      <c r="ER53" s="80"/>
      <c r="ES53" s="80"/>
      <c r="ET53" s="80"/>
      <c r="EU53" s="80"/>
      <c r="EV53" s="80"/>
      <c r="EW53" s="94"/>
    </row>
    <row r="54" spans="1:153" x14ac:dyDescent="0.2">
      <c r="A54" s="79">
        <v>4900</v>
      </c>
      <c r="B54" s="27">
        <v>16093</v>
      </c>
      <c r="C54" s="79">
        <v>2272.0867287000001</v>
      </c>
      <c r="D54" s="27">
        <v>4849.2001688999999</v>
      </c>
      <c r="E54" s="27">
        <v>92.974573337999999</v>
      </c>
      <c r="F54" s="27">
        <v>9.1290226399999994E-2</v>
      </c>
      <c r="G54" s="79">
        <v>6.5829587197999997</v>
      </c>
      <c r="H54" s="27">
        <v>3.0606695E-3</v>
      </c>
      <c r="I54" s="27">
        <v>170.63570852999999</v>
      </c>
      <c r="J54" s="27">
        <v>1.1374311384</v>
      </c>
      <c r="K54" s="27">
        <f t="shared" si="4"/>
        <v>150.01849586255355</v>
      </c>
      <c r="L54" s="27">
        <v>96.086646708000004</v>
      </c>
      <c r="M54" s="27">
        <v>0.60120112479999999</v>
      </c>
      <c r="N54" s="27">
        <v>27.074637254999999</v>
      </c>
      <c r="O54" s="27">
        <v>0.21647517199999999</v>
      </c>
      <c r="P54" s="80" t="s">
        <v>136</v>
      </c>
      <c r="Q54" s="80">
        <v>0</v>
      </c>
      <c r="R54" s="27">
        <v>35.912316576000002</v>
      </c>
      <c r="S54" s="27">
        <v>5.9745235799999998E-2</v>
      </c>
      <c r="T54" s="80" t="s">
        <v>136</v>
      </c>
      <c r="U54" s="80">
        <v>0</v>
      </c>
      <c r="V54" s="80" t="s">
        <v>136</v>
      </c>
      <c r="W54" s="80">
        <v>0</v>
      </c>
      <c r="X54" s="27">
        <v>0.60950615419999998</v>
      </c>
      <c r="Y54" s="27">
        <v>6.3510891999999999E-3</v>
      </c>
      <c r="Z54" s="27">
        <v>43.694800022000003</v>
      </c>
      <c r="AA54" s="27">
        <v>0.98134268020000004</v>
      </c>
      <c r="AB54" s="80" t="s">
        <v>136</v>
      </c>
      <c r="AC54" s="80">
        <v>0</v>
      </c>
      <c r="AD54" s="27">
        <v>7.9159010000000004E-4</v>
      </c>
      <c r="AE54" s="27">
        <v>4.1713993E-6</v>
      </c>
      <c r="AF54" s="80" t="s">
        <v>136</v>
      </c>
      <c r="AG54" s="80">
        <v>0</v>
      </c>
      <c r="AH54" s="80" t="s">
        <v>136</v>
      </c>
      <c r="AI54" s="80">
        <v>0</v>
      </c>
      <c r="AJ54" s="27">
        <f t="shared" si="5"/>
        <v>7.9159010000000004E-4</v>
      </c>
      <c r="AK54" s="27">
        <f t="shared" si="6"/>
        <v>4.1713993E-6</v>
      </c>
      <c r="AL54" s="27">
        <v>128.16653959000001</v>
      </c>
      <c r="AM54" s="27">
        <v>1.6830955190000001</v>
      </c>
      <c r="AN54" s="80" t="s">
        <v>136</v>
      </c>
      <c r="AO54" s="80">
        <v>0</v>
      </c>
      <c r="AP54" s="80" t="s">
        <v>136</v>
      </c>
      <c r="AQ54" s="80">
        <v>0</v>
      </c>
      <c r="AR54" s="80" t="s">
        <v>136</v>
      </c>
      <c r="AS54" s="80">
        <v>0</v>
      </c>
      <c r="AT54" s="27">
        <v>77.569832821999995</v>
      </c>
      <c r="AU54" s="27">
        <v>2.5219362538999999</v>
      </c>
      <c r="AV54" s="27">
        <v>68.060633478</v>
      </c>
      <c r="AW54" s="27">
        <v>0.51243296360000001</v>
      </c>
      <c r="AX54" s="27">
        <v>30.888824834000001</v>
      </c>
      <c r="AY54" s="27">
        <v>0.3140589956</v>
      </c>
      <c r="AZ54" s="27">
        <v>10.450891970000001</v>
      </c>
      <c r="BA54" s="27">
        <v>8.8183426300000006E-2</v>
      </c>
      <c r="BB54" s="80">
        <f t="shared" si="7"/>
        <v>26.720916673999994</v>
      </c>
      <c r="BC54" s="80">
        <f t="shared" si="8"/>
        <v>0.11019054169999998</v>
      </c>
      <c r="BD54" s="27">
        <v>0</v>
      </c>
      <c r="BE54" s="80">
        <v>0</v>
      </c>
      <c r="BF54" s="27">
        <v>178.21912674000001</v>
      </c>
      <c r="BG54" s="27">
        <v>1.904982095</v>
      </c>
      <c r="BH54" s="27">
        <v>6.1820851E-3</v>
      </c>
      <c r="BI54" s="27">
        <v>3.9437748000000003E-6</v>
      </c>
      <c r="BJ54" s="27">
        <v>136.35906589000001</v>
      </c>
      <c r="BK54" s="27">
        <v>4.2834809276000003</v>
      </c>
      <c r="BL54" s="27">
        <v>214.10604483</v>
      </c>
      <c r="BM54" s="27">
        <v>1.4948615557</v>
      </c>
      <c r="BN54" s="27">
        <v>46.835901931000002</v>
      </c>
      <c r="BO54" s="27">
        <v>0.21275488619999999</v>
      </c>
      <c r="BP54" s="27">
        <v>0.31202899429999997</v>
      </c>
      <c r="BQ54" s="27">
        <v>1.1980503000000001E-3</v>
      </c>
      <c r="BR54" s="27">
        <v>0</v>
      </c>
      <c r="BS54" s="92">
        <v>0</v>
      </c>
      <c r="BT54" s="80" t="s">
        <v>136</v>
      </c>
      <c r="BU54" s="80">
        <v>0</v>
      </c>
      <c r="BV54" s="27">
        <v>0.59544228399999999</v>
      </c>
      <c r="BW54" s="27">
        <v>8.0082842000000001E-3</v>
      </c>
      <c r="BX54" s="27">
        <v>26.479194970999998</v>
      </c>
      <c r="BY54" s="27">
        <v>0.20846688769999999</v>
      </c>
      <c r="BZ54" s="80" t="s">
        <v>136</v>
      </c>
      <c r="CA54" s="80">
        <v>0</v>
      </c>
      <c r="CB54" s="80" t="s">
        <v>136</v>
      </c>
      <c r="CC54" s="80">
        <v>0</v>
      </c>
      <c r="CD54" s="27">
        <v>17.11590284</v>
      </c>
      <c r="CE54" s="27">
        <v>1.7199644399999998E-2</v>
      </c>
      <c r="CF54" s="27">
        <v>18.796413736000002</v>
      </c>
      <c r="CG54" s="27">
        <v>4.25455915E-2</v>
      </c>
      <c r="CH54" s="80" t="s">
        <v>136</v>
      </c>
      <c r="CI54" s="80">
        <v>0</v>
      </c>
      <c r="CJ54" s="80" t="s">
        <v>136</v>
      </c>
      <c r="CK54" s="80">
        <v>0</v>
      </c>
      <c r="CL54" s="80" t="s">
        <v>136</v>
      </c>
      <c r="CM54" s="80">
        <v>0</v>
      </c>
      <c r="CN54" s="80" t="s">
        <v>136</v>
      </c>
      <c r="CO54" s="80">
        <v>0</v>
      </c>
      <c r="CP54" s="27">
        <v>0.18759379449999999</v>
      </c>
      <c r="CQ54" s="27">
        <v>2.1652834999999998E-3</v>
      </c>
      <c r="CR54" s="27">
        <v>0.42191235970000002</v>
      </c>
      <c r="CS54" s="27">
        <v>4.1858056999999997E-3</v>
      </c>
      <c r="CT54" s="27">
        <v>3.8080010356999998</v>
      </c>
      <c r="CU54" s="27">
        <v>4.2927713399999998E-2</v>
      </c>
      <c r="CV54" s="27">
        <v>39.886798986999999</v>
      </c>
      <c r="CW54" s="27">
        <v>0.93841496680000003</v>
      </c>
      <c r="CX54" s="80" t="s">
        <v>136</v>
      </c>
      <c r="CY54" s="80">
        <v>0</v>
      </c>
      <c r="CZ54" s="80" t="s">
        <v>136</v>
      </c>
      <c r="DA54" s="80">
        <v>0</v>
      </c>
      <c r="DB54" s="27">
        <v>24.296973019999999</v>
      </c>
      <c r="DC54" s="27">
        <v>0.43303105780000001</v>
      </c>
      <c r="DD54" s="27">
        <v>53.272859801000003</v>
      </c>
      <c r="DE54" s="27">
        <v>2.0889051959999998</v>
      </c>
      <c r="DF54" s="27">
        <v>28.750970354</v>
      </c>
      <c r="DG54" s="27">
        <v>0.65740421559999995</v>
      </c>
      <c r="DH54" s="27">
        <v>149.46815638999999</v>
      </c>
      <c r="DI54" s="27">
        <v>1.2475778793000001</v>
      </c>
      <c r="DJ54" s="95">
        <v>3.0335090999999998E-3</v>
      </c>
      <c r="DK54" s="96">
        <v>5.3310058E-3</v>
      </c>
      <c r="DL54" s="96">
        <v>5.9601701999999999E-3</v>
      </c>
      <c r="DM54" s="96">
        <v>6.0919813999999999E-3</v>
      </c>
      <c r="DN54" s="96">
        <v>6.1154941000000004E-3</v>
      </c>
      <c r="DO54" s="96">
        <v>6.1281818000000002E-3</v>
      </c>
      <c r="DP54" s="96">
        <v>6.1340385999999998E-3</v>
      </c>
      <c r="DQ54" s="96">
        <v>6.1381654000000003E-3</v>
      </c>
      <c r="DR54" s="96">
        <v>6.1419645000000004E-3</v>
      </c>
      <c r="DS54" s="97">
        <v>6.1454196000000003E-3</v>
      </c>
      <c r="DT54" s="93">
        <v>90.289965858000002</v>
      </c>
      <c r="DU54" s="80">
        <v>0.63108896010000004</v>
      </c>
      <c r="DV54" s="80">
        <v>46.776796304000001</v>
      </c>
      <c r="DW54" s="80">
        <v>0.3389762315</v>
      </c>
      <c r="DX54" s="80">
        <v>24.086519203999998</v>
      </c>
      <c r="DY54" s="80">
        <v>0.18096987980000001</v>
      </c>
      <c r="DZ54" s="80">
        <v>12.456034755999999</v>
      </c>
      <c r="EA54" s="80">
        <v>9.7860859699999997E-2</v>
      </c>
      <c r="EB54" s="80">
        <v>6.6075271795999999</v>
      </c>
      <c r="EC54" s="80">
        <v>5.5087437500000003E-2</v>
      </c>
      <c r="ED54" s="80">
        <v>3.6413865924</v>
      </c>
      <c r="EE54" s="80">
        <v>3.28275778E-2</v>
      </c>
      <c r="EF54" s="80">
        <v>2.0993943188999999</v>
      </c>
      <c r="EG54" s="80">
        <v>2.0910349599999999E-2</v>
      </c>
      <c r="EH54" s="80">
        <v>1.2788785094999999</v>
      </c>
      <c r="EI54" s="80">
        <v>1.4317435700000001E-2</v>
      </c>
      <c r="EJ54" s="80">
        <v>0.82019543210000001</v>
      </c>
      <c r="EK54" s="80">
        <v>1.04364564E-2</v>
      </c>
      <c r="EL54" s="80">
        <v>0.55272542859999996</v>
      </c>
      <c r="EM54" s="94">
        <v>8.0255308999999993E-3</v>
      </c>
      <c r="EN54" s="80"/>
      <c r="EO54" s="80"/>
      <c r="EP54" s="80"/>
      <c r="EQ54" s="80"/>
      <c r="ER54" s="80"/>
      <c r="ES54" s="80"/>
      <c r="ET54" s="80"/>
      <c r="EU54" s="80"/>
      <c r="EV54" s="80"/>
      <c r="EW54" s="94"/>
    </row>
    <row r="55" spans="1:153" x14ac:dyDescent="0.2">
      <c r="A55" s="79">
        <v>5000</v>
      </c>
      <c r="B55" s="27">
        <v>15526</v>
      </c>
      <c r="C55" s="79">
        <v>2298.8890098000002</v>
      </c>
      <c r="D55" s="27">
        <v>4949.4575961999999</v>
      </c>
      <c r="E55" s="27">
        <v>94.848089539</v>
      </c>
      <c r="F55" s="27">
        <v>9.2282434699999999E-2</v>
      </c>
      <c r="G55" s="79">
        <v>6.8492600893000004</v>
      </c>
      <c r="H55" s="27">
        <v>3.1497109999999999E-3</v>
      </c>
      <c r="I55" s="27">
        <v>171.58929990999999</v>
      </c>
      <c r="J55" s="27">
        <v>1.1438984803000001</v>
      </c>
      <c r="K55" s="27">
        <f t="shared" si="4"/>
        <v>150.00395827521231</v>
      </c>
      <c r="L55" s="27">
        <v>97.059924967000001</v>
      </c>
      <c r="M55" s="27">
        <v>0.60741799110000005</v>
      </c>
      <c r="N55" s="27">
        <v>27.546997597000001</v>
      </c>
      <c r="O55" s="27">
        <v>0.2200029543</v>
      </c>
      <c r="P55" s="80" t="s">
        <v>136</v>
      </c>
      <c r="Q55" s="80">
        <v>0</v>
      </c>
      <c r="R55" s="27">
        <v>37.013538844999999</v>
      </c>
      <c r="S55" s="27">
        <v>6.1285542599999999E-2</v>
      </c>
      <c r="T55" s="80" t="s">
        <v>136</v>
      </c>
      <c r="U55" s="80">
        <v>0</v>
      </c>
      <c r="V55" s="80" t="s">
        <v>136</v>
      </c>
      <c r="W55" s="80">
        <v>0</v>
      </c>
      <c r="X55" s="27">
        <v>0.62883247389999997</v>
      </c>
      <c r="Y55" s="27">
        <v>6.529516E-3</v>
      </c>
      <c r="Z55" s="27">
        <v>44.486674035</v>
      </c>
      <c r="AA55" s="27">
        <v>0.99741873999999997</v>
      </c>
      <c r="AB55" s="80" t="s">
        <v>136</v>
      </c>
      <c r="AC55" s="80">
        <v>0</v>
      </c>
      <c r="AD55" s="27">
        <v>7.8824899999999998E-4</v>
      </c>
      <c r="AE55" s="27">
        <v>4.1536370999999998E-6</v>
      </c>
      <c r="AF55" s="80" t="s">
        <v>136</v>
      </c>
      <c r="AG55" s="80">
        <v>0</v>
      </c>
      <c r="AH55" s="80" t="s">
        <v>136</v>
      </c>
      <c r="AI55" s="80">
        <v>0</v>
      </c>
      <c r="AJ55" s="27">
        <f t="shared" si="5"/>
        <v>7.8824899999999998E-4</v>
      </c>
      <c r="AK55" s="27">
        <f t="shared" si="6"/>
        <v>4.1536370999999998E-6</v>
      </c>
      <c r="AL55" s="27">
        <v>129.53913360999999</v>
      </c>
      <c r="AM55" s="27">
        <v>1.6934441062000001</v>
      </c>
      <c r="AN55" s="80" t="s">
        <v>136</v>
      </c>
      <c r="AO55" s="80">
        <v>0</v>
      </c>
      <c r="AP55" s="80" t="s">
        <v>136</v>
      </c>
      <c r="AQ55" s="80">
        <v>0</v>
      </c>
      <c r="AR55" s="80" t="s">
        <v>136</v>
      </c>
      <c r="AS55" s="80">
        <v>0</v>
      </c>
      <c r="AT55" s="27">
        <v>78.506800554999998</v>
      </c>
      <c r="AU55" s="27">
        <v>2.543338388</v>
      </c>
      <c r="AV55" s="27">
        <v>69.127379634999997</v>
      </c>
      <c r="AW55" s="27">
        <v>0.51849032309999998</v>
      </c>
      <c r="AX55" s="27">
        <v>31.352866595999998</v>
      </c>
      <c r="AY55" s="27">
        <v>0.31784150750000001</v>
      </c>
      <c r="AZ55" s="27">
        <v>10.573871053</v>
      </c>
      <c r="BA55" s="27">
        <v>8.8908688599999994E-2</v>
      </c>
      <c r="BB55" s="80">
        <f t="shared" si="7"/>
        <v>27.200641986000001</v>
      </c>
      <c r="BC55" s="80">
        <f t="shared" si="8"/>
        <v>0.11174012699999997</v>
      </c>
      <c r="BD55" s="27">
        <v>0</v>
      </c>
      <c r="BE55" s="80">
        <v>0</v>
      </c>
      <c r="BF55" s="27">
        <v>181.79338349</v>
      </c>
      <c r="BG55" s="27">
        <v>1.9273086963999999</v>
      </c>
      <c r="BH55" s="27">
        <v>6.3769776E-3</v>
      </c>
      <c r="BI55" s="27">
        <v>3.9054274000000002E-6</v>
      </c>
      <c r="BJ55" s="27">
        <v>137.52867592000001</v>
      </c>
      <c r="BK55" s="27">
        <v>4.3093049185999996</v>
      </c>
      <c r="BL55" s="27">
        <v>218.7323902</v>
      </c>
      <c r="BM55" s="27">
        <v>1.5235260622</v>
      </c>
      <c r="BN55" s="27">
        <v>47.745430745</v>
      </c>
      <c r="BO55" s="27">
        <v>0.21587464819999999</v>
      </c>
      <c r="BP55" s="27">
        <v>0.32362519820000002</v>
      </c>
      <c r="BQ55" s="27">
        <v>1.2234442E-3</v>
      </c>
      <c r="BR55" s="27">
        <v>0</v>
      </c>
      <c r="BS55" s="92">
        <v>0</v>
      </c>
      <c r="BT55" s="80" t="s">
        <v>136</v>
      </c>
      <c r="BU55" s="80">
        <v>0</v>
      </c>
      <c r="BV55" s="27">
        <v>0.60304965720000003</v>
      </c>
      <c r="BW55" s="27">
        <v>8.0994559999999997E-3</v>
      </c>
      <c r="BX55" s="27">
        <v>26.943947940000001</v>
      </c>
      <c r="BY55" s="27">
        <v>0.21190349829999999</v>
      </c>
      <c r="BZ55" s="80" t="s">
        <v>136</v>
      </c>
      <c r="CA55" s="80">
        <v>0</v>
      </c>
      <c r="CB55" s="80" t="s">
        <v>136</v>
      </c>
      <c r="CC55" s="80">
        <v>0</v>
      </c>
      <c r="CD55" s="27">
        <v>17.771103346</v>
      </c>
      <c r="CE55" s="27">
        <v>1.7719996599999999E-2</v>
      </c>
      <c r="CF55" s="27">
        <v>19.242435498999999</v>
      </c>
      <c r="CG55" s="27">
        <v>4.3565545999999997E-2</v>
      </c>
      <c r="CH55" s="80" t="s">
        <v>136</v>
      </c>
      <c r="CI55" s="80">
        <v>0</v>
      </c>
      <c r="CJ55" s="80" t="s">
        <v>136</v>
      </c>
      <c r="CK55" s="80">
        <v>0</v>
      </c>
      <c r="CL55" s="80" t="s">
        <v>136</v>
      </c>
      <c r="CM55" s="80">
        <v>0</v>
      </c>
      <c r="CN55" s="80" t="s">
        <v>136</v>
      </c>
      <c r="CO55" s="80">
        <v>0</v>
      </c>
      <c r="CP55" s="27">
        <v>0.19595436199999999</v>
      </c>
      <c r="CQ55" s="27">
        <v>2.2246424999999999E-3</v>
      </c>
      <c r="CR55" s="27">
        <v>0.43287811189999997</v>
      </c>
      <c r="CS55" s="27">
        <v>4.3048734999999996E-3</v>
      </c>
      <c r="CT55" s="27">
        <v>3.9010452458999998</v>
      </c>
      <c r="CU55" s="27">
        <v>4.3858558399999997E-2</v>
      </c>
      <c r="CV55" s="27">
        <v>40.585628788999998</v>
      </c>
      <c r="CW55" s="27">
        <v>0.9535601816</v>
      </c>
      <c r="CX55" s="80" t="s">
        <v>136</v>
      </c>
      <c r="CY55" s="80">
        <v>0</v>
      </c>
      <c r="CZ55" s="80" t="s">
        <v>136</v>
      </c>
      <c r="DA55" s="80">
        <v>0</v>
      </c>
      <c r="DB55" s="27">
        <v>24.666273223000001</v>
      </c>
      <c r="DC55" s="27">
        <v>0.43826379850000002</v>
      </c>
      <c r="DD55" s="27">
        <v>53.840527330999997</v>
      </c>
      <c r="DE55" s="27">
        <v>2.1050745894</v>
      </c>
      <c r="DF55" s="27">
        <v>29.942947881999999</v>
      </c>
      <c r="DG55" s="27">
        <v>0.66753912360000001</v>
      </c>
      <c r="DH55" s="27">
        <v>151.85043561000001</v>
      </c>
      <c r="DI55" s="27">
        <v>1.2597695729</v>
      </c>
      <c r="DJ55" s="95">
        <v>3.1215043999999999E-3</v>
      </c>
      <c r="DK55" s="96">
        <v>5.4902286999999996E-3</v>
      </c>
      <c r="DL55" s="96">
        <v>6.1444402000000002E-3</v>
      </c>
      <c r="DM55" s="96">
        <v>6.2842775000000002E-3</v>
      </c>
      <c r="DN55" s="96">
        <v>6.3097431999999997E-3</v>
      </c>
      <c r="DO55" s="96">
        <v>6.3230567000000003E-3</v>
      </c>
      <c r="DP55" s="96">
        <v>6.3290572E-3</v>
      </c>
      <c r="DQ55" s="96">
        <v>6.3333334999999998E-3</v>
      </c>
      <c r="DR55" s="96">
        <v>6.3371134999999999E-3</v>
      </c>
      <c r="DS55" s="97">
        <v>6.3405507000000002E-3</v>
      </c>
      <c r="DT55" s="93">
        <v>91.052157308999995</v>
      </c>
      <c r="DU55" s="80">
        <v>0.63636057319999995</v>
      </c>
      <c r="DV55" s="80">
        <v>47.319921256999997</v>
      </c>
      <c r="DW55" s="80">
        <v>0.3428498063</v>
      </c>
      <c r="DX55" s="80">
        <v>24.448913915999999</v>
      </c>
      <c r="DY55" s="80">
        <v>0.18365326160000001</v>
      </c>
      <c r="DZ55" s="80">
        <v>12.687204381000001</v>
      </c>
      <c r="EA55" s="80">
        <v>9.9665602399999997E-2</v>
      </c>
      <c r="EB55" s="80">
        <v>6.7545465912999996</v>
      </c>
      <c r="EC55" s="80">
        <v>5.6314222099999998E-2</v>
      </c>
      <c r="ED55" s="80">
        <v>3.7385135817999999</v>
      </c>
      <c r="EE55" s="80">
        <v>3.3700565799999999E-2</v>
      </c>
      <c r="EF55" s="80">
        <v>2.1656547110000002</v>
      </c>
      <c r="EG55" s="80">
        <v>2.15581171E-2</v>
      </c>
      <c r="EH55" s="80">
        <v>1.3247749432</v>
      </c>
      <c r="EI55" s="80">
        <v>1.48127294E-2</v>
      </c>
      <c r="EJ55" s="80">
        <v>0.8524340655</v>
      </c>
      <c r="EK55" s="80">
        <v>1.0825329999999999E-2</v>
      </c>
      <c r="EL55" s="80">
        <v>0.5763858597</v>
      </c>
      <c r="EM55" s="94">
        <v>8.3434389999999994E-3</v>
      </c>
      <c r="EN55" s="80"/>
      <c r="EO55" s="80"/>
      <c r="EP55" s="80"/>
      <c r="EQ55" s="80"/>
      <c r="ER55" s="80"/>
      <c r="ES55" s="80"/>
      <c r="ET55" s="80"/>
      <c r="EU55" s="80"/>
      <c r="EV55" s="80"/>
      <c r="EW55" s="94"/>
    </row>
    <row r="56" spans="1:153" x14ac:dyDescent="0.2">
      <c r="A56" s="79">
        <v>5100</v>
      </c>
      <c r="B56" s="27">
        <v>15082</v>
      </c>
      <c r="C56" s="79">
        <v>2325.2242663000002</v>
      </c>
      <c r="D56" s="27">
        <v>5049.5342657000001</v>
      </c>
      <c r="E56" s="27">
        <v>96.636879554999993</v>
      </c>
      <c r="F56" s="27">
        <v>9.3236579400000005E-2</v>
      </c>
      <c r="G56" s="79">
        <v>7.1201091023999998</v>
      </c>
      <c r="H56" s="27">
        <v>3.2376658000000001E-3</v>
      </c>
      <c r="I56" s="27">
        <v>172.50956658999999</v>
      </c>
      <c r="J56" s="27">
        <v>1.150149759</v>
      </c>
      <c r="K56" s="27">
        <f t="shared" si="4"/>
        <v>149.98878645159112</v>
      </c>
      <c r="L56" s="27">
        <v>98.034057786999995</v>
      </c>
      <c r="M56" s="27">
        <v>0.61390181210000005</v>
      </c>
      <c r="N56" s="27">
        <v>27.998949853999999</v>
      </c>
      <c r="O56" s="27">
        <v>0.2234142992</v>
      </c>
      <c r="P56" s="80" t="s">
        <v>136</v>
      </c>
      <c r="Q56" s="80">
        <v>0</v>
      </c>
      <c r="R56" s="27">
        <v>38.087068596000002</v>
      </c>
      <c r="S56" s="27">
        <v>6.2772435799999998E-2</v>
      </c>
      <c r="T56" s="80" t="s">
        <v>136</v>
      </c>
      <c r="U56" s="80">
        <v>0</v>
      </c>
      <c r="V56" s="80" t="s">
        <v>136</v>
      </c>
      <c r="W56" s="80">
        <v>0</v>
      </c>
      <c r="X56" s="27">
        <v>0.64745489840000003</v>
      </c>
      <c r="Y56" s="27">
        <v>6.6946541999999996E-3</v>
      </c>
      <c r="Z56" s="27">
        <v>45.312729738000002</v>
      </c>
      <c r="AA56" s="27">
        <v>1.0136529209</v>
      </c>
      <c r="AB56" s="80" t="s">
        <v>136</v>
      </c>
      <c r="AC56" s="80">
        <v>0</v>
      </c>
      <c r="AD56" s="27">
        <v>7.8503410000000003E-4</v>
      </c>
      <c r="AE56" s="27">
        <v>4.1365150000000003E-6</v>
      </c>
      <c r="AF56" s="80" t="s">
        <v>136</v>
      </c>
      <c r="AG56" s="80">
        <v>0</v>
      </c>
      <c r="AH56" s="80" t="s">
        <v>136</v>
      </c>
      <c r="AI56" s="80">
        <v>0</v>
      </c>
      <c r="AJ56" s="27">
        <f t="shared" si="5"/>
        <v>7.8503410000000003E-4</v>
      </c>
      <c r="AK56" s="27">
        <f t="shared" si="6"/>
        <v>4.1365150000000003E-6</v>
      </c>
      <c r="AL56" s="27">
        <v>130.82576510000001</v>
      </c>
      <c r="AM56" s="27">
        <v>1.703524453</v>
      </c>
      <c r="AN56" s="80" t="s">
        <v>136</v>
      </c>
      <c r="AO56" s="80">
        <v>0</v>
      </c>
      <c r="AP56" s="80" t="s">
        <v>136</v>
      </c>
      <c r="AQ56" s="80">
        <v>0</v>
      </c>
      <c r="AR56" s="80" t="s">
        <v>136</v>
      </c>
      <c r="AS56" s="80">
        <v>0</v>
      </c>
      <c r="AT56" s="27">
        <v>79.451989444999995</v>
      </c>
      <c r="AU56" s="27">
        <v>2.5646050155000002</v>
      </c>
      <c r="AV56" s="27">
        <v>70.179457533000004</v>
      </c>
      <c r="AW56" s="27">
        <v>0.52418717729999997</v>
      </c>
      <c r="AX56" s="27">
        <v>31.823854906000001</v>
      </c>
      <c r="AY56" s="27">
        <v>0.32139546899999999</v>
      </c>
      <c r="AZ56" s="27">
        <v>10.686314023</v>
      </c>
      <c r="BA56" s="27">
        <v>8.9608052899999999E-2</v>
      </c>
      <c r="BB56" s="80">
        <f t="shared" si="7"/>
        <v>27.669288604000002</v>
      </c>
      <c r="BC56" s="80">
        <f t="shared" si="8"/>
        <v>0.11318365539999997</v>
      </c>
      <c r="BD56" s="27">
        <v>0</v>
      </c>
      <c r="BE56" s="80">
        <v>0</v>
      </c>
      <c r="BF56" s="27">
        <v>185.46475369000001</v>
      </c>
      <c r="BG56" s="27">
        <v>1.9491256382</v>
      </c>
      <c r="BH56" s="27">
        <v>6.6808168999999999E-3</v>
      </c>
      <c r="BI56" s="27">
        <v>3.8690355000000002E-6</v>
      </c>
      <c r="BJ56" s="27">
        <v>138.64311531999999</v>
      </c>
      <c r="BK56" s="27">
        <v>4.3333576655000003</v>
      </c>
      <c r="BL56" s="27">
        <v>223.25656801</v>
      </c>
      <c r="BM56" s="27">
        <v>1.5519930577000001</v>
      </c>
      <c r="BN56" s="27">
        <v>48.647269080999997</v>
      </c>
      <c r="BO56" s="27">
        <v>0.21903286920000001</v>
      </c>
      <c r="BP56" s="27">
        <v>0.33699839860000003</v>
      </c>
      <c r="BQ56" s="27">
        <v>1.2481165E-3</v>
      </c>
      <c r="BR56" s="27">
        <v>0</v>
      </c>
      <c r="BS56" s="92">
        <v>0</v>
      </c>
      <c r="BT56" s="80" t="s">
        <v>136</v>
      </c>
      <c r="BU56" s="80">
        <v>0</v>
      </c>
      <c r="BV56" s="27">
        <v>0.61860713519999999</v>
      </c>
      <c r="BW56" s="27">
        <v>8.2714539999999993E-3</v>
      </c>
      <c r="BX56" s="27">
        <v>27.380342719000001</v>
      </c>
      <c r="BY56" s="27">
        <v>0.21514284519999999</v>
      </c>
      <c r="BZ56" s="80" t="s">
        <v>136</v>
      </c>
      <c r="CA56" s="80">
        <v>0</v>
      </c>
      <c r="CB56" s="80" t="s">
        <v>136</v>
      </c>
      <c r="CC56" s="80">
        <v>0</v>
      </c>
      <c r="CD56" s="27">
        <v>18.393071812999999</v>
      </c>
      <c r="CE56" s="27">
        <v>1.82177829E-2</v>
      </c>
      <c r="CF56" s="27">
        <v>19.693996782999999</v>
      </c>
      <c r="CG56" s="27">
        <v>4.4554652899999998E-2</v>
      </c>
      <c r="CH56" s="80" t="s">
        <v>136</v>
      </c>
      <c r="CI56" s="80">
        <v>0</v>
      </c>
      <c r="CJ56" s="80" t="s">
        <v>136</v>
      </c>
      <c r="CK56" s="80">
        <v>0</v>
      </c>
      <c r="CL56" s="80" t="s">
        <v>136</v>
      </c>
      <c r="CM56" s="80">
        <v>0</v>
      </c>
      <c r="CN56" s="80" t="s">
        <v>136</v>
      </c>
      <c r="CO56" s="80">
        <v>0</v>
      </c>
      <c r="CP56" s="27">
        <v>0.20285814799999999</v>
      </c>
      <c r="CQ56" s="27">
        <v>2.2823806999999999E-3</v>
      </c>
      <c r="CR56" s="27">
        <v>0.44459675040000002</v>
      </c>
      <c r="CS56" s="27">
        <v>4.4122735000000001E-3</v>
      </c>
      <c r="CT56" s="27">
        <v>4.0241568393999998</v>
      </c>
      <c r="CU56" s="27">
        <v>4.5020897300000001E-2</v>
      </c>
      <c r="CV56" s="27">
        <v>41.288572897999998</v>
      </c>
      <c r="CW56" s="27">
        <v>0.96863202349999999</v>
      </c>
      <c r="CX56" s="80" t="s">
        <v>136</v>
      </c>
      <c r="CY56" s="80">
        <v>0</v>
      </c>
      <c r="CZ56" s="80" t="s">
        <v>136</v>
      </c>
      <c r="DA56" s="80">
        <v>0</v>
      </c>
      <c r="DB56" s="27">
        <v>25.028534716999999</v>
      </c>
      <c r="DC56" s="27">
        <v>0.44346206379999997</v>
      </c>
      <c r="DD56" s="27">
        <v>54.423454728000003</v>
      </c>
      <c r="DE56" s="27">
        <v>2.1211429517</v>
      </c>
      <c r="DF56" s="27">
        <v>31.214042567</v>
      </c>
      <c r="DG56" s="27">
        <v>0.67757978360000004</v>
      </c>
      <c r="DH56" s="27">
        <v>154.25071112000001</v>
      </c>
      <c r="DI56" s="27">
        <v>1.2715458545</v>
      </c>
      <c r="DJ56" s="95">
        <v>3.2065414E-3</v>
      </c>
      <c r="DK56" s="96">
        <v>5.6398448999999996E-3</v>
      </c>
      <c r="DL56" s="96">
        <v>6.3211635999999996E-3</v>
      </c>
      <c r="DM56" s="96">
        <v>6.4684032000000002E-3</v>
      </c>
      <c r="DN56" s="96">
        <v>6.4971361999999998E-3</v>
      </c>
      <c r="DO56" s="96">
        <v>6.5123899000000002E-3</v>
      </c>
      <c r="DP56" s="96">
        <v>6.5198614999999998E-3</v>
      </c>
      <c r="DQ56" s="96">
        <v>6.5254585999999998E-3</v>
      </c>
      <c r="DR56" s="96">
        <v>6.5305614E-3</v>
      </c>
      <c r="DS56" s="97">
        <v>6.5353225999999999E-3</v>
      </c>
      <c r="DT56" s="93">
        <v>91.792267397000003</v>
      </c>
      <c r="DU56" s="80">
        <v>0.64144897499999998</v>
      </c>
      <c r="DV56" s="80">
        <v>47.848550209000003</v>
      </c>
      <c r="DW56" s="80">
        <v>0.34657535740000001</v>
      </c>
      <c r="DX56" s="80">
        <v>24.799805542000001</v>
      </c>
      <c r="DY56" s="80">
        <v>0.18621140380000001</v>
      </c>
      <c r="DZ56" s="80">
        <v>12.911706179999999</v>
      </c>
      <c r="EA56" s="80">
        <v>0.1013759945</v>
      </c>
      <c r="EB56" s="80">
        <v>6.8966138346000001</v>
      </c>
      <c r="EC56" s="80">
        <v>5.7457131299999999E-2</v>
      </c>
      <c r="ED56" s="80">
        <v>3.8279929994000002</v>
      </c>
      <c r="EE56" s="80">
        <v>3.44724421E-2</v>
      </c>
      <c r="EF56" s="80">
        <v>2.2238737807</v>
      </c>
      <c r="EG56" s="80">
        <v>2.2105795899999999E-2</v>
      </c>
      <c r="EH56" s="80">
        <v>1.3640494397</v>
      </c>
      <c r="EI56" s="80">
        <v>1.5218104600000001E-2</v>
      </c>
      <c r="EJ56" s="80">
        <v>0.87928169099999998</v>
      </c>
      <c r="EK56" s="80">
        <v>1.1134895000000001E-2</v>
      </c>
      <c r="EL56" s="80">
        <v>0.59521329869999995</v>
      </c>
      <c r="EM56" s="94">
        <v>8.5888247000000008E-3</v>
      </c>
      <c r="EN56" s="80"/>
      <c r="EO56" s="80"/>
      <c r="EP56" s="80"/>
      <c r="EQ56" s="80"/>
      <c r="ER56" s="80"/>
      <c r="ES56" s="80"/>
      <c r="ET56" s="80"/>
      <c r="EU56" s="80"/>
      <c r="EV56" s="80"/>
      <c r="EW56" s="94"/>
    </row>
    <row r="57" spans="1:153" x14ac:dyDescent="0.2">
      <c r="A57" s="79">
        <v>5200</v>
      </c>
      <c r="B57" s="27">
        <v>14740</v>
      </c>
      <c r="C57" s="79">
        <v>2351.1456855000001</v>
      </c>
      <c r="D57" s="27">
        <v>5149.819281</v>
      </c>
      <c r="E57" s="27">
        <v>98.390957909999997</v>
      </c>
      <c r="F57" s="27">
        <v>9.4163431000000006E-2</v>
      </c>
      <c r="G57" s="79">
        <v>7.3994391370999999</v>
      </c>
      <c r="H57" s="27">
        <v>3.3303196999999998E-3</v>
      </c>
      <c r="I57" s="27">
        <v>173.41232997</v>
      </c>
      <c r="J57" s="27">
        <v>1.1562090369</v>
      </c>
      <c r="K57" s="27">
        <f t="shared" si="4"/>
        <v>149.98354487433258</v>
      </c>
      <c r="L57" s="27">
        <v>98.977547408999996</v>
      </c>
      <c r="M57" s="27">
        <v>0.61978128669999999</v>
      </c>
      <c r="N57" s="27">
        <v>28.461363988999999</v>
      </c>
      <c r="O57" s="27">
        <v>0.22689822840000001</v>
      </c>
      <c r="P57" s="80" t="s">
        <v>136</v>
      </c>
      <c r="Q57" s="80">
        <v>0</v>
      </c>
      <c r="R57" s="27">
        <v>39.148747526999998</v>
      </c>
      <c r="S57" s="27">
        <v>6.4202865100000006E-2</v>
      </c>
      <c r="T57" s="80" t="s">
        <v>136</v>
      </c>
      <c r="U57" s="80">
        <v>0</v>
      </c>
      <c r="V57" s="80" t="s">
        <v>136</v>
      </c>
      <c r="W57" s="80">
        <v>0</v>
      </c>
      <c r="X57" s="27">
        <v>0.66182573440000003</v>
      </c>
      <c r="Y57" s="27">
        <v>6.832271E-3</v>
      </c>
      <c r="Z57" s="27">
        <v>46.079756207000003</v>
      </c>
      <c r="AA57" s="27">
        <v>1.0293210373999999</v>
      </c>
      <c r="AB57" s="80" t="s">
        <v>136</v>
      </c>
      <c r="AC57" s="80">
        <v>0</v>
      </c>
      <c r="AD57" s="27">
        <v>7.819007E-4</v>
      </c>
      <c r="AE57" s="27">
        <v>4.1198330000000002E-6</v>
      </c>
      <c r="AF57" s="80" t="s">
        <v>136</v>
      </c>
      <c r="AG57" s="80">
        <v>0</v>
      </c>
      <c r="AH57" s="80" t="s">
        <v>136</v>
      </c>
      <c r="AI57" s="80">
        <v>0</v>
      </c>
      <c r="AJ57" s="27">
        <f t="shared" si="5"/>
        <v>7.819007E-4</v>
      </c>
      <c r="AK57" s="27">
        <f t="shared" si="6"/>
        <v>4.1198330000000002E-6</v>
      </c>
      <c r="AL57" s="27">
        <v>132.14428212999999</v>
      </c>
      <c r="AM57" s="27">
        <v>1.7133943162</v>
      </c>
      <c r="AN57" s="80" t="s">
        <v>136</v>
      </c>
      <c r="AO57" s="80">
        <v>0</v>
      </c>
      <c r="AP57" s="80" t="s">
        <v>136</v>
      </c>
      <c r="AQ57" s="80">
        <v>0</v>
      </c>
      <c r="AR57" s="80" t="s">
        <v>136</v>
      </c>
      <c r="AS57" s="80">
        <v>0</v>
      </c>
      <c r="AT57" s="27">
        <v>80.397612788999993</v>
      </c>
      <c r="AU57" s="27">
        <v>2.5852754418999999</v>
      </c>
      <c r="AV57" s="27">
        <v>71.242757810000001</v>
      </c>
      <c r="AW57" s="27">
        <v>0.52997168859999999</v>
      </c>
      <c r="AX57" s="27">
        <v>32.290845081000001</v>
      </c>
      <c r="AY57" s="27">
        <v>0.3250186497</v>
      </c>
      <c r="AZ57" s="27">
        <v>10.811521457</v>
      </c>
      <c r="BA57" s="27">
        <v>9.0335012899999997E-2</v>
      </c>
      <c r="BB57" s="80">
        <f t="shared" si="7"/>
        <v>28.140391272000002</v>
      </c>
      <c r="BC57" s="80">
        <f t="shared" si="8"/>
        <v>0.11461802599999998</v>
      </c>
      <c r="BD57" s="27">
        <v>0</v>
      </c>
      <c r="BE57" s="80">
        <v>0</v>
      </c>
      <c r="BF57" s="27">
        <v>189.07891101999999</v>
      </c>
      <c r="BG57" s="27">
        <v>1.9708572486</v>
      </c>
      <c r="BH57" s="27">
        <v>6.8761435999999997E-3</v>
      </c>
      <c r="BI57" s="27">
        <v>3.8335443999999999E-6</v>
      </c>
      <c r="BJ57" s="27">
        <v>139.78586991</v>
      </c>
      <c r="BK57" s="27">
        <v>4.3583703891000001</v>
      </c>
      <c r="BL57" s="27">
        <v>227.82439692</v>
      </c>
      <c r="BM57" s="27">
        <v>1.5805327490000001</v>
      </c>
      <c r="BN57" s="27">
        <v>49.396473802000003</v>
      </c>
      <c r="BO57" s="27">
        <v>0.22153896040000001</v>
      </c>
      <c r="BP57" s="27">
        <v>0.35255760180000001</v>
      </c>
      <c r="BQ57" s="27">
        <v>1.2672437E-3</v>
      </c>
      <c r="BR57" s="27">
        <v>0</v>
      </c>
      <c r="BS57" s="92">
        <v>0</v>
      </c>
      <c r="BT57" s="80" t="s">
        <v>136</v>
      </c>
      <c r="BU57" s="80">
        <v>0</v>
      </c>
      <c r="BV57" s="27">
        <v>0.63033915789999995</v>
      </c>
      <c r="BW57" s="27">
        <v>8.4251564999999994E-3</v>
      </c>
      <c r="BX57" s="27">
        <v>27.831024831000001</v>
      </c>
      <c r="BY57" s="27">
        <v>0.21847307190000001</v>
      </c>
      <c r="BZ57" s="80" t="s">
        <v>136</v>
      </c>
      <c r="CA57" s="80">
        <v>0</v>
      </c>
      <c r="CB57" s="80" t="s">
        <v>136</v>
      </c>
      <c r="CC57" s="80">
        <v>0</v>
      </c>
      <c r="CD57" s="27">
        <v>19.019346408000001</v>
      </c>
      <c r="CE57" s="27">
        <v>1.8697142100000001E-2</v>
      </c>
      <c r="CF57" s="27">
        <v>20.129401119000001</v>
      </c>
      <c r="CG57" s="27">
        <v>4.5505722899999997E-2</v>
      </c>
      <c r="CH57" s="80" t="s">
        <v>136</v>
      </c>
      <c r="CI57" s="80">
        <v>0</v>
      </c>
      <c r="CJ57" s="80" t="s">
        <v>136</v>
      </c>
      <c r="CK57" s="80">
        <v>0</v>
      </c>
      <c r="CL57" s="80" t="s">
        <v>136</v>
      </c>
      <c r="CM57" s="80">
        <v>0</v>
      </c>
      <c r="CN57" s="80" t="s">
        <v>136</v>
      </c>
      <c r="CO57" s="80">
        <v>0</v>
      </c>
      <c r="CP57" s="27">
        <v>0.2082673642</v>
      </c>
      <c r="CQ57" s="27">
        <v>2.3346405E-3</v>
      </c>
      <c r="CR57" s="27">
        <v>0.45355837020000001</v>
      </c>
      <c r="CS57" s="27">
        <v>4.4976304999999996E-3</v>
      </c>
      <c r="CT57" s="27">
        <v>4.1340613007</v>
      </c>
      <c r="CU57" s="27">
        <v>4.6259673500000001E-2</v>
      </c>
      <c r="CV57" s="27">
        <v>41.945694906</v>
      </c>
      <c r="CW57" s="27">
        <v>0.98306136389999998</v>
      </c>
      <c r="CX57" s="80" t="s">
        <v>136</v>
      </c>
      <c r="CY57" s="80">
        <v>0</v>
      </c>
      <c r="CZ57" s="80" t="s">
        <v>136</v>
      </c>
      <c r="DA57" s="80">
        <v>0</v>
      </c>
      <c r="DB57" s="27">
        <v>25.386578008000001</v>
      </c>
      <c r="DC57" s="27">
        <v>0.44831724169999998</v>
      </c>
      <c r="DD57" s="27">
        <v>55.011034780000003</v>
      </c>
      <c r="DE57" s="27">
        <v>2.1369582002</v>
      </c>
      <c r="DF57" s="27">
        <v>32.515852516999999</v>
      </c>
      <c r="DG57" s="27">
        <v>0.68771240310000004</v>
      </c>
      <c r="DH57" s="27">
        <v>156.56305850000001</v>
      </c>
      <c r="DI57" s="27">
        <v>1.2831448455000001</v>
      </c>
      <c r="DJ57" s="95">
        <v>3.2971831E-3</v>
      </c>
      <c r="DK57" s="96">
        <v>5.7987454999999999E-3</v>
      </c>
      <c r="DL57" s="96">
        <v>6.5062831999999999E-3</v>
      </c>
      <c r="DM57" s="96">
        <v>6.6621388E-3</v>
      </c>
      <c r="DN57" s="96">
        <v>6.6922325E-3</v>
      </c>
      <c r="DO57" s="96">
        <v>6.7080763999999996E-3</v>
      </c>
      <c r="DP57" s="96">
        <v>6.7156754000000001E-3</v>
      </c>
      <c r="DQ57" s="96">
        <v>6.7212501000000003E-3</v>
      </c>
      <c r="DR57" s="96">
        <v>6.7263325000000004E-3</v>
      </c>
      <c r="DS57" s="97">
        <v>6.7310746000000003E-3</v>
      </c>
      <c r="DT57" s="93">
        <v>92.519730378000006</v>
      </c>
      <c r="DU57" s="80">
        <v>0.64639753389999999</v>
      </c>
      <c r="DV57" s="80">
        <v>48.367596204000002</v>
      </c>
      <c r="DW57" s="80">
        <v>0.35019814090000001</v>
      </c>
      <c r="DX57" s="80">
        <v>25.143666991</v>
      </c>
      <c r="DY57" s="80">
        <v>0.1886870903</v>
      </c>
      <c r="DZ57" s="80">
        <v>13.133983135999999</v>
      </c>
      <c r="EA57" s="80">
        <v>0.10303204119999999</v>
      </c>
      <c r="EB57" s="80">
        <v>7.0385016646</v>
      </c>
      <c r="EC57" s="80">
        <v>5.85581685E-2</v>
      </c>
      <c r="ED57" s="80">
        <v>3.9209636054999999</v>
      </c>
      <c r="EE57" s="80">
        <v>3.5228302500000003E-2</v>
      </c>
      <c r="EF57" s="80">
        <v>2.2863276566000001</v>
      </c>
      <c r="EG57" s="80">
        <v>2.2639332700000001E-2</v>
      </c>
      <c r="EH57" s="80">
        <v>1.4066909311</v>
      </c>
      <c r="EI57" s="80">
        <v>1.5603590400000001E-2</v>
      </c>
      <c r="EJ57" s="80">
        <v>0.90903892369999995</v>
      </c>
      <c r="EK57" s="80">
        <v>1.14219431E-2</v>
      </c>
      <c r="EL57" s="80">
        <v>0.61680204760000001</v>
      </c>
      <c r="EM57" s="94">
        <v>8.8121246000000004E-3</v>
      </c>
      <c r="EN57" s="80"/>
      <c r="EO57" s="80"/>
      <c r="EP57" s="80"/>
      <c r="EQ57" s="80"/>
      <c r="ER57" s="80"/>
      <c r="ES57" s="80"/>
      <c r="ET57" s="80"/>
      <c r="EU57" s="80"/>
      <c r="EV57" s="80"/>
      <c r="EW57" s="94"/>
    </row>
    <row r="58" spans="1:153" x14ac:dyDescent="0.2">
      <c r="A58" s="79">
        <v>5300</v>
      </c>
      <c r="B58" s="27">
        <v>14270</v>
      </c>
      <c r="C58" s="79">
        <v>2376.7289169999999</v>
      </c>
      <c r="D58" s="27">
        <v>5249.8320856</v>
      </c>
      <c r="E58" s="27">
        <v>100.18750875000001</v>
      </c>
      <c r="F58" s="27">
        <v>9.5105166300000002E-2</v>
      </c>
      <c r="G58" s="79">
        <v>7.6731367735999996</v>
      </c>
      <c r="H58" s="27">
        <v>3.4192350000000001E-3</v>
      </c>
      <c r="I58" s="27">
        <v>174.30967852000001</v>
      </c>
      <c r="J58" s="27">
        <v>1.1622633776</v>
      </c>
      <c r="K58" s="27">
        <f t="shared" si="4"/>
        <v>149.97433617837845</v>
      </c>
      <c r="L58" s="27">
        <v>99.904783762999998</v>
      </c>
      <c r="M58" s="27">
        <v>0.62567480669999997</v>
      </c>
      <c r="N58" s="27">
        <v>28.930504504000002</v>
      </c>
      <c r="O58" s="27">
        <v>0.23038227999999999</v>
      </c>
      <c r="P58" s="80" t="s">
        <v>136</v>
      </c>
      <c r="Q58" s="80">
        <v>0</v>
      </c>
      <c r="R58" s="27">
        <v>40.173031023</v>
      </c>
      <c r="S58" s="27">
        <v>6.5630745000000004E-2</v>
      </c>
      <c r="T58" s="80" t="s">
        <v>136</v>
      </c>
      <c r="U58" s="80">
        <v>0</v>
      </c>
      <c r="V58" s="80" t="s">
        <v>136</v>
      </c>
      <c r="W58" s="80">
        <v>0</v>
      </c>
      <c r="X58" s="27">
        <v>0.67711946219999997</v>
      </c>
      <c r="Y58" s="27">
        <v>6.9744053E-3</v>
      </c>
      <c r="Z58" s="27">
        <v>46.918272418000001</v>
      </c>
      <c r="AA58" s="27">
        <v>1.046990399</v>
      </c>
      <c r="AB58" s="80" t="s">
        <v>136</v>
      </c>
      <c r="AC58" s="80">
        <v>0</v>
      </c>
      <c r="AD58" s="27">
        <v>8.0837919999999998E-4</v>
      </c>
      <c r="AE58" s="27">
        <v>4.2714176999999997E-6</v>
      </c>
      <c r="AF58" s="80" t="s">
        <v>136</v>
      </c>
      <c r="AG58" s="80">
        <v>0</v>
      </c>
      <c r="AH58" s="80" t="s">
        <v>136</v>
      </c>
      <c r="AI58" s="80">
        <v>0</v>
      </c>
      <c r="AJ58" s="27">
        <f t="shared" si="5"/>
        <v>8.0837919999999998E-4</v>
      </c>
      <c r="AK58" s="27">
        <f t="shared" si="6"/>
        <v>4.2714176999999997E-6</v>
      </c>
      <c r="AL58" s="27">
        <v>133.39289911</v>
      </c>
      <c r="AM58" s="27">
        <v>1.7231884878999999</v>
      </c>
      <c r="AN58" s="80" t="s">
        <v>136</v>
      </c>
      <c r="AO58" s="80">
        <v>0</v>
      </c>
      <c r="AP58" s="80" t="s">
        <v>136</v>
      </c>
      <c r="AQ58" s="80">
        <v>0</v>
      </c>
      <c r="AR58" s="80" t="s">
        <v>136</v>
      </c>
      <c r="AS58" s="80">
        <v>0</v>
      </c>
      <c r="AT58" s="27">
        <v>81.326558153999997</v>
      </c>
      <c r="AU58" s="27">
        <v>2.6058040169000001</v>
      </c>
      <c r="AV58" s="27">
        <v>72.257970615999994</v>
      </c>
      <c r="AW58" s="27">
        <v>0.53542883379999995</v>
      </c>
      <c r="AX58" s="27">
        <v>32.742722432000001</v>
      </c>
      <c r="AY58" s="27">
        <v>0.3283791123</v>
      </c>
      <c r="AZ58" s="27">
        <v>10.922306426</v>
      </c>
      <c r="BA58" s="27">
        <v>9.1035500599999999E-2</v>
      </c>
      <c r="BB58" s="80">
        <f t="shared" si="7"/>
        <v>28.592941757999995</v>
      </c>
      <c r="BC58" s="80">
        <f t="shared" si="8"/>
        <v>0.11601422089999996</v>
      </c>
      <c r="BD58" s="27">
        <v>0</v>
      </c>
      <c r="BE58" s="80">
        <v>0</v>
      </c>
      <c r="BF58" s="27">
        <v>192.66420521000001</v>
      </c>
      <c r="BG58" s="27">
        <v>1.9923059746</v>
      </c>
      <c r="BH58" s="27">
        <v>7.0719414000000001E-3</v>
      </c>
      <c r="BI58" s="27">
        <v>3.8009572999999998E-6</v>
      </c>
      <c r="BJ58" s="27">
        <v>140.85758597</v>
      </c>
      <c r="BK58" s="27">
        <v>4.3815301308999999</v>
      </c>
      <c r="BL58" s="27">
        <v>232.21731994000001</v>
      </c>
      <c r="BM58" s="27">
        <v>1.6075508452</v>
      </c>
      <c r="BN58" s="27">
        <v>50.172993554999998</v>
      </c>
      <c r="BO58" s="27">
        <v>0.22412584930000001</v>
      </c>
      <c r="BP58" s="27">
        <v>0.36581178460000002</v>
      </c>
      <c r="BQ58" s="27">
        <v>1.2887481E-3</v>
      </c>
      <c r="BR58" s="27">
        <v>0</v>
      </c>
      <c r="BS58" s="92">
        <v>0</v>
      </c>
      <c r="BT58" s="80" t="s">
        <v>136</v>
      </c>
      <c r="BU58" s="80">
        <v>0</v>
      </c>
      <c r="BV58" s="27">
        <v>0.6396311335</v>
      </c>
      <c r="BW58" s="27">
        <v>8.5133989E-3</v>
      </c>
      <c r="BX58" s="27">
        <v>28.29087337</v>
      </c>
      <c r="BY58" s="27">
        <v>0.2218688811</v>
      </c>
      <c r="BZ58" s="80" t="s">
        <v>136</v>
      </c>
      <c r="CA58" s="80">
        <v>0</v>
      </c>
      <c r="CB58" s="80" t="s">
        <v>136</v>
      </c>
      <c r="CC58" s="80">
        <v>0</v>
      </c>
      <c r="CD58" s="27">
        <v>19.610984248000001</v>
      </c>
      <c r="CE58" s="27">
        <v>1.9165690400000001E-2</v>
      </c>
      <c r="CF58" s="27">
        <v>20.562046774999999</v>
      </c>
      <c r="CG58" s="27">
        <v>4.64650546E-2</v>
      </c>
      <c r="CH58" s="80" t="s">
        <v>136</v>
      </c>
      <c r="CI58" s="80">
        <v>0</v>
      </c>
      <c r="CJ58" s="80" t="s">
        <v>136</v>
      </c>
      <c r="CK58" s="80">
        <v>0</v>
      </c>
      <c r="CL58" s="80" t="s">
        <v>136</v>
      </c>
      <c r="CM58" s="80">
        <v>0</v>
      </c>
      <c r="CN58" s="80" t="s">
        <v>136</v>
      </c>
      <c r="CO58" s="80">
        <v>0</v>
      </c>
      <c r="CP58" s="27">
        <v>0.2131259462</v>
      </c>
      <c r="CQ58" s="27">
        <v>2.3814630999999999E-3</v>
      </c>
      <c r="CR58" s="27">
        <v>0.46399351599999999</v>
      </c>
      <c r="CS58" s="27">
        <v>4.5929422000000001E-3</v>
      </c>
      <c r="CT58" s="27">
        <v>4.2320727763999999</v>
      </c>
      <c r="CU58" s="27">
        <v>4.7269509699999997E-2</v>
      </c>
      <c r="CV58" s="27">
        <v>42.686199641999998</v>
      </c>
      <c r="CW58" s="27">
        <v>0.99972088930000003</v>
      </c>
      <c r="CX58" s="80" t="s">
        <v>136</v>
      </c>
      <c r="CY58" s="80">
        <v>0</v>
      </c>
      <c r="CZ58" s="80" t="s">
        <v>136</v>
      </c>
      <c r="DA58" s="80">
        <v>0</v>
      </c>
      <c r="DB58" s="27">
        <v>25.749931057000001</v>
      </c>
      <c r="DC58" s="27">
        <v>0.45328135000000003</v>
      </c>
      <c r="DD58" s="27">
        <v>55.576627096999999</v>
      </c>
      <c r="DE58" s="27">
        <v>2.1525226668999999</v>
      </c>
      <c r="DF58" s="27">
        <v>33.745378989999999</v>
      </c>
      <c r="DG58" s="27">
        <v>0.69727867020000001</v>
      </c>
      <c r="DH58" s="27">
        <v>158.91882622</v>
      </c>
      <c r="DI58" s="27">
        <v>1.2950273044</v>
      </c>
      <c r="DJ58" s="95">
        <v>3.3843300000000001E-3</v>
      </c>
      <c r="DK58" s="96">
        <v>5.9536557000000002E-3</v>
      </c>
      <c r="DL58" s="96">
        <v>6.6843375999999996E-3</v>
      </c>
      <c r="DM58" s="96">
        <v>6.8491052000000004E-3</v>
      </c>
      <c r="DN58" s="96">
        <v>6.8805398E-3</v>
      </c>
      <c r="DO58" s="96">
        <v>6.8971357000000002E-3</v>
      </c>
      <c r="DP58" s="96">
        <v>6.9055169000000003E-3</v>
      </c>
      <c r="DQ58" s="96">
        <v>6.9117255000000002E-3</v>
      </c>
      <c r="DR58" s="96">
        <v>6.9174437000000004E-3</v>
      </c>
      <c r="DS58" s="97">
        <v>6.9226677999999998E-3</v>
      </c>
      <c r="DT58" s="93">
        <v>93.246659811000001</v>
      </c>
      <c r="DU58" s="80">
        <v>0.65138536329999996</v>
      </c>
      <c r="DV58" s="80">
        <v>48.895889965000002</v>
      </c>
      <c r="DW58" s="80">
        <v>0.35391905769999998</v>
      </c>
      <c r="DX58" s="80">
        <v>25.503985174</v>
      </c>
      <c r="DY58" s="80">
        <v>0.19130810370000001</v>
      </c>
      <c r="DZ58" s="80">
        <v>13.369860403000001</v>
      </c>
      <c r="EA58" s="80">
        <v>0.1048188221</v>
      </c>
      <c r="EB58" s="80">
        <v>7.1914434775</v>
      </c>
      <c r="EC58" s="80">
        <v>5.9784461400000002E-2</v>
      </c>
      <c r="ED58" s="80">
        <v>4.0210975315999997</v>
      </c>
      <c r="EE58" s="80">
        <v>3.60923353E-2</v>
      </c>
      <c r="EF58" s="80">
        <v>2.3528833658999999</v>
      </c>
      <c r="EG58" s="80">
        <v>2.3265285600000001E-2</v>
      </c>
      <c r="EH58" s="80">
        <v>1.4524497874</v>
      </c>
      <c r="EI58" s="80">
        <v>1.6077173399999999E-2</v>
      </c>
      <c r="EJ58" s="80">
        <v>0.94159129350000004</v>
      </c>
      <c r="EK58" s="80">
        <v>1.17942494E-2</v>
      </c>
      <c r="EL58" s="80">
        <v>0.6411469715</v>
      </c>
      <c r="EM58" s="94">
        <v>9.1191738999999994E-3</v>
      </c>
      <c r="EN58" s="80"/>
      <c r="EO58" s="80"/>
      <c r="EP58" s="80"/>
      <c r="EQ58" s="80"/>
      <c r="ER58" s="80"/>
      <c r="ES58" s="80"/>
      <c r="ET58" s="80"/>
      <c r="EU58" s="80"/>
      <c r="EV58" s="80"/>
      <c r="EW58" s="94"/>
    </row>
    <row r="59" spans="1:153" x14ac:dyDescent="0.2">
      <c r="A59" s="79">
        <v>5400</v>
      </c>
      <c r="B59" s="27">
        <v>13936</v>
      </c>
      <c r="C59" s="79">
        <v>2401.8826918</v>
      </c>
      <c r="D59" s="27">
        <v>5349.6850807999999</v>
      </c>
      <c r="E59" s="27">
        <v>101.90717135</v>
      </c>
      <c r="F59" s="27">
        <v>9.5976444399999999E-2</v>
      </c>
      <c r="G59" s="79">
        <v>7.9379470132999996</v>
      </c>
      <c r="H59" s="27">
        <v>3.5037092999999999E-3</v>
      </c>
      <c r="I59" s="27">
        <v>175.14106290999999</v>
      </c>
      <c r="J59" s="27">
        <v>1.1678532651</v>
      </c>
      <c r="K59" s="27">
        <f t="shared" si="4"/>
        <v>149.96838056962847</v>
      </c>
      <c r="L59" s="27">
        <v>100.80027477</v>
      </c>
      <c r="M59" s="27">
        <v>0.63171120079999998</v>
      </c>
      <c r="N59" s="27">
        <v>29.381176107000002</v>
      </c>
      <c r="O59" s="27">
        <v>0.2336266548</v>
      </c>
      <c r="P59" s="80" t="s">
        <v>136</v>
      </c>
      <c r="Q59" s="80">
        <v>0</v>
      </c>
      <c r="R59" s="27">
        <v>41.223944856999999</v>
      </c>
      <c r="S59" s="27">
        <v>6.7072479099999999E-2</v>
      </c>
      <c r="T59" s="80" t="s">
        <v>136</v>
      </c>
      <c r="U59" s="80">
        <v>0</v>
      </c>
      <c r="V59" s="80" t="s">
        <v>136</v>
      </c>
      <c r="W59" s="80">
        <v>0</v>
      </c>
      <c r="X59" s="27">
        <v>0.69922394450000003</v>
      </c>
      <c r="Y59" s="27">
        <v>7.1609335999999997E-3</v>
      </c>
      <c r="Z59" s="27">
        <v>47.729793297000001</v>
      </c>
      <c r="AA59" s="27">
        <v>1.0629607174</v>
      </c>
      <c r="AB59" s="80" t="s">
        <v>136</v>
      </c>
      <c r="AC59" s="80">
        <v>0</v>
      </c>
      <c r="AD59" s="27">
        <v>8.0532110000000004E-4</v>
      </c>
      <c r="AE59" s="27">
        <v>4.2550831000000002E-6</v>
      </c>
      <c r="AF59" s="80" t="s">
        <v>136</v>
      </c>
      <c r="AG59" s="80">
        <v>0</v>
      </c>
      <c r="AH59" s="80" t="s">
        <v>136</v>
      </c>
      <c r="AI59" s="80">
        <v>0</v>
      </c>
      <c r="AJ59" s="27">
        <f t="shared" si="5"/>
        <v>8.0532110000000004E-4</v>
      </c>
      <c r="AK59" s="27">
        <f t="shared" si="6"/>
        <v>4.2550831000000002E-6</v>
      </c>
      <c r="AL59" s="27">
        <v>134.61021916999999</v>
      </c>
      <c r="AM59" s="27">
        <v>1.7326415820000001</v>
      </c>
      <c r="AN59" s="80" t="s">
        <v>136</v>
      </c>
      <c r="AO59" s="80">
        <v>0</v>
      </c>
      <c r="AP59" s="80" t="s">
        <v>136</v>
      </c>
      <c r="AQ59" s="80">
        <v>0</v>
      </c>
      <c r="AR59" s="80" t="s">
        <v>136</v>
      </c>
      <c r="AS59" s="80">
        <v>0</v>
      </c>
      <c r="AT59" s="27">
        <v>82.200769084000001</v>
      </c>
      <c r="AU59" s="27">
        <v>2.6261323399999998</v>
      </c>
      <c r="AV59" s="27">
        <v>73.230859749000004</v>
      </c>
      <c r="AW59" s="27">
        <v>0.54088330669999996</v>
      </c>
      <c r="AX59" s="27">
        <v>33.174867704</v>
      </c>
      <c r="AY59" s="27">
        <v>0.33179231219999999</v>
      </c>
      <c r="AZ59" s="27">
        <v>11.025099663000001</v>
      </c>
      <c r="BA59" s="27">
        <v>9.1666040700000007E-2</v>
      </c>
      <c r="BB59" s="80">
        <f t="shared" si="7"/>
        <v>29.030892382000005</v>
      </c>
      <c r="BC59" s="80">
        <f t="shared" si="8"/>
        <v>0.11742495379999995</v>
      </c>
      <c r="BD59" s="27">
        <v>0</v>
      </c>
      <c r="BE59" s="80">
        <v>0</v>
      </c>
      <c r="BF59" s="27">
        <v>196.27042001999999</v>
      </c>
      <c r="BG59" s="27">
        <v>2.0139427219999999</v>
      </c>
      <c r="BH59" s="27">
        <v>7.2729828999999998E-3</v>
      </c>
      <c r="BI59" s="27">
        <v>3.7685321999999999E-6</v>
      </c>
      <c r="BJ59" s="27">
        <v>141.97733251</v>
      </c>
      <c r="BK59" s="27">
        <v>4.4052941323999999</v>
      </c>
      <c r="BL59" s="27">
        <v>236.71715517999999</v>
      </c>
      <c r="BM59" s="27">
        <v>1.6355008623</v>
      </c>
      <c r="BN59" s="27">
        <v>50.961787350000002</v>
      </c>
      <c r="BO59" s="27">
        <v>0.22680825239999999</v>
      </c>
      <c r="BP59" s="27">
        <v>0.37815159240000001</v>
      </c>
      <c r="BQ59" s="27">
        <v>1.3075952E-3</v>
      </c>
      <c r="BR59" s="27">
        <v>0</v>
      </c>
      <c r="BS59" s="92">
        <v>0</v>
      </c>
      <c r="BT59" s="80" t="s">
        <v>136</v>
      </c>
      <c r="BU59" s="80">
        <v>0</v>
      </c>
      <c r="BV59" s="27">
        <v>0.65096262640000002</v>
      </c>
      <c r="BW59" s="27">
        <v>8.6317900999999999E-3</v>
      </c>
      <c r="BX59" s="27">
        <v>28.730213481</v>
      </c>
      <c r="BY59" s="27">
        <v>0.2249948648</v>
      </c>
      <c r="BZ59" s="80" t="s">
        <v>136</v>
      </c>
      <c r="CA59" s="80">
        <v>0</v>
      </c>
      <c r="CB59" s="80" t="s">
        <v>136</v>
      </c>
      <c r="CC59" s="80">
        <v>0</v>
      </c>
      <c r="CD59" s="27">
        <v>20.231474388999999</v>
      </c>
      <c r="CE59" s="27">
        <v>1.96640012E-2</v>
      </c>
      <c r="CF59" s="27">
        <v>20.992470468</v>
      </c>
      <c r="CG59" s="27">
        <v>4.7408477800000001E-2</v>
      </c>
      <c r="CH59" s="80" t="s">
        <v>136</v>
      </c>
      <c r="CI59" s="80">
        <v>0</v>
      </c>
      <c r="CJ59" s="80" t="s">
        <v>136</v>
      </c>
      <c r="CK59" s="80">
        <v>0</v>
      </c>
      <c r="CL59" s="80" t="s">
        <v>136</v>
      </c>
      <c r="CM59" s="80">
        <v>0</v>
      </c>
      <c r="CN59" s="80" t="s">
        <v>136</v>
      </c>
      <c r="CO59" s="80">
        <v>0</v>
      </c>
      <c r="CP59" s="27">
        <v>0.2181425021</v>
      </c>
      <c r="CQ59" s="27">
        <v>2.4254802999999999E-3</v>
      </c>
      <c r="CR59" s="27">
        <v>0.4810814424</v>
      </c>
      <c r="CS59" s="27">
        <v>4.7354531999999998E-3</v>
      </c>
      <c r="CT59" s="27">
        <v>4.3578117613999998</v>
      </c>
      <c r="CU59" s="27">
        <v>4.85435356E-2</v>
      </c>
      <c r="CV59" s="27">
        <v>43.371981536</v>
      </c>
      <c r="CW59" s="27">
        <v>1.0144171817000001</v>
      </c>
      <c r="CX59" s="80" t="s">
        <v>136</v>
      </c>
      <c r="CY59" s="80">
        <v>0</v>
      </c>
      <c r="CZ59" s="80" t="s">
        <v>136</v>
      </c>
      <c r="DA59" s="80">
        <v>0</v>
      </c>
      <c r="DB59" s="27">
        <v>26.086925658999998</v>
      </c>
      <c r="DC59" s="27">
        <v>0.45817929270000002</v>
      </c>
      <c r="DD59" s="27">
        <v>56.113843424999999</v>
      </c>
      <c r="DE59" s="27">
        <v>2.1679530472000001</v>
      </c>
      <c r="DF59" s="27">
        <v>35.064609310000002</v>
      </c>
      <c r="DG59" s="27">
        <v>0.70732189769999998</v>
      </c>
      <c r="DH59" s="27">
        <v>161.20581071000001</v>
      </c>
      <c r="DI59" s="27">
        <v>1.3066208241999999</v>
      </c>
      <c r="DJ59" s="95">
        <v>3.4666669000000001E-3</v>
      </c>
      <c r="DK59" s="96">
        <v>6.1027688E-3</v>
      </c>
      <c r="DL59" s="96">
        <v>6.8574168999999997E-3</v>
      </c>
      <c r="DM59" s="96">
        <v>7.0294071999999997E-3</v>
      </c>
      <c r="DN59" s="96">
        <v>7.0640089999999996E-3</v>
      </c>
      <c r="DO59" s="96">
        <v>7.0820511999999999E-3</v>
      </c>
      <c r="DP59" s="96">
        <v>7.0912618E-3</v>
      </c>
      <c r="DQ59" s="96">
        <v>7.0983061999999996E-3</v>
      </c>
      <c r="DR59" s="96">
        <v>7.104862E-3</v>
      </c>
      <c r="DS59" s="97">
        <v>7.1109255000000003E-3</v>
      </c>
      <c r="DT59" s="93">
        <v>93.917283456000007</v>
      </c>
      <c r="DU59" s="80">
        <v>0.6559543028</v>
      </c>
      <c r="DV59" s="80">
        <v>49.372255277999997</v>
      </c>
      <c r="DW59" s="80">
        <v>0.35725168950000002</v>
      </c>
      <c r="DX59" s="80">
        <v>25.821574223999999</v>
      </c>
      <c r="DY59" s="80">
        <v>0.19360001060000001</v>
      </c>
      <c r="DZ59" s="80">
        <v>13.572828695</v>
      </c>
      <c r="EA59" s="80">
        <v>0.1063366828</v>
      </c>
      <c r="EB59" s="80">
        <v>7.3172311319999999</v>
      </c>
      <c r="EC59" s="80">
        <v>6.0767669699999999E-2</v>
      </c>
      <c r="ED59" s="80">
        <v>4.1009805107000004</v>
      </c>
      <c r="EE59" s="80">
        <v>3.6749250800000001E-2</v>
      </c>
      <c r="EF59" s="80">
        <v>2.4045310484</v>
      </c>
      <c r="EG59" s="80">
        <v>2.37143553E-2</v>
      </c>
      <c r="EH59" s="80">
        <v>1.4862153218</v>
      </c>
      <c r="EI59" s="80">
        <v>1.6390845000000001E-2</v>
      </c>
      <c r="EJ59" s="80">
        <v>0.96350969379999996</v>
      </c>
      <c r="EK59" s="80">
        <v>1.20162156E-2</v>
      </c>
      <c r="EL59" s="80">
        <v>0.65633103869999998</v>
      </c>
      <c r="EM59" s="94">
        <v>9.2860259999999993E-3</v>
      </c>
      <c r="EN59" s="80"/>
      <c r="EO59" s="80"/>
      <c r="EP59" s="80"/>
      <c r="EQ59" s="80"/>
      <c r="ER59" s="80"/>
      <c r="ES59" s="80"/>
      <c r="ET59" s="80"/>
      <c r="EU59" s="80"/>
      <c r="EV59" s="80"/>
      <c r="EW59" s="94"/>
    </row>
    <row r="60" spans="1:153" x14ac:dyDescent="0.2">
      <c r="A60" s="79">
        <v>5500</v>
      </c>
      <c r="B60" s="27">
        <v>13638</v>
      </c>
      <c r="C60" s="79">
        <v>2426.6793788</v>
      </c>
      <c r="D60" s="27">
        <v>5449.7602567000004</v>
      </c>
      <c r="E60" s="27">
        <v>103.62670109</v>
      </c>
      <c r="F60" s="27">
        <v>9.68475486E-2</v>
      </c>
      <c r="G60" s="79">
        <v>8.1929203346000001</v>
      </c>
      <c r="H60" s="27">
        <v>3.5816210000000001E-3</v>
      </c>
      <c r="I60" s="27">
        <v>176.00309318000001</v>
      </c>
      <c r="J60" s="27">
        <v>1.173665119</v>
      </c>
      <c r="K60" s="27">
        <f t="shared" si="4"/>
        <v>149.96023169706214</v>
      </c>
      <c r="L60" s="27">
        <v>101.72994829</v>
      </c>
      <c r="M60" s="27">
        <v>0.63774828760000002</v>
      </c>
      <c r="N60" s="27">
        <v>29.805363416999999</v>
      </c>
      <c r="O60" s="27">
        <v>0.2367808059</v>
      </c>
      <c r="P60" s="80" t="s">
        <v>136</v>
      </c>
      <c r="Q60" s="80">
        <v>0</v>
      </c>
      <c r="R60" s="27">
        <v>42.233741295999998</v>
      </c>
      <c r="S60" s="27">
        <v>6.8471213099999997E-2</v>
      </c>
      <c r="T60" s="80" t="s">
        <v>136</v>
      </c>
      <c r="U60" s="80">
        <v>0</v>
      </c>
      <c r="V60" s="80" t="s">
        <v>136</v>
      </c>
      <c r="W60" s="80">
        <v>0</v>
      </c>
      <c r="X60" s="27">
        <v>0.71987507390000005</v>
      </c>
      <c r="Y60" s="27">
        <v>7.3653712E-3</v>
      </c>
      <c r="Z60" s="27">
        <v>48.557261769999997</v>
      </c>
      <c r="AA60" s="27">
        <v>1.0795067127</v>
      </c>
      <c r="AB60" s="80" t="s">
        <v>136</v>
      </c>
      <c r="AC60" s="80">
        <v>0</v>
      </c>
      <c r="AD60" s="27">
        <v>8.3520980000000001E-4</v>
      </c>
      <c r="AE60" s="27">
        <v>4.3940791999999999E-6</v>
      </c>
      <c r="AF60" s="80" t="s">
        <v>136</v>
      </c>
      <c r="AG60" s="80">
        <v>0</v>
      </c>
      <c r="AH60" s="80" t="s">
        <v>136</v>
      </c>
      <c r="AI60" s="80">
        <v>0</v>
      </c>
      <c r="AJ60" s="27">
        <f t="shared" si="5"/>
        <v>8.3520980000000001E-4</v>
      </c>
      <c r="AK60" s="27">
        <f t="shared" si="6"/>
        <v>4.3940791999999999E-6</v>
      </c>
      <c r="AL60" s="27">
        <v>135.84419478999999</v>
      </c>
      <c r="AM60" s="27">
        <v>1.7422167345999999</v>
      </c>
      <c r="AN60" s="80" t="s">
        <v>136</v>
      </c>
      <c r="AO60" s="80">
        <v>0</v>
      </c>
      <c r="AP60" s="80" t="s">
        <v>136</v>
      </c>
      <c r="AQ60" s="80">
        <v>0</v>
      </c>
      <c r="AR60" s="80" t="s">
        <v>136</v>
      </c>
      <c r="AS60" s="80">
        <v>0</v>
      </c>
      <c r="AT60" s="27">
        <v>83.072568395999994</v>
      </c>
      <c r="AU60" s="27">
        <v>2.6460693168999998</v>
      </c>
      <c r="AV60" s="27">
        <v>74.261063789999994</v>
      </c>
      <c r="AW60" s="27">
        <v>0.54653136329999996</v>
      </c>
      <c r="AX60" s="27">
        <v>33.620308369999997</v>
      </c>
      <c r="AY60" s="27">
        <v>0.33525588909999998</v>
      </c>
      <c r="AZ60" s="27">
        <v>11.148832847</v>
      </c>
      <c r="BA60" s="27">
        <v>9.2410944999999994E-2</v>
      </c>
      <c r="BB60" s="80">
        <f t="shared" si="7"/>
        <v>29.491922572999997</v>
      </c>
      <c r="BC60" s="80">
        <f t="shared" si="8"/>
        <v>0.11886452920000001</v>
      </c>
      <c r="BD60" s="27">
        <v>0</v>
      </c>
      <c r="BE60" s="80">
        <v>0</v>
      </c>
      <c r="BF60" s="27">
        <v>199.90428274000001</v>
      </c>
      <c r="BG60" s="27">
        <v>2.0347298283000002</v>
      </c>
      <c r="BH60" s="27">
        <v>7.4386872000000003E-3</v>
      </c>
      <c r="BI60" s="27">
        <v>3.7367251000000001E-6</v>
      </c>
      <c r="BJ60" s="27">
        <v>143.01485742</v>
      </c>
      <c r="BK60" s="27">
        <v>4.4278872613000004</v>
      </c>
      <c r="BL60" s="27">
        <v>241.19491858999999</v>
      </c>
      <c r="BM60" s="27">
        <v>1.66346006</v>
      </c>
      <c r="BN60" s="27">
        <v>51.731892532000003</v>
      </c>
      <c r="BO60" s="27">
        <v>0.22946578740000001</v>
      </c>
      <c r="BP60" s="27">
        <v>0.3831743588</v>
      </c>
      <c r="BQ60" s="27">
        <v>1.3193332000000001E-3</v>
      </c>
      <c r="BR60" s="27">
        <v>0</v>
      </c>
      <c r="BS60" s="92">
        <v>0</v>
      </c>
      <c r="BT60" s="80" t="s">
        <v>136</v>
      </c>
      <c r="BU60" s="80">
        <v>0</v>
      </c>
      <c r="BV60" s="27">
        <v>0.66503521629999995</v>
      </c>
      <c r="BW60" s="27">
        <v>8.7506904999999999E-3</v>
      </c>
      <c r="BX60" s="27">
        <v>29.140328200999999</v>
      </c>
      <c r="BY60" s="27">
        <v>0.2280301153</v>
      </c>
      <c r="BZ60" s="80" t="s">
        <v>136</v>
      </c>
      <c r="CA60" s="80">
        <v>0</v>
      </c>
      <c r="CB60" s="80" t="s">
        <v>136</v>
      </c>
      <c r="CC60" s="80">
        <v>0</v>
      </c>
      <c r="CD60" s="27">
        <v>20.830268699000001</v>
      </c>
      <c r="CE60" s="27">
        <v>2.0135094400000001E-2</v>
      </c>
      <c r="CF60" s="27">
        <v>21.403472597</v>
      </c>
      <c r="CG60" s="27">
        <v>4.83361187E-2</v>
      </c>
      <c r="CH60" s="80" t="s">
        <v>136</v>
      </c>
      <c r="CI60" s="80">
        <v>0</v>
      </c>
      <c r="CJ60" s="80" t="s">
        <v>136</v>
      </c>
      <c r="CK60" s="80">
        <v>0</v>
      </c>
      <c r="CL60" s="80" t="s">
        <v>136</v>
      </c>
      <c r="CM60" s="80">
        <v>0</v>
      </c>
      <c r="CN60" s="80" t="s">
        <v>136</v>
      </c>
      <c r="CO60" s="80">
        <v>0</v>
      </c>
      <c r="CP60" s="27">
        <v>0.22493024640000001</v>
      </c>
      <c r="CQ60" s="27">
        <v>2.4998349000000001E-3</v>
      </c>
      <c r="CR60" s="27">
        <v>0.49494482750000002</v>
      </c>
      <c r="CS60" s="27">
        <v>4.8655362999999998E-3</v>
      </c>
      <c r="CT60" s="27">
        <v>4.4842491058</v>
      </c>
      <c r="CU60" s="27">
        <v>4.9769720699999999E-2</v>
      </c>
      <c r="CV60" s="27">
        <v>44.073012663999997</v>
      </c>
      <c r="CW60" s="27">
        <v>1.0297369920999999</v>
      </c>
      <c r="CX60" s="80" t="s">
        <v>136</v>
      </c>
      <c r="CY60" s="80">
        <v>0</v>
      </c>
      <c r="CZ60" s="80" t="s">
        <v>136</v>
      </c>
      <c r="DA60" s="80">
        <v>0</v>
      </c>
      <c r="DB60" s="27">
        <v>26.417215462000001</v>
      </c>
      <c r="DC60" s="27">
        <v>0.46291825349999999</v>
      </c>
      <c r="DD60" s="27">
        <v>56.655352934</v>
      </c>
      <c r="DE60" s="27">
        <v>2.1831510635</v>
      </c>
      <c r="DF60" s="27">
        <v>36.346945132999998</v>
      </c>
      <c r="DG60" s="27">
        <v>0.71675747089999997</v>
      </c>
      <c r="DH60" s="27">
        <v>163.55733760999999</v>
      </c>
      <c r="DI60" s="27">
        <v>1.3179723574</v>
      </c>
      <c r="DJ60" s="95">
        <v>3.543034E-3</v>
      </c>
      <c r="DK60" s="96">
        <v>6.2351089000000004E-3</v>
      </c>
      <c r="DL60" s="96">
        <v>7.0121495999999998E-3</v>
      </c>
      <c r="DM60" s="96">
        <v>7.1933420000000001E-3</v>
      </c>
      <c r="DN60" s="96">
        <v>7.2296013999999997E-3</v>
      </c>
      <c r="DO60" s="96">
        <v>7.2478971999999997E-3</v>
      </c>
      <c r="DP60" s="96">
        <v>7.2573929000000004E-3</v>
      </c>
      <c r="DQ60" s="96">
        <v>7.2645619999999996E-3</v>
      </c>
      <c r="DR60" s="96">
        <v>7.2710904999999998E-3</v>
      </c>
      <c r="DS60" s="97">
        <v>7.2771279999999999E-3</v>
      </c>
      <c r="DT60" s="93">
        <v>94.616520653999999</v>
      </c>
      <c r="DU60" s="80">
        <v>0.6607300156</v>
      </c>
      <c r="DV60" s="80">
        <v>49.877856592000001</v>
      </c>
      <c r="DW60" s="80">
        <v>0.36080149169999998</v>
      </c>
      <c r="DX60" s="80">
        <v>26.160842509999998</v>
      </c>
      <c r="DY60" s="80">
        <v>0.1960675254</v>
      </c>
      <c r="DZ60" s="80">
        <v>13.792013099</v>
      </c>
      <c r="EA60" s="80">
        <v>0.10800541029999999</v>
      </c>
      <c r="EB60" s="80">
        <v>7.4554842922000004</v>
      </c>
      <c r="EC60" s="80">
        <v>6.18904183E-2</v>
      </c>
      <c r="ED60" s="80">
        <v>4.1899650421999999</v>
      </c>
      <c r="EE60" s="80">
        <v>3.7525833100000003E-2</v>
      </c>
      <c r="EF60" s="80">
        <v>2.4644902947</v>
      </c>
      <c r="EG60" s="80">
        <v>2.4279338500000001E-2</v>
      </c>
      <c r="EH60" s="80">
        <v>1.5267345052000001</v>
      </c>
      <c r="EI60" s="80">
        <v>1.6811242600000002E-2</v>
      </c>
      <c r="EJ60" s="80">
        <v>0.99183960989999997</v>
      </c>
      <c r="EK60" s="80">
        <v>1.2341488100000001E-2</v>
      </c>
      <c r="EL60" s="80">
        <v>0.67691659829999995</v>
      </c>
      <c r="EM60" s="94">
        <v>9.5494341999999999E-3</v>
      </c>
      <c r="EN60" s="80"/>
      <c r="EO60" s="80"/>
      <c r="EP60" s="80"/>
      <c r="EQ60" s="80"/>
      <c r="ER60" s="80"/>
      <c r="ES60" s="80"/>
      <c r="ET60" s="80"/>
      <c r="EU60" s="80"/>
      <c r="EV60" s="80"/>
      <c r="EW60" s="94"/>
    </row>
    <row r="61" spans="1:153" x14ac:dyDescent="0.2">
      <c r="A61" s="79">
        <v>5600</v>
      </c>
      <c r="B61" s="27">
        <v>13099</v>
      </c>
      <c r="C61" s="79">
        <v>2451.0834998</v>
      </c>
      <c r="D61" s="27">
        <v>5549.5926741000003</v>
      </c>
      <c r="E61" s="27">
        <v>105.29366678</v>
      </c>
      <c r="F61" s="27">
        <v>9.7648650200000006E-2</v>
      </c>
      <c r="G61" s="79">
        <v>8.4558891359999997</v>
      </c>
      <c r="H61" s="27">
        <v>3.6584507E-3</v>
      </c>
      <c r="I61" s="27">
        <v>176.81205821</v>
      </c>
      <c r="J61" s="27">
        <v>1.1790560832999999</v>
      </c>
      <c r="K61" s="27">
        <f t="shared" si="4"/>
        <v>149.96068525860937</v>
      </c>
      <c r="L61" s="27">
        <v>102.57571765</v>
      </c>
      <c r="M61" s="27">
        <v>0.64314672009999996</v>
      </c>
      <c r="N61" s="27">
        <v>30.207124647000001</v>
      </c>
      <c r="O61" s="27">
        <v>0.2397873214</v>
      </c>
      <c r="P61" s="80" t="s">
        <v>136</v>
      </c>
      <c r="Q61" s="80">
        <v>0</v>
      </c>
      <c r="R61" s="27">
        <v>43.306214805000003</v>
      </c>
      <c r="S61" s="27">
        <v>6.9917366300000006E-2</v>
      </c>
      <c r="T61" s="80" t="s">
        <v>136</v>
      </c>
      <c r="U61" s="80">
        <v>0</v>
      </c>
      <c r="V61" s="80" t="s">
        <v>136</v>
      </c>
      <c r="W61" s="80">
        <v>0</v>
      </c>
      <c r="X61" s="27">
        <v>0.74176709060000001</v>
      </c>
      <c r="Y61" s="27">
        <v>7.5449764000000002E-3</v>
      </c>
      <c r="Z61" s="27">
        <v>49.360423922000003</v>
      </c>
      <c r="AA61" s="27">
        <v>1.0955976426</v>
      </c>
      <c r="AB61" s="80" t="s">
        <v>136</v>
      </c>
      <c r="AC61" s="80">
        <v>0</v>
      </c>
      <c r="AD61" s="27">
        <v>9.0535690000000005E-4</v>
      </c>
      <c r="AE61" s="27">
        <v>4.5320795999999999E-6</v>
      </c>
      <c r="AF61" s="80" t="s">
        <v>136</v>
      </c>
      <c r="AG61" s="80">
        <v>0</v>
      </c>
      <c r="AH61" s="80" t="s">
        <v>136</v>
      </c>
      <c r="AI61" s="80">
        <v>0</v>
      </c>
      <c r="AJ61" s="27">
        <f t="shared" si="5"/>
        <v>9.0535690000000005E-4</v>
      </c>
      <c r="AK61" s="27">
        <f t="shared" si="6"/>
        <v>4.5320795999999999E-6</v>
      </c>
      <c r="AL61" s="27">
        <v>137.03230814</v>
      </c>
      <c r="AM61" s="27">
        <v>1.7510242724</v>
      </c>
      <c r="AN61" s="80" t="s">
        <v>136</v>
      </c>
      <c r="AO61" s="80">
        <v>0</v>
      </c>
      <c r="AP61" s="80" t="s">
        <v>136</v>
      </c>
      <c r="AQ61" s="80">
        <v>0</v>
      </c>
      <c r="AR61" s="80" t="s">
        <v>136</v>
      </c>
      <c r="AS61" s="80">
        <v>0</v>
      </c>
      <c r="AT61" s="27">
        <v>83.929119779000004</v>
      </c>
      <c r="AU61" s="27">
        <v>2.6654145109999998</v>
      </c>
      <c r="AV61" s="27">
        <v>75.235436131</v>
      </c>
      <c r="AW61" s="27">
        <v>0.55176559110000001</v>
      </c>
      <c r="AX61" s="27">
        <v>34.040253692</v>
      </c>
      <c r="AY61" s="27">
        <v>0.33854769610000002</v>
      </c>
      <c r="AZ61" s="27">
        <v>11.251981666000001</v>
      </c>
      <c r="BA61" s="27">
        <v>9.3043587799999994E-2</v>
      </c>
      <c r="BB61" s="80">
        <f t="shared" si="7"/>
        <v>29.943200773000001</v>
      </c>
      <c r="BC61" s="80">
        <f t="shared" si="8"/>
        <v>0.1201743072</v>
      </c>
      <c r="BD61" s="27">
        <v>0</v>
      </c>
      <c r="BE61" s="80">
        <v>0</v>
      </c>
      <c r="BF61" s="27">
        <v>203.49913035</v>
      </c>
      <c r="BG61" s="27">
        <v>2.0554860646000002</v>
      </c>
      <c r="BH61" s="27">
        <v>7.6095475999999997E-3</v>
      </c>
      <c r="BI61" s="27">
        <v>4.0879365000000001E-6</v>
      </c>
      <c r="BJ61" s="27">
        <v>143.99363162</v>
      </c>
      <c r="BK61" s="27">
        <v>4.4489605490999997</v>
      </c>
      <c r="BL61" s="27">
        <v>245.57964908</v>
      </c>
      <c r="BM61" s="27">
        <v>1.6901587622000001</v>
      </c>
      <c r="BN61" s="27">
        <v>52.486749297999999</v>
      </c>
      <c r="BO61" s="27">
        <v>0.23205945059999999</v>
      </c>
      <c r="BP61" s="27">
        <v>0.40152546579999998</v>
      </c>
      <c r="BQ61" s="27">
        <v>1.3510608999999999E-3</v>
      </c>
      <c r="BR61" s="27">
        <v>0</v>
      </c>
      <c r="BS61" s="92">
        <v>0</v>
      </c>
      <c r="BT61" s="80" t="s">
        <v>136</v>
      </c>
      <c r="BU61" s="80">
        <v>0</v>
      </c>
      <c r="BV61" s="27">
        <v>0.68205535989999999</v>
      </c>
      <c r="BW61" s="27">
        <v>8.8963047999999992E-3</v>
      </c>
      <c r="BX61" s="27">
        <v>29.525069287000001</v>
      </c>
      <c r="BY61" s="27">
        <v>0.2308910166</v>
      </c>
      <c r="BZ61" s="80" t="s">
        <v>136</v>
      </c>
      <c r="CA61" s="80">
        <v>0</v>
      </c>
      <c r="CB61" s="80" t="s">
        <v>136</v>
      </c>
      <c r="CC61" s="80">
        <v>0</v>
      </c>
      <c r="CD61" s="27">
        <v>21.463204704999999</v>
      </c>
      <c r="CE61" s="27">
        <v>2.0624389E-2</v>
      </c>
      <c r="CF61" s="27">
        <v>21.843010101000001</v>
      </c>
      <c r="CG61" s="27">
        <v>4.9292977299999999E-2</v>
      </c>
      <c r="CH61" s="80" t="s">
        <v>136</v>
      </c>
      <c r="CI61" s="80">
        <v>0</v>
      </c>
      <c r="CJ61" s="80" t="s">
        <v>136</v>
      </c>
      <c r="CK61" s="80">
        <v>0</v>
      </c>
      <c r="CL61" s="80" t="s">
        <v>136</v>
      </c>
      <c r="CM61" s="80">
        <v>0</v>
      </c>
      <c r="CN61" s="80" t="s">
        <v>136</v>
      </c>
      <c r="CO61" s="80">
        <v>0</v>
      </c>
      <c r="CP61" s="27">
        <v>0.23449167470000001</v>
      </c>
      <c r="CQ61" s="27">
        <v>2.5755472000000001E-3</v>
      </c>
      <c r="CR61" s="27">
        <v>0.50727541590000003</v>
      </c>
      <c r="CS61" s="27">
        <v>4.9694292000000001E-3</v>
      </c>
      <c r="CT61" s="27">
        <v>4.6027847216</v>
      </c>
      <c r="CU61" s="27">
        <v>5.0950090699999999E-2</v>
      </c>
      <c r="CV61" s="27">
        <v>44.757639201000003</v>
      </c>
      <c r="CW61" s="27">
        <v>1.0446475518</v>
      </c>
      <c r="CX61" s="80" t="s">
        <v>136</v>
      </c>
      <c r="CY61" s="80">
        <v>0</v>
      </c>
      <c r="CZ61" s="80" t="s">
        <v>136</v>
      </c>
      <c r="DA61" s="80">
        <v>0</v>
      </c>
      <c r="DB61" s="27">
        <v>26.73906895</v>
      </c>
      <c r="DC61" s="27">
        <v>0.46739180279999998</v>
      </c>
      <c r="DD61" s="27">
        <v>57.190050829</v>
      </c>
      <c r="DE61" s="27">
        <v>2.1980227082999999</v>
      </c>
      <c r="DF61" s="27">
        <v>37.629045118999997</v>
      </c>
      <c r="DG61" s="27">
        <v>0.72618835469999998</v>
      </c>
      <c r="DH61" s="27">
        <v>165.87008523</v>
      </c>
      <c r="DI61" s="27">
        <v>1.3292977099000001</v>
      </c>
      <c r="DJ61" s="95">
        <v>3.6183961999999999E-3</v>
      </c>
      <c r="DK61" s="96">
        <v>6.3643003000000004E-3</v>
      </c>
      <c r="DL61" s="96">
        <v>7.1625103000000001E-3</v>
      </c>
      <c r="DM61" s="96">
        <v>7.3506196999999999E-3</v>
      </c>
      <c r="DN61" s="96">
        <v>7.3897709999999998E-3</v>
      </c>
      <c r="DO61" s="96">
        <v>7.4102187999999999E-3</v>
      </c>
      <c r="DP61" s="96">
        <v>7.4205768999999998E-3</v>
      </c>
      <c r="DQ61" s="96">
        <v>7.4284618000000002E-3</v>
      </c>
      <c r="DR61" s="96">
        <v>7.4355421999999999E-3</v>
      </c>
      <c r="DS61" s="97">
        <v>7.4421332000000001E-3</v>
      </c>
      <c r="DT61" s="93">
        <v>95.272179499999993</v>
      </c>
      <c r="DU61" s="80">
        <v>0.66516269210000001</v>
      </c>
      <c r="DV61" s="80">
        <v>50.352353317999999</v>
      </c>
      <c r="DW61" s="80">
        <v>0.36409103529999998</v>
      </c>
      <c r="DX61" s="80">
        <v>26.480405609999998</v>
      </c>
      <c r="DY61" s="80">
        <v>0.19834956030000001</v>
      </c>
      <c r="DZ61" s="80">
        <v>13.999718839</v>
      </c>
      <c r="EA61" s="80">
        <v>0.10953927419999999</v>
      </c>
      <c r="EB61" s="80">
        <v>7.5879263517000002</v>
      </c>
      <c r="EC61" s="80">
        <v>6.2915361500000003E-2</v>
      </c>
      <c r="ED61" s="80">
        <v>4.2746532635000003</v>
      </c>
      <c r="EE61" s="80">
        <v>3.8217823200000001E-2</v>
      </c>
      <c r="EF61" s="80">
        <v>2.5205650122000001</v>
      </c>
      <c r="EG61" s="80">
        <v>2.4764080599999998E-2</v>
      </c>
      <c r="EH61" s="80">
        <v>1.5651428004000001</v>
      </c>
      <c r="EI61" s="80">
        <v>1.7167162199999999E-2</v>
      </c>
      <c r="EJ61" s="80">
        <v>1.0186094673999999</v>
      </c>
      <c r="EK61" s="80">
        <v>1.2610443000000001E-2</v>
      </c>
      <c r="EL61" s="80">
        <v>0.69608327830000005</v>
      </c>
      <c r="EM61" s="94">
        <v>9.7596783999999992E-3</v>
      </c>
      <c r="EN61" s="80"/>
      <c r="EO61" s="80"/>
      <c r="EP61" s="80"/>
      <c r="EQ61" s="80"/>
      <c r="ER61" s="80"/>
      <c r="ES61" s="80"/>
      <c r="ET61" s="80"/>
      <c r="EU61" s="80"/>
      <c r="EV61" s="80"/>
      <c r="EW61" s="94"/>
    </row>
    <row r="62" spans="1:153" x14ac:dyDescent="0.2">
      <c r="A62" s="79">
        <v>5700</v>
      </c>
      <c r="B62" s="27">
        <v>12964</v>
      </c>
      <c r="C62" s="79">
        <v>2475.1185320999998</v>
      </c>
      <c r="D62" s="27">
        <v>5650.1906062999997</v>
      </c>
      <c r="E62" s="27">
        <v>106.92141036</v>
      </c>
      <c r="F62" s="27">
        <v>9.8432077199999995E-2</v>
      </c>
      <c r="G62" s="79">
        <v>8.7388395092</v>
      </c>
      <c r="H62" s="27">
        <v>3.7419933E-3</v>
      </c>
      <c r="I62" s="27">
        <v>177.60896120999999</v>
      </c>
      <c r="J62" s="27">
        <v>1.184498845</v>
      </c>
      <c r="K62" s="27">
        <f t="shared" si="4"/>
        <v>149.94439374907114</v>
      </c>
      <c r="L62" s="27">
        <v>103.42080335999999</v>
      </c>
      <c r="M62" s="27">
        <v>0.64868583130000002</v>
      </c>
      <c r="N62" s="27">
        <v>30.670137318999998</v>
      </c>
      <c r="O62" s="27">
        <v>0.24320980819999999</v>
      </c>
      <c r="P62" s="80" t="s">
        <v>136</v>
      </c>
      <c r="Q62" s="80">
        <v>0</v>
      </c>
      <c r="R62" s="27">
        <v>44.344359517000001</v>
      </c>
      <c r="S62" s="27">
        <v>7.1289900000000003E-2</v>
      </c>
      <c r="T62" s="80" t="s">
        <v>136</v>
      </c>
      <c r="U62" s="80">
        <v>0</v>
      </c>
      <c r="V62" s="80" t="s">
        <v>136</v>
      </c>
      <c r="W62" s="80">
        <v>0</v>
      </c>
      <c r="X62" s="27">
        <v>0.76071365099999999</v>
      </c>
      <c r="Y62" s="27">
        <v>7.7061667999999998E-3</v>
      </c>
      <c r="Z62" s="27">
        <v>50.137566520999997</v>
      </c>
      <c r="AA62" s="27">
        <v>1.1106327075</v>
      </c>
      <c r="AB62" s="80" t="s">
        <v>136</v>
      </c>
      <c r="AC62" s="80">
        <v>0</v>
      </c>
      <c r="AD62" s="27">
        <v>9.0248339999999996E-4</v>
      </c>
      <c r="AE62" s="27">
        <v>4.5173585999999999E-6</v>
      </c>
      <c r="AF62" s="80" t="s">
        <v>136</v>
      </c>
      <c r="AG62" s="80">
        <v>0</v>
      </c>
      <c r="AH62" s="80" t="s">
        <v>136</v>
      </c>
      <c r="AI62" s="80">
        <v>0</v>
      </c>
      <c r="AJ62" s="27">
        <f t="shared" si="5"/>
        <v>9.0248339999999996E-4</v>
      </c>
      <c r="AK62" s="27">
        <f t="shared" si="6"/>
        <v>4.5173585999999999E-6</v>
      </c>
      <c r="AL62" s="27">
        <v>138.22761306000001</v>
      </c>
      <c r="AM62" s="27">
        <v>1.7599465674999999</v>
      </c>
      <c r="AN62" s="80" t="s">
        <v>136</v>
      </c>
      <c r="AO62" s="80">
        <v>0</v>
      </c>
      <c r="AP62" s="80" t="s">
        <v>136</v>
      </c>
      <c r="AQ62" s="80">
        <v>0</v>
      </c>
      <c r="AR62" s="80" t="s">
        <v>136</v>
      </c>
      <c r="AS62" s="80">
        <v>0</v>
      </c>
      <c r="AT62" s="27">
        <v>84.835335467999997</v>
      </c>
      <c r="AU62" s="27">
        <v>2.6848627891999999</v>
      </c>
      <c r="AV62" s="27">
        <v>76.197316013999995</v>
      </c>
      <c r="AW62" s="27">
        <v>0.55696242149999997</v>
      </c>
      <c r="AX62" s="27">
        <v>34.449799532</v>
      </c>
      <c r="AY62" s="27">
        <v>0.34176001039999998</v>
      </c>
      <c r="AZ62" s="27">
        <v>11.371214037</v>
      </c>
      <c r="BA62" s="27">
        <v>9.3707149399999995E-2</v>
      </c>
      <c r="BB62" s="80">
        <f t="shared" si="7"/>
        <v>30.376302444999993</v>
      </c>
      <c r="BC62" s="80">
        <f t="shared" si="8"/>
        <v>0.12149526170000002</v>
      </c>
      <c r="BD62" s="27">
        <v>0</v>
      </c>
      <c r="BE62" s="80">
        <v>0</v>
      </c>
      <c r="BF62" s="27">
        <v>207.07298356000001</v>
      </c>
      <c r="BG62" s="27">
        <v>2.0757128126</v>
      </c>
      <c r="BH62" s="27">
        <v>7.7944598000000004E-3</v>
      </c>
      <c r="BI62" s="27">
        <v>4.0556464000000004E-6</v>
      </c>
      <c r="BJ62" s="27">
        <v>145.00294916999999</v>
      </c>
      <c r="BK62" s="27">
        <v>4.4700042504999997</v>
      </c>
      <c r="BL62" s="27">
        <v>249.96733528999999</v>
      </c>
      <c r="BM62" s="27">
        <v>1.716940296</v>
      </c>
      <c r="BN62" s="27">
        <v>53.302551592</v>
      </c>
      <c r="BO62" s="27">
        <v>0.23473871430000001</v>
      </c>
      <c r="BP62" s="27">
        <v>0.42313672749999998</v>
      </c>
      <c r="BQ62" s="27">
        <v>1.3800157000000001E-3</v>
      </c>
      <c r="BR62" s="27">
        <v>0</v>
      </c>
      <c r="BS62" s="92">
        <v>0</v>
      </c>
      <c r="BT62" s="80" t="s">
        <v>136</v>
      </c>
      <c r="BU62" s="80">
        <v>0</v>
      </c>
      <c r="BV62" s="27">
        <v>0.69436761280000003</v>
      </c>
      <c r="BW62" s="27">
        <v>9.0973762E-3</v>
      </c>
      <c r="BX62" s="27">
        <v>29.975769707000001</v>
      </c>
      <c r="BY62" s="27">
        <v>0.23411243200000001</v>
      </c>
      <c r="BZ62" s="80" t="s">
        <v>136</v>
      </c>
      <c r="CA62" s="80">
        <v>0</v>
      </c>
      <c r="CB62" s="80" t="s">
        <v>136</v>
      </c>
      <c r="CC62" s="80">
        <v>0</v>
      </c>
      <c r="CD62" s="27">
        <v>22.097306823</v>
      </c>
      <c r="CE62" s="27">
        <v>2.1099018300000001E-2</v>
      </c>
      <c r="CF62" s="27">
        <v>22.247052694000001</v>
      </c>
      <c r="CG62" s="27">
        <v>5.0190881700000002E-2</v>
      </c>
      <c r="CH62" s="80" t="s">
        <v>136</v>
      </c>
      <c r="CI62" s="80">
        <v>0</v>
      </c>
      <c r="CJ62" s="80" t="s">
        <v>136</v>
      </c>
      <c r="CK62" s="80">
        <v>0</v>
      </c>
      <c r="CL62" s="80" t="s">
        <v>136</v>
      </c>
      <c r="CM62" s="80">
        <v>0</v>
      </c>
      <c r="CN62" s="80" t="s">
        <v>136</v>
      </c>
      <c r="CO62" s="80">
        <v>0</v>
      </c>
      <c r="CP62" s="27">
        <v>0.24000286679999999</v>
      </c>
      <c r="CQ62" s="27">
        <v>2.6167164E-3</v>
      </c>
      <c r="CR62" s="27">
        <v>0.52071078420000005</v>
      </c>
      <c r="CS62" s="27">
        <v>5.0894503999999998E-3</v>
      </c>
      <c r="CT62" s="27">
        <v>4.7231127725000004</v>
      </c>
      <c r="CU62" s="27">
        <v>5.2049917500000001E-2</v>
      </c>
      <c r="CV62" s="27">
        <v>45.414453748</v>
      </c>
      <c r="CW62" s="27">
        <v>1.05858279</v>
      </c>
      <c r="CX62" s="80" t="s">
        <v>136</v>
      </c>
      <c r="CY62" s="80">
        <v>0</v>
      </c>
      <c r="CZ62" s="80" t="s">
        <v>136</v>
      </c>
      <c r="DA62" s="80">
        <v>0</v>
      </c>
      <c r="DB62" s="27">
        <v>27.073489782999999</v>
      </c>
      <c r="DC62" s="27">
        <v>0.4719055003</v>
      </c>
      <c r="DD62" s="27">
        <v>57.761845684999997</v>
      </c>
      <c r="DE62" s="27">
        <v>2.2129572890000002</v>
      </c>
      <c r="DF62" s="27">
        <v>38.898794330999998</v>
      </c>
      <c r="DG62" s="27">
        <v>0.73544856290000005</v>
      </c>
      <c r="DH62" s="27">
        <v>168.17418923</v>
      </c>
      <c r="DI62" s="27">
        <v>1.3402642496999999</v>
      </c>
      <c r="DJ62" s="95">
        <v>3.7014165000000001E-3</v>
      </c>
      <c r="DK62" s="96">
        <v>6.5117739000000001E-3</v>
      </c>
      <c r="DL62" s="96">
        <v>7.3358379999999999E-3</v>
      </c>
      <c r="DM62" s="96">
        <v>7.5322695999999996E-3</v>
      </c>
      <c r="DN62" s="96">
        <v>7.5732300000000002E-3</v>
      </c>
      <c r="DO62" s="96">
        <v>7.5944302999999998E-3</v>
      </c>
      <c r="DP62" s="96">
        <v>7.6055736000000002E-3</v>
      </c>
      <c r="DQ62" s="96">
        <v>7.6137571999999997E-3</v>
      </c>
      <c r="DR62" s="96">
        <v>7.6209640999999996E-3</v>
      </c>
      <c r="DS62" s="97">
        <v>7.6275298000000004E-3</v>
      </c>
      <c r="DT62" s="93">
        <v>95.923414993999998</v>
      </c>
      <c r="DU62" s="80">
        <v>0.66966576879999995</v>
      </c>
      <c r="DV62" s="80">
        <v>50.825528994999999</v>
      </c>
      <c r="DW62" s="80">
        <v>0.36744754010000003</v>
      </c>
      <c r="DX62" s="80">
        <v>26.804938437000001</v>
      </c>
      <c r="DY62" s="80">
        <v>0.20072746520000001</v>
      </c>
      <c r="DZ62" s="80">
        <v>14.215285043</v>
      </c>
      <c r="EA62" s="80">
        <v>0.1111725033</v>
      </c>
      <c r="EB62" s="80">
        <v>7.727771948</v>
      </c>
      <c r="EC62" s="80">
        <v>6.4023438099999996E-2</v>
      </c>
      <c r="ED62" s="80">
        <v>4.3650300175999996</v>
      </c>
      <c r="EE62" s="80">
        <v>3.8978805300000002E-2</v>
      </c>
      <c r="EF62" s="80">
        <v>2.5798066281000001</v>
      </c>
      <c r="EG62" s="80">
        <v>2.5301283300000001E-2</v>
      </c>
      <c r="EH62" s="80">
        <v>1.6054968275999999</v>
      </c>
      <c r="EI62" s="80">
        <v>1.75651761E-2</v>
      </c>
      <c r="EJ62" s="80">
        <v>1.0471563249</v>
      </c>
      <c r="EK62" s="80">
        <v>1.29182681E-2</v>
      </c>
      <c r="EL62" s="80">
        <v>0.71656526310000002</v>
      </c>
      <c r="EM62" s="94">
        <v>1.00029514E-2</v>
      </c>
      <c r="EN62" s="80"/>
      <c r="EO62" s="80"/>
      <c r="EP62" s="80"/>
      <c r="EQ62" s="80"/>
      <c r="ER62" s="80"/>
      <c r="ES62" s="80"/>
      <c r="ET62" s="80"/>
      <c r="EU62" s="80"/>
      <c r="EV62" s="80"/>
      <c r="EW62" s="94"/>
    </row>
    <row r="63" spans="1:153" x14ac:dyDescent="0.2">
      <c r="A63" s="79">
        <v>5800</v>
      </c>
      <c r="B63" s="27">
        <v>12642</v>
      </c>
      <c r="C63" s="79">
        <v>2498.9439824000001</v>
      </c>
      <c r="D63" s="27">
        <v>5749.9995791000001</v>
      </c>
      <c r="E63" s="27">
        <v>108.69577156</v>
      </c>
      <c r="F63" s="27">
        <v>9.9259417099999997E-2</v>
      </c>
      <c r="G63" s="79">
        <v>8.9873557348999995</v>
      </c>
      <c r="H63" s="27">
        <v>3.8145703999999999E-3</v>
      </c>
      <c r="I63" s="27">
        <v>178.38752375000001</v>
      </c>
      <c r="J63" s="27">
        <v>1.1898272245999999</v>
      </c>
      <c r="K63" s="27">
        <f t="shared" si="4"/>
        <v>149.92724999209102</v>
      </c>
      <c r="L63" s="27">
        <v>104.2627566</v>
      </c>
      <c r="M63" s="27">
        <v>0.65410430450000001</v>
      </c>
      <c r="N63" s="27">
        <v>31.118234229999999</v>
      </c>
      <c r="O63" s="27">
        <v>0.24654663069999999</v>
      </c>
      <c r="P63" s="80" t="s">
        <v>136</v>
      </c>
      <c r="Q63" s="80">
        <v>0</v>
      </c>
      <c r="R63" s="27">
        <v>45.356532606999998</v>
      </c>
      <c r="S63" s="27">
        <v>7.2641467599999995E-2</v>
      </c>
      <c r="T63" s="80" t="s">
        <v>136</v>
      </c>
      <c r="U63" s="80">
        <v>0</v>
      </c>
      <c r="V63" s="80" t="s">
        <v>136</v>
      </c>
      <c r="W63" s="80">
        <v>0</v>
      </c>
      <c r="X63" s="27">
        <v>0.77964272649999999</v>
      </c>
      <c r="Y63" s="27">
        <v>7.8713033999999998E-3</v>
      </c>
      <c r="Z63" s="27">
        <v>50.925148618999998</v>
      </c>
      <c r="AA63" s="27">
        <v>1.125704595</v>
      </c>
      <c r="AB63" s="80" t="s">
        <v>136</v>
      </c>
      <c r="AC63" s="80">
        <v>0</v>
      </c>
      <c r="AD63" s="27">
        <v>8.9970950000000001E-4</v>
      </c>
      <c r="AE63" s="27">
        <v>4.5032079999999997E-6</v>
      </c>
      <c r="AF63" s="80" t="s">
        <v>136</v>
      </c>
      <c r="AG63" s="80">
        <v>0</v>
      </c>
      <c r="AH63" s="80" t="s">
        <v>136</v>
      </c>
      <c r="AI63" s="80">
        <v>0</v>
      </c>
      <c r="AJ63" s="27">
        <f t="shared" si="5"/>
        <v>8.9970950000000001E-4</v>
      </c>
      <c r="AK63" s="27">
        <f t="shared" si="6"/>
        <v>4.5032079999999997E-6</v>
      </c>
      <c r="AL63" s="27">
        <v>139.34923122000001</v>
      </c>
      <c r="AM63" s="27">
        <v>1.768335443</v>
      </c>
      <c r="AN63" s="80" t="s">
        <v>136</v>
      </c>
      <c r="AO63" s="80">
        <v>0</v>
      </c>
      <c r="AP63" s="80" t="s">
        <v>136</v>
      </c>
      <c r="AQ63" s="80">
        <v>0</v>
      </c>
      <c r="AR63" s="80" t="s">
        <v>136</v>
      </c>
      <c r="AS63" s="80">
        <v>0</v>
      </c>
      <c r="AT63" s="27">
        <v>85.648847438999994</v>
      </c>
      <c r="AU63" s="27">
        <v>2.7029097683000001</v>
      </c>
      <c r="AV63" s="27">
        <v>77.172846637999996</v>
      </c>
      <c r="AW63" s="27">
        <v>0.56214352649999999</v>
      </c>
      <c r="AX63" s="27">
        <v>34.890974774999997</v>
      </c>
      <c r="AY63" s="27">
        <v>0.34502912250000001</v>
      </c>
      <c r="AZ63" s="27">
        <v>11.473576566</v>
      </c>
      <c r="BA63" s="27">
        <v>9.4346759399999994E-2</v>
      </c>
      <c r="BB63" s="80">
        <f t="shared" si="7"/>
        <v>30.808295297000001</v>
      </c>
      <c r="BC63" s="80">
        <f t="shared" si="8"/>
        <v>0.1227676446</v>
      </c>
      <c r="BD63" s="27">
        <v>0</v>
      </c>
      <c r="BE63" s="80">
        <v>0</v>
      </c>
      <c r="BF63" s="27">
        <v>210.70473057999999</v>
      </c>
      <c r="BG63" s="27">
        <v>2.0957474190999998</v>
      </c>
      <c r="BH63" s="27">
        <v>7.9499367000000001E-3</v>
      </c>
      <c r="BI63" s="27">
        <v>4.0251825999999996E-6</v>
      </c>
      <c r="BJ63" s="27">
        <v>145.93028928000001</v>
      </c>
      <c r="BK63" s="27">
        <v>4.4906176804999998</v>
      </c>
      <c r="BL63" s="27">
        <v>254.27553134999999</v>
      </c>
      <c r="BM63" s="27">
        <v>1.7431975867</v>
      </c>
      <c r="BN63" s="27">
        <v>54.083841233000001</v>
      </c>
      <c r="BO63" s="27">
        <v>0.2372561725</v>
      </c>
      <c r="BP63" s="27">
        <v>0.44141179549999998</v>
      </c>
      <c r="BQ63" s="27">
        <v>1.4180333000000001E-3</v>
      </c>
      <c r="BR63" s="27">
        <v>0</v>
      </c>
      <c r="BS63" s="92">
        <v>0</v>
      </c>
      <c r="BT63" s="80" t="s">
        <v>136</v>
      </c>
      <c r="BU63" s="80">
        <v>0</v>
      </c>
      <c r="BV63" s="27">
        <v>0.70897525039999998</v>
      </c>
      <c r="BW63" s="27">
        <v>9.2511381000000004E-3</v>
      </c>
      <c r="BX63" s="27">
        <v>30.409258980000001</v>
      </c>
      <c r="BY63" s="27">
        <v>0.23729549259999999</v>
      </c>
      <c r="BZ63" s="80" t="s">
        <v>136</v>
      </c>
      <c r="CA63" s="80">
        <v>0</v>
      </c>
      <c r="CB63" s="80" t="s">
        <v>136</v>
      </c>
      <c r="CC63" s="80">
        <v>0</v>
      </c>
      <c r="CD63" s="27">
        <v>22.692906616999998</v>
      </c>
      <c r="CE63" s="27">
        <v>2.1552428700000001E-2</v>
      </c>
      <c r="CF63" s="27">
        <v>22.66362599</v>
      </c>
      <c r="CG63" s="27">
        <v>5.1089038900000001E-2</v>
      </c>
      <c r="CH63" s="80" t="s">
        <v>136</v>
      </c>
      <c r="CI63" s="80">
        <v>0</v>
      </c>
      <c r="CJ63" s="80" t="s">
        <v>136</v>
      </c>
      <c r="CK63" s="80">
        <v>0</v>
      </c>
      <c r="CL63" s="80" t="s">
        <v>136</v>
      </c>
      <c r="CM63" s="80">
        <v>0</v>
      </c>
      <c r="CN63" s="80" t="s">
        <v>136</v>
      </c>
      <c r="CO63" s="80">
        <v>0</v>
      </c>
      <c r="CP63" s="27">
        <v>0.24887275180000001</v>
      </c>
      <c r="CQ63" s="27">
        <v>2.6810547999999998E-3</v>
      </c>
      <c r="CR63" s="27">
        <v>0.53076997469999998</v>
      </c>
      <c r="CS63" s="27">
        <v>5.1902485999999999E-3</v>
      </c>
      <c r="CT63" s="27">
        <v>4.8496858579</v>
      </c>
      <c r="CU63" s="27">
        <v>5.3232618299999999E-2</v>
      </c>
      <c r="CV63" s="27">
        <v>46.075462760999997</v>
      </c>
      <c r="CW63" s="27">
        <v>1.0724719766999999</v>
      </c>
      <c r="CX63" s="80" t="s">
        <v>136</v>
      </c>
      <c r="CY63" s="80">
        <v>0</v>
      </c>
      <c r="CZ63" s="80" t="s">
        <v>136</v>
      </c>
      <c r="DA63" s="80">
        <v>0</v>
      </c>
      <c r="DB63" s="27">
        <v>27.375357365999999</v>
      </c>
      <c r="DC63" s="27">
        <v>0.4760808741</v>
      </c>
      <c r="DD63" s="27">
        <v>58.273490072999998</v>
      </c>
      <c r="DE63" s="27">
        <v>2.2268288942000001</v>
      </c>
      <c r="DF63" s="27">
        <v>40.232214446999997</v>
      </c>
      <c r="DG63" s="27">
        <v>0.74470966189999999</v>
      </c>
      <c r="DH63" s="27">
        <v>170.47251613</v>
      </c>
      <c r="DI63" s="27">
        <v>1.3510377572000001</v>
      </c>
      <c r="DJ63" s="95">
        <v>3.7726857999999999E-3</v>
      </c>
      <c r="DK63" s="96">
        <v>6.6372658000000001E-3</v>
      </c>
      <c r="DL63" s="96">
        <v>7.4802925999999997E-3</v>
      </c>
      <c r="DM63" s="96">
        <v>7.6835432999999998E-3</v>
      </c>
      <c r="DN63" s="96">
        <v>7.7262987000000002E-3</v>
      </c>
      <c r="DO63" s="96">
        <v>7.7485039999999998E-3</v>
      </c>
      <c r="DP63" s="96">
        <v>7.7603569000000002E-3</v>
      </c>
      <c r="DQ63" s="96">
        <v>7.7692576000000001E-3</v>
      </c>
      <c r="DR63" s="96">
        <v>7.7766079000000004E-3</v>
      </c>
      <c r="DS63" s="97">
        <v>7.7833188999999999E-3</v>
      </c>
      <c r="DT63" s="93">
        <v>96.560557177999996</v>
      </c>
      <c r="DU63" s="80">
        <v>0.67408857</v>
      </c>
      <c r="DV63" s="80">
        <v>51.289037495000002</v>
      </c>
      <c r="DW63" s="80">
        <v>0.37075831710000001</v>
      </c>
      <c r="DX63" s="80">
        <v>27.119530009999998</v>
      </c>
      <c r="DY63" s="80">
        <v>0.20306030680000001</v>
      </c>
      <c r="DZ63" s="80">
        <v>14.420509920000001</v>
      </c>
      <c r="EA63" s="80">
        <v>0.11276599549999999</v>
      </c>
      <c r="EB63" s="80">
        <v>7.8605030570999999</v>
      </c>
      <c r="EC63" s="80">
        <v>6.5110370700000003E-2</v>
      </c>
      <c r="ED63" s="80">
        <v>4.4515290840999997</v>
      </c>
      <c r="EE63" s="80">
        <v>3.9735413999999997E-2</v>
      </c>
      <c r="EF63" s="80">
        <v>2.6387619814000001</v>
      </c>
      <c r="EG63" s="80">
        <v>2.5850932399999998E-2</v>
      </c>
      <c r="EH63" s="80">
        <v>1.6457907924999999</v>
      </c>
      <c r="EI63" s="80">
        <v>1.7973089000000001E-2</v>
      </c>
      <c r="EJ63" s="80">
        <v>1.0755519411000001</v>
      </c>
      <c r="EK63" s="80">
        <v>1.32320887E-2</v>
      </c>
      <c r="EL63" s="80">
        <v>0.73740742049999997</v>
      </c>
      <c r="EM63" s="94">
        <v>1.02534155E-2</v>
      </c>
      <c r="EN63" s="80"/>
      <c r="EO63" s="80"/>
      <c r="EP63" s="80"/>
      <c r="EQ63" s="80"/>
      <c r="ER63" s="80"/>
      <c r="ES63" s="80"/>
      <c r="ET63" s="80"/>
      <c r="EU63" s="80"/>
      <c r="EV63" s="80"/>
      <c r="EW63" s="94"/>
    </row>
    <row r="64" spans="1:153" x14ac:dyDescent="0.2">
      <c r="A64" s="79">
        <v>5900</v>
      </c>
      <c r="B64" s="27">
        <v>12421</v>
      </c>
      <c r="C64" s="79">
        <v>2522.4134141</v>
      </c>
      <c r="D64" s="27">
        <v>5849.8157031000001</v>
      </c>
      <c r="E64" s="27">
        <v>110.43523912000001</v>
      </c>
      <c r="F64" s="27">
        <v>0.1000925156</v>
      </c>
      <c r="G64" s="79">
        <v>9.2700521600000005</v>
      </c>
      <c r="H64" s="27">
        <v>3.8944606E-3</v>
      </c>
      <c r="I64" s="27">
        <v>179.14970038000001</v>
      </c>
      <c r="J64" s="27">
        <v>1.1949894244000001</v>
      </c>
      <c r="K64" s="27">
        <f t="shared" si="4"/>
        <v>149.91739401371726</v>
      </c>
      <c r="L64" s="27">
        <v>105.09662968000001</v>
      </c>
      <c r="M64" s="27">
        <v>0.65961614909999999</v>
      </c>
      <c r="N64" s="27">
        <v>31.522118499000001</v>
      </c>
      <c r="O64" s="27">
        <v>0.24951762599999999</v>
      </c>
      <c r="P64" s="80" t="s">
        <v>136</v>
      </c>
      <c r="Q64" s="80">
        <v>0</v>
      </c>
      <c r="R64" s="27">
        <v>46.423734738999997</v>
      </c>
      <c r="S64" s="27">
        <v>7.4062967399999999E-2</v>
      </c>
      <c r="T64" s="80" t="s">
        <v>136</v>
      </c>
      <c r="U64" s="80">
        <v>0</v>
      </c>
      <c r="V64" s="80" t="s">
        <v>136</v>
      </c>
      <c r="W64" s="80">
        <v>0</v>
      </c>
      <c r="X64" s="27">
        <v>0.79362467569999995</v>
      </c>
      <c r="Y64" s="27">
        <v>8.0008266999999997E-3</v>
      </c>
      <c r="Z64" s="27">
        <v>51.731580340000001</v>
      </c>
      <c r="AA64" s="27">
        <v>1.1415851024999999</v>
      </c>
      <c r="AB64" s="80" t="s">
        <v>136</v>
      </c>
      <c r="AC64" s="80">
        <v>0</v>
      </c>
      <c r="AD64" s="27">
        <v>9.165229E-4</v>
      </c>
      <c r="AE64" s="27">
        <v>4.6539861999999997E-6</v>
      </c>
      <c r="AF64" s="80" t="s">
        <v>136</v>
      </c>
      <c r="AG64" s="80">
        <v>0</v>
      </c>
      <c r="AH64" s="80" t="s">
        <v>136</v>
      </c>
      <c r="AI64" s="80">
        <v>0</v>
      </c>
      <c r="AJ64" s="27">
        <f t="shared" si="5"/>
        <v>9.165229E-4</v>
      </c>
      <c r="AK64" s="27">
        <f t="shared" si="6"/>
        <v>4.6539861999999997E-6</v>
      </c>
      <c r="AL64" s="27">
        <v>140.49148043</v>
      </c>
      <c r="AM64" s="27">
        <v>1.7768326811999999</v>
      </c>
      <c r="AN64" s="80" t="s">
        <v>136</v>
      </c>
      <c r="AO64" s="80">
        <v>0</v>
      </c>
      <c r="AP64" s="80" t="s">
        <v>136</v>
      </c>
      <c r="AQ64" s="80">
        <v>0</v>
      </c>
      <c r="AR64" s="80" t="s">
        <v>136</v>
      </c>
      <c r="AS64" s="80">
        <v>0</v>
      </c>
      <c r="AT64" s="27">
        <v>86.497905115999998</v>
      </c>
      <c r="AU64" s="27">
        <v>2.7215269121999999</v>
      </c>
      <c r="AV64" s="27">
        <v>78.113919307000003</v>
      </c>
      <c r="AW64" s="27">
        <v>0.56726293969999997</v>
      </c>
      <c r="AX64" s="27">
        <v>35.290017349000003</v>
      </c>
      <c r="AY64" s="27">
        <v>0.3481868695</v>
      </c>
      <c r="AZ64" s="27">
        <v>11.570623053</v>
      </c>
      <c r="BA64" s="27">
        <v>9.4968531300000006E-2</v>
      </c>
      <c r="BB64" s="80">
        <f t="shared" si="7"/>
        <v>31.253278905000002</v>
      </c>
      <c r="BC64" s="80">
        <f t="shared" si="8"/>
        <v>0.12410753889999998</v>
      </c>
      <c r="BD64" s="27">
        <v>0</v>
      </c>
      <c r="BE64" s="80">
        <v>0</v>
      </c>
      <c r="BF64" s="27">
        <v>214.39640645</v>
      </c>
      <c r="BG64" s="27">
        <v>2.1157729983000002</v>
      </c>
      <c r="BH64" s="27">
        <v>8.1517516999999994E-3</v>
      </c>
      <c r="BI64" s="27">
        <v>4.5026059999999996E-6</v>
      </c>
      <c r="BJ64" s="27">
        <v>146.84170327000001</v>
      </c>
      <c r="BK64" s="27">
        <v>4.5104479888000002</v>
      </c>
      <c r="BL64" s="27">
        <v>258.48915944999999</v>
      </c>
      <c r="BM64" s="27">
        <v>1.7688868686000001</v>
      </c>
      <c r="BN64" s="27">
        <v>54.852419275000003</v>
      </c>
      <c r="BO64" s="27">
        <v>0.2398230969</v>
      </c>
      <c r="BP64" s="27">
        <v>0.46210613639999998</v>
      </c>
      <c r="BQ64" s="27">
        <v>1.4432755999999999E-3</v>
      </c>
      <c r="BR64" s="27">
        <v>0</v>
      </c>
      <c r="BS64" s="92">
        <v>0</v>
      </c>
      <c r="BT64" s="80" t="s">
        <v>136</v>
      </c>
      <c r="BU64" s="80">
        <v>0</v>
      </c>
      <c r="BV64" s="27">
        <v>0.72343781419999997</v>
      </c>
      <c r="BW64" s="27">
        <v>9.3985198999999991E-3</v>
      </c>
      <c r="BX64" s="27">
        <v>30.798680685000001</v>
      </c>
      <c r="BY64" s="27">
        <v>0.24011910610000001</v>
      </c>
      <c r="BZ64" s="80" t="s">
        <v>136</v>
      </c>
      <c r="CA64" s="80">
        <v>0</v>
      </c>
      <c r="CB64" s="80" t="s">
        <v>136</v>
      </c>
      <c r="CC64" s="80">
        <v>0</v>
      </c>
      <c r="CD64" s="27">
        <v>23.324643883</v>
      </c>
      <c r="CE64" s="27">
        <v>2.2029797899999998E-2</v>
      </c>
      <c r="CF64" s="27">
        <v>23.099090856</v>
      </c>
      <c r="CG64" s="27">
        <v>5.2033169599999998E-2</v>
      </c>
      <c r="CH64" s="80" t="s">
        <v>136</v>
      </c>
      <c r="CI64" s="80">
        <v>0</v>
      </c>
      <c r="CJ64" s="80" t="s">
        <v>136</v>
      </c>
      <c r="CK64" s="80">
        <v>0</v>
      </c>
      <c r="CL64" s="80" t="s">
        <v>136</v>
      </c>
      <c r="CM64" s="80">
        <v>0</v>
      </c>
      <c r="CN64" s="80" t="s">
        <v>136</v>
      </c>
      <c r="CO64" s="80">
        <v>0</v>
      </c>
      <c r="CP64" s="27">
        <v>0.25252047550000001</v>
      </c>
      <c r="CQ64" s="27">
        <v>2.7119334999999999E-3</v>
      </c>
      <c r="CR64" s="27">
        <v>0.54110420020000005</v>
      </c>
      <c r="CS64" s="27">
        <v>5.2888932999999999E-3</v>
      </c>
      <c r="CT64" s="27">
        <v>4.9636456630000003</v>
      </c>
      <c r="CU64" s="27">
        <v>5.4256284299999999E-2</v>
      </c>
      <c r="CV64" s="27">
        <v>46.767934677</v>
      </c>
      <c r="CW64" s="27">
        <v>1.0873288182</v>
      </c>
      <c r="CX64" s="80" t="s">
        <v>136</v>
      </c>
      <c r="CY64" s="80">
        <v>0</v>
      </c>
      <c r="CZ64" s="80" t="s">
        <v>136</v>
      </c>
      <c r="DA64" s="80">
        <v>0</v>
      </c>
      <c r="DB64" s="27">
        <v>27.693212385999999</v>
      </c>
      <c r="DC64" s="27">
        <v>0.48046360989999998</v>
      </c>
      <c r="DD64" s="27">
        <v>58.804692729999999</v>
      </c>
      <c r="DE64" s="27">
        <v>2.2410633022000002</v>
      </c>
      <c r="DF64" s="27">
        <v>41.616126631</v>
      </c>
      <c r="DG64" s="27">
        <v>0.75406941000000005</v>
      </c>
      <c r="DH64" s="27">
        <v>172.78027982</v>
      </c>
      <c r="DI64" s="27">
        <v>1.3617035882999999</v>
      </c>
      <c r="DJ64" s="95">
        <v>3.8476036E-3</v>
      </c>
      <c r="DK64" s="96">
        <v>6.7690691000000004E-3</v>
      </c>
      <c r="DL64" s="96">
        <v>7.6397812999999997E-3</v>
      </c>
      <c r="DM64" s="96">
        <v>7.8554755000000004E-3</v>
      </c>
      <c r="DN64" s="96">
        <v>7.9007811000000004E-3</v>
      </c>
      <c r="DO64" s="96">
        <v>7.9249513999999997E-3</v>
      </c>
      <c r="DP64" s="96">
        <v>7.9379698999999995E-3</v>
      </c>
      <c r="DQ64" s="96">
        <v>7.9477218999999995E-3</v>
      </c>
      <c r="DR64" s="96">
        <v>7.9555912000000006E-3</v>
      </c>
      <c r="DS64" s="97">
        <v>7.9628227999999999E-3</v>
      </c>
      <c r="DT64" s="93">
        <v>97.184207817000001</v>
      </c>
      <c r="DU64" s="80">
        <v>0.67836351640000003</v>
      </c>
      <c r="DV64" s="80">
        <v>51.744420269999999</v>
      </c>
      <c r="DW64" s="80">
        <v>0.37395360799999999</v>
      </c>
      <c r="DX64" s="80">
        <v>27.427266964000001</v>
      </c>
      <c r="DY64" s="80">
        <v>0.20528929530000001</v>
      </c>
      <c r="DZ64" s="80">
        <v>14.621671668999999</v>
      </c>
      <c r="EA64" s="80">
        <v>0.11427574629999999</v>
      </c>
      <c r="EB64" s="80">
        <v>7.9927225755000002</v>
      </c>
      <c r="EC64" s="80">
        <v>6.6140324799999997E-2</v>
      </c>
      <c r="ED64" s="80">
        <v>4.5387013858999996</v>
      </c>
      <c r="EE64" s="80">
        <v>4.0448233100000001E-2</v>
      </c>
      <c r="EF64" s="80">
        <v>2.6977643594999998</v>
      </c>
      <c r="EG64" s="80">
        <v>2.6360661899999999E-2</v>
      </c>
      <c r="EH64" s="80">
        <v>1.6862203285999999</v>
      </c>
      <c r="EI64" s="80">
        <v>1.83469835E-2</v>
      </c>
      <c r="EJ64" s="80">
        <v>1.1041703506</v>
      </c>
      <c r="EK64" s="80">
        <v>1.3516881099999999E-2</v>
      </c>
      <c r="EL64" s="80">
        <v>0.75832205890000004</v>
      </c>
      <c r="EM64" s="94">
        <v>1.04776373E-2</v>
      </c>
      <c r="EN64" s="80"/>
      <c r="EO64" s="80"/>
      <c r="EP64" s="80"/>
      <c r="EQ64" s="80"/>
      <c r="ER64" s="80"/>
      <c r="ES64" s="80"/>
      <c r="ET64" s="80"/>
      <c r="EU64" s="80"/>
      <c r="EV64" s="80"/>
      <c r="EW64" s="94"/>
    </row>
    <row r="65" spans="1:153" x14ac:dyDescent="0.2">
      <c r="A65" s="79">
        <v>6000</v>
      </c>
      <c r="B65" s="27">
        <v>11804</v>
      </c>
      <c r="C65" s="79">
        <v>2545.5100293999999</v>
      </c>
      <c r="D65" s="27">
        <v>5949.7955181999996</v>
      </c>
      <c r="E65" s="27">
        <v>112.10692444999999</v>
      </c>
      <c r="F65" s="27">
        <v>0.100868521</v>
      </c>
      <c r="G65" s="79">
        <v>9.5323523394999992</v>
      </c>
      <c r="H65" s="27">
        <v>3.9659487000000002E-3</v>
      </c>
      <c r="I65" s="27">
        <v>179.89924178000001</v>
      </c>
      <c r="J65" s="27">
        <v>1.2001367019</v>
      </c>
      <c r="K65" s="27">
        <f t="shared" si="4"/>
        <v>149.89895858962731</v>
      </c>
      <c r="L65" s="27">
        <v>105.88144788</v>
      </c>
      <c r="M65" s="27">
        <v>0.66475059560000005</v>
      </c>
      <c r="N65" s="27">
        <v>31.928126575</v>
      </c>
      <c r="O65" s="27">
        <v>0.25254845679999999</v>
      </c>
      <c r="P65" s="80" t="s">
        <v>136</v>
      </c>
      <c r="Q65" s="80">
        <v>0</v>
      </c>
      <c r="R65" s="27">
        <v>47.462181448000003</v>
      </c>
      <c r="S65" s="27">
        <v>7.5452460799999996E-2</v>
      </c>
      <c r="T65" s="80" t="s">
        <v>136</v>
      </c>
      <c r="U65" s="80">
        <v>0</v>
      </c>
      <c r="V65" s="80" t="s">
        <v>136</v>
      </c>
      <c r="W65" s="80">
        <v>0</v>
      </c>
      <c r="X65" s="27">
        <v>0.81500930199999999</v>
      </c>
      <c r="Y65" s="27">
        <v>8.2029330000000008E-3</v>
      </c>
      <c r="Z65" s="27">
        <v>52.498231793000002</v>
      </c>
      <c r="AA65" s="27">
        <v>1.1567777441</v>
      </c>
      <c r="AB65" s="80" t="s">
        <v>136</v>
      </c>
      <c r="AC65" s="80">
        <v>0</v>
      </c>
      <c r="AD65" s="27">
        <v>9.1397349999999995E-4</v>
      </c>
      <c r="AE65" s="27">
        <v>4.6407349000000003E-6</v>
      </c>
      <c r="AF65" s="80" t="s">
        <v>136</v>
      </c>
      <c r="AG65" s="80">
        <v>0</v>
      </c>
      <c r="AH65" s="80" t="s">
        <v>136</v>
      </c>
      <c r="AI65" s="80">
        <v>0</v>
      </c>
      <c r="AJ65" s="27">
        <f t="shared" si="5"/>
        <v>9.1397349999999995E-4</v>
      </c>
      <c r="AK65" s="27">
        <f t="shared" si="6"/>
        <v>4.6407349000000003E-6</v>
      </c>
      <c r="AL65" s="27">
        <v>141.55782533999999</v>
      </c>
      <c r="AM65" s="27">
        <v>1.7850004835</v>
      </c>
      <c r="AN65" s="80" t="s">
        <v>136</v>
      </c>
      <c r="AO65" s="80">
        <v>0</v>
      </c>
      <c r="AP65" s="80" t="s">
        <v>136</v>
      </c>
      <c r="AQ65" s="80">
        <v>0</v>
      </c>
      <c r="AR65" s="80" t="s">
        <v>136</v>
      </c>
      <c r="AS65" s="80">
        <v>0</v>
      </c>
      <c r="AT65" s="27">
        <v>87.322801013000003</v>
      </c>
      <c r="AU65" s="27">
        <v>2.7396406443000001</v>
      </c>
      <c r="AV65" s="27">
        <v>79.050611617000001</v>
      </c>
      <c r="AW65" s="27">
        <v>0.57226768790000004</v>
      </c>
      <c r="AX65" s="27">
        <v>35.679930278999997</v>
      </c>
      <c r="AY65" s="27">
        <v>0.35126684089999999</v>
      </c>
      <c r="AZ65" s="27">
        <v>11.672313834000001</v>
      </c>
      <c r="BA65" s="27">
        <v>9.5601578000000006E-2</v>
      </c>
      <c r="BB65" s="80">
        <f t="shared" si="7"/>
        <v>31.698367504000004</v>
      </c>
      <c r="BC65" s="80">
        <f t="shared" si="8"/>
        <v>0.12539926900000004</v>
      </c>
      <c r="BD65" s="27">
        <v>0</v>
      </c>
      <c r="BE65" s="80">
        <v>0</v>
      </c>
      <c r="BF65" s="27">
        <v>217.97644098999999</v>
      </c>
      <c r="BG65" s="27">
        <v>2.135475816</v>
      </c>
      <c r="BH65" s="27">
        <v>8.3042344000000008E-3</v>
      </c>
      <c r="BI65" s="27">
        <v>4.4741925999999997E-6</v>
      </c>
      <c r="BJ65" s="27">
        <v>147.76219821000001</v>
      </c>
      <c r="BK65" s="27">
        <v>4.5305277581999999</v>
      </c>
      <c r="BL65" s="27">
        <v>262.54739482999997</v>
      </c>
      <c r="BM65" s="27">
        <v>1.7934491020000001</v>
      </c>
      <c r="BN65" s="27">
        <v>55.589689419000003</v>
      </c>
      <c r="BO65" s="27">
        <v>0.24226876659999999</v>
      </c>
      <c r="BP65" s="27">
        <v>0.47525997240000001</v>
      </c>
      <c r="BQ65" s="27">
        <v>1.4736593999999999E-3</v>
      </c>
      <c r="BR65" s="27">
        <v>0</v>
      </c>
      <c r="BS65" s="92">
        <v>0</v>
      </c>
      <c r="BT65" s="80" t="s">
        <v>136</v>
      </c>
      <c r="BU65" s="80">
        <v>0</v>
      </c>
      <c r="BV65" s="27">
        <v>0.73183318549999998</v>
      </c>
      <c r="BW65" s="27">
        <v>9.5125446000000006E-3</v>
      </c>
      <c r="BX65" s="27">
        <v>31.196293390000001</v>
      </c>
      <c r="BY65" s="27">
        <v>0.24303591220000001</v>
      </c>
      <c r="BZ65" s="80" t="s">
        <v>136</v>
      </c>
      <c r="CA65" s="80">
        <v>0</v>
      </c>
      <c r="CB65" s="80" t="s">
        <v>136</v>
      </c>
      <c r="CC65" s="80">
        <v>0</v>
      </c>
      <c r="CD65" s="27">
        <v>23.937726688000001</v>
      </c>
      <c r="CE65" s="27">
        <v>2.2496399199999999E-2</v>
      </c>
      <c r="CF65" s="27">
        <v>23.524454760000001</v>
      </c>
      <c r="CG65" s="27">
        <v>5.29560616E-2</v>
      </c>
      <c r="CH65" s="80" t="s">
        <v>136</v>
      </c>
      <c r="CI65" s="80">
        <v>0</v>
      </c>
      <c r="CJ65" s="80" t="s">
        <v>136</v>
      </c>
      <c r="CK65" s="80">
        <v>0</v>
      </c>
      <c r="CL65" s="80" t="s">
        <v>136</v>
      </c>
      <c r="CM65" s="80">
        <v>0</v>
      </c>
      <c r="CN65" s="80" t="s">
        <v>136</v>
      </c>
      <c r="CO65" s="80">
        <v>0</v>
      </c>
      <c r="CP65" s="27">
        <v>0.2587237342</v>
      </c>
      <c r="CQ65" s="27">
        <v>2.7763698000000002E-3</v>
      </c>
      <c r="CR65" s="27">
        <v>0.55628556770000004</v>
      </c>
      <c r="CS65" s="27">
        <v>5.4265631999999998E-3</v>
      </c>
      <c r="CT65" s="27">
        <v>5.0751124937999998</v>
      </c>
      <c r="CU65" s="27">
        <v>5.5335100800000002E-2</v>
      </c>
      <c r="CV65" s="27">
        <v>47.423119299</v>
      </c>
      <c r="CW65" s="27">
        <v>1.1014426433</v>
      </c>
      <c r="CX65" s="80" t="s">
        <v>136</v>
      </c>
      <c r="CY65" s="80">
        <v>0</v>
      </c>
      <c r="CZ65" s="80" t="s">
        <v>136</v>
      </c>
      <c r="DA65" s="80">
        <v>0</v>
      </c>
      <c r="DB65" s="27">
        <v>28.004421463</v>
      </c>
      <c r="DC65" s="27">
        <v>0.48483595819999997</v>
      </c>
      <c r="DD65" s="27">
        <v>59.318379550000003</v>
      </c>
      <c r="DE65" s="27">
        <v>2.2548046861</v>
      </c>
      <c r="DF65" s="27">
        <v>42.973633448999998</v>
      </c>
      <c r="DG65" s="27">
        <v>0.76303047540000002</v>
      </c>
      <c r="DH65" s="27">
        <v>175.00280753999999</v>
      </c>
      <c r="DI65" s="27">
        <v>1.3724453405000001</v>
      </c>
      <c r="DJ65" s="95">
        <v>3.9174763999999997E-3</v>
      </c>
      <c r="DK65" s="96">
        <v>6.8885995999999998E-3</v>
      </c>
      <c r="DL65" s="96">
        <v>7.7793751999999999E-3</v>
      </c>
      <c r="DM65" s="96">
        <v>8.0036927000000004E-3</v>
      </c>
      <c r="DN65" s="96">
        <v>8.0505885000000006E-3</v>
      </c>
      <c r="DO65" s="96">
        <v>8.0757612999999995E-3</v>
      </c>
      <c r="DP65" s="96">
        <v>8.0893154999999994E-3</v>
      </c>
      <c r="DQ65" s="96">
        <v>8.0996105999999995E-3</v>
      </c>
      <c r="DR65" s="96">
        <v>8.1080279000000002E-3</v>
      </c>
      <c r="DS65" s="97">
        <v>8.1158089999999999E-3</v>
      </c>
      <c r="DT65" s="93">
        <v>97.801816604999999</v>
      </c>
      <c r="DU65" s="80">
        <v>0.68264870180000004</v>
      </c>
      <c r="DV65" s="80">
        <v>52.201236815000001</v>
      </c>
      <c r="DW65" s="80">
        <v>0.37719166949999999</v>
      </c>
      <c r="DX65" s="80">
        <v>27.742317630999999</v>
      </c>
      <c r="DY65" s="80">
        <v>0.2075890671</v>
      </c>
      <c r="DZ65" s="80">
        <v>14.828502694000001</v>
      </c>
      <c r="EA65" s="80">
        <v>0.1158426072</v>
      </c>
      <c r="EB65" s="80">
        <v>8.1283867526000009</v>
      </c>
      <c r="EC65" s="80">
        <v>6.7214939700000004E-2</v>
      </c>
      <c r="ED65" s="80">
        <v>4.6279303981000002</v>
      </c>
      <c r="EE65" s="80">
        <v>4.1197723700000001E-2</v>
      </c>
      <c r="EF65" s="80">
        <v>2.7574687223000001</v>
      </c>
      <c r="EG65" s="80">
        <v>2.6898706000000001E-2</v>
      </c>
      <c r="EH65" s="80">
        <v>1.7266058727</v>
      </c>
      <c r="EI65" s="80">
        <v>1.8745017999999999E-2</v>
      </c>
      <c r="EJ65" s="80">
        <v>1.13332214</v>
      </c>
      <c r="EK65" s="80">
        <v>1.38293419E-2</v>
      </c>
      <c r="EL65" s="80">
        <v>0.77944961410000002</v>
      </c>
      <c r="EM65" s="94">
        <v>1.0727174000000001E-2</v>
      </c>
      <c r="EN65" s="80"/>
      <c r="EO65" s="80"/>
      <c r="EP65" s="80"/>
      <c r="EQ65" s="80"/>
      <c r="ER65" s="80"/>
      <c r="ES65" s="80"/>
      <c r="ET65" s="80"/>
      <c r="EU65" s="80"/>
      <c r="EV65" s="80"/>
      <c r="EW65" s="94"/>
    </row>
    <row r="66" spans="1:153" x14ac:dyDescent="0.2">
      <c r="A66" s="79">
        <v>6100</v>
      </c>
      <c r="B66" s="27">
        <v>11745</v>
      </c>
      <c r="C66" s="79">
        <v>2568.3632689000001</v>
      </c>
      <c r="D66" s="27">
        <v>6049.5534015000003</v>
      </c>
      <c r="E66" s="27">
        <v>113.85537364</v>
      </c>
      <c r="F66" s="27">
        <v>0.1016722669</v>
      </c>
      <c r="G66" s="79">
        <v>9.7733403999000004</v>
      </c>
      <c r="H66" s="27">
        <v>4.0342655999999998E-3</v>
      </c>
      <c r="I66" s="27">
        <v>180.63673069999999</v>
      </c>
      <c r="J66" s="27">
        <v>1.2050285601999999</v>
      </c>
      <c r="K66" s="27">
        <f t="shared" si="4"/>
        <v>149.90244768142219</v>
      </c>
      <c r="L66" s="27">
        <v>106.68419663</v>
      </c>
      <c r="M66" s="27">
        <v>0.66992517119999995</v>
      </c>
      <c r="N66" s="27">
        <v>32.33342133</v>
      </c>
      <c r="O66" s="27">
        <v>0.2555508266</v>
      </c>
      <c r="P66" s="80" t="s">
        <v>136</v>
      </c>
      <c r="Q66" s="80">
        <v>0</v>
      </c>
      <c r="R66" s="27">
        <v>48.490933218000002</v>
      </c>
      <c r="S66" s="27">
        <v>7.6860329599999999E-2</v>
      </c>
      <c r="T66" s="80" t="s">
        <v>136</v>
      </c>
      <c r="U66" s="80">
        <v>0</v>
      </c>
      <c r="V66" s="80" t="s">
        <v>136</v>
      </c>
      <c r="W66" s="80">
        <v>0</v>
      </c>
      <c r="X66" s="27">
        <v>0.83223635890000003</v>
      </c>
      <c r="Y66" s="27">
        <v>8.3621809999999998E-3</v>
      </c>
      <c r="Z66" s="27">
        <v>53.271358394000003</v>
      </c>
      <c r="AA66" s="27">
        <v>1.1722503914</v>
      </c>
      <c r="AB66" s="80" t="s">
        <v>136</v>
      </c>
      <c r="AC66" s="80">
        <v>0</v>
      </c>
      <c r="AD66" s="27">
        <v>9.4264030000000001E-4</v>
      </c>
      <c r="AE66" s="27">
        <v>4.7793450999999998E-6</v>
      </c>
      <c r="AF66" s="80" t="s">
        <v>136</v>
      </c>
      <c r="AG66" s="80">
        <v>0</v>
      </c>
      <c r="AH66" s="80" t="s">
        <v>136</v>
      </c>
      <c r="AI66" s="80">
        <v>0</v>
      </c>
      <c r="AJ66" s="27">
        <f t="shared" si="5"/>
        <v>9.4264030000000001E-4</v>
      </c>
      <c r="AK66" s="27">
        <f t="shared" si="6"/>
        <v>4.7793450999999998E-6</v>
      </c>
      <c r="AL66" s="27">
        <v>142.55050145000001</v>
      </c>
      <c r="AM66" s="27">
        <v>1.7931558513999999</v>
      </c>
      <c r="AN66" s="80" t="s">
        <v>136</v>
      </c>
      <c r="AO66" s="80">
        <v>0</v>
      </c>
      <c r="AP66" s="80" t="s">
        <v>136</v>
      </c>
      <c r="AQ66" s="80">
        <v>0</v>
      </c>
      <c r="AR66" s="80" t="s">
        <v>136</v>
      </c>
      <c r="AS66" s="80">
        <v>0</v>
      </c>
      <c r="AT66" s="27">
        <v>88.150293181999999</v>
      </c>
      <c r="AU66" s="27">
        <v>2.7578635083999998</v>
      </c>
      <c r="AV66" s="27">
        <v>80.021045384000004</v>
      </c>
      <c r="AW66" s="27">
        <v>0.57729858099999998</v>
      </c>
      <c r="AX66" s="27">
        <v>36.101360397000001</v>
      </c>
      <c r="AY66" s="27">
        <v>0.35437957650000002</v>
      </c>
      <c r="AZ66" s="27">
        <v>11.775237094</v>
      </c>
      <c r="BA66" s="27">
        <v>9.6216309200000003E-2</v>
      </c>
      <c r="BB66" s="80">
        <f t="shared" si="7"/>
        <v>32.144447893000006</v>
      </c>
      <c r="BC66" s="80">
        <f t="shared" si="8"/>
        <v>0.12670269529999995</v>
      </c>
      <c r="BD66" s="27">
        <v>0</v>
      </c>
      <c r="BE66" s="80">
        <v>0</v>
      </c>
      <c r="BF66" s="27">
        <v>221.58490595000001</v>
      </c>
      <c r="BG66" s="27">
        <v>2.1549518092</v>
      </c>
      <c r="BH66" s="27">
        <v>8.4515469000000006E-3</v>
      </c>
      <c r="BI66" s="27">
        <v>6.9916047999999997E-6</v>
      </c>
      <c r="BJ66" s="27">
        <v>148.65871313</v>
      </c>
      <c r="BK66" s="27">
        <v>4.5503701282</v>
      </c>
      <c r="BL66" s="27">
        <v>266.70962068</v>
      </c>
      <c r="BM66" s="27">
        <v>1.8183772875999999</v>
      </c>
      <c r="BN66" s="27">
        <v>56.331310662999996</v>
      </c>
      <c r="BO66" s="27">
        <v>0.24480777910000001</v>
      </c>
      <c r="BP66" s="27">
        <v>0.49652374960000001</v>
      </c>
      <c r="BQ66" s="27">
        <v>1.5055696E-3</v>
      </c>
      <c r="BR66" s="27">
        <v>0</v>
      </c>
      <c r="BS66" s="92">
        <v>0</v>
      </c>
      <c r="BT66" s="80" t="s">
        <v>136</v>
      </c>
      <c r="BU66" s="80">
        <v>0</v>
      </c>
      <c r="BV66" s="27">
        <v>0.74316165860000005</v>
      </c>
      <c r="BW66" s="27">
        <v>9.6470681999999992E-3</v>
      </c>
      <c r="BX66" s="27">
        <v>31.590259670999998</v>
      </c>
      <c r="BY66" s="27">
        <v>0.24590375840000001</v>
      </c>
      <c r="BZ66" s="80" t="s">
        <v>136</v>
      </c>
      <c r="CA66" s="80">
        <v>0</v>
      </c>
      <c r="CB66" s="80" t="s">
        <v>136</v>
      </c>
      <c r="CC66" s="80">
        <v>0</v>
      </c>
      <c r="CD66" s="27">
        <v>24.569307343999998</v>
      </c>
      <c r="CE66" s="27">
        <v>2.29955274E-2</v>
      </c>
      <c r="CF66" s="27">
        <v>23.921625874</v>
      </c>
      <c r="CG66" s="27">
        <v>5.38648023E-2</v>
      </c>
      <c r="CH66" s="80" t="s">
        <v>136</v>
      </c>
      <c r="CI66" s="80">
        <v>0</v>
      </c>
      <c r="CJ66" s="80" t="s">
        <v>136</v>
      </c>
      <c r="CK66" s="80">
        <v>0</v>
      </c>
      <c r="CL66" s="80" t="s">
        <v>136</v>
      </c>
      <c r="CM66" s="80">
        <v>0</v>
      </c>
      <c r="CN66" s="80" t="s">
        <v>136</v>
      </c>
      <c r="CO66" s="80">
        <v>0</v>
      </c>
      <c r="CP66" s="27">
        <v>0.26204514299999998</v>
      </c>
      <c r="CQ66" s="27">
        <v>2.8083243000000002E-3</v>
      </c>
      <c r="CR66" s="27">
        <v>0.57019121589999999</v>
      </c>
      <c r="CS66" s="27">
        <v>5.5538567E-3</v>
      </c>
      <c r="CT66" s="27">
        <v>5.1877910330999999</v>
      </c>
      <c r="CU66" s="27">
        <v>5.64260335E-2</v>
      </c>
      <c r="CV66" s="27">
        <v>48.083567361</v>
      </c>
      <c r="CW66" s="27">
        <v>1.1158243579</v>
      </c>
      <c r="CX66" s="80" t="s">
        <v>136</v>
      </c>
      <c r="CY66" s="80">
        <v>0</v>
      </c>
      <c r="CZ66" s="80" t="s">
        <v>136</v>
      </c>
      <c r="DA66" s="80">
        <v>0</v>
      </c>
      <c r="DB66" s="27">
        <v>28.307345400999999</v>
      </c>
      <c r="DC66" s="27">
        <v>0.489124279</v>
      </c>
      <c r="DD66" s="27">
        <v>59.842947780999999</v>
      </c>
      <c r="DE66" s="27">
        <v>2.2687392293999999</v>
      </c>
      <c r="DF66" s="27">
        <v>44.366903856</v>
      </c>
      <c r="DG66" s="27">
        <v>0.77225280380000005</v>
      </c>
      <c r="DH66" s="27">
        <v>177.21800210000001</v>
      </c>
      <c r="DI66" s="27">
        <v>1.3826990053999999</v>
      </c>
      <c r="DJ66" s="95">
        <v>3.9832514000000003E-3</v>
      </c>
      <c r="DK66" s="96">
        <v>7.0037739999999999E-3</v>
      </c>
      <c r="DL66" s="96">
        <v>7.9149375999999997E-3</v>
      </c>
      <c r="DM66" s="96">
        <v>8.1455511000000005E-3</v>
      </c>
      <c r="DN66" s="96">
        <v>8.1944888999999996E-3</v>
      </c>
      <c r="DO66" s="96">
        <v>8.2216081999999992E-3</v>
      </c>
      <c r="DP66" s="96">
        <v>8.2363196999999996E-3</v>
      </c>
      <c r="DQ66" s="96">
        <v>8.2474644999999992E-3</v>
      </c>
      <c r="DR66" s="96">
        <v>8.2558549999999994E-3</v>
      </c>
      <c r="DS66" s="97">
        <v>8.2636107999999996E-3</v>
      </c>
      <c r="DT66" s="93">
        <v>98.406385338999996</v>
      </c>
      <c r="DU66" s="80">
        <v>0.68669977000000004</v>
      </c>
      <c r="DV66" s="80">
        <v>52.641061069999999</v>
      </c>
      <c r="DW66" s="80">
        <v>0.38019759320000002</v>
      </c>
      <c r="DX66" s="80">
        <v>28.041412107999999</v>
      </c>
      <c r="DY66" s="80">
        <v>0.20967173159999999</v>
      </c>
      <c r="DZ66" s="80">
        <v>15.026408025</v>
      </c>
      <c r="EA66" s="80">
        <v>0.11725076650000001</v>
      </c>
      <c r="EB66" s="80">
        <v>8.2583876572000001</v>
      </c>
      <c r="EC66" s="80">
        <v>6.8164647600000003E-2</v>
      </c>
      <c r="ED66" s="80">
        <v>4.7120421593000001</v>
      </c>
      <c r="EE66" s="80">
        <v>4.1830136599999998E-2</v>
      </c>
      <c r="EF66" s="80">
        <v>2.8129985730999998</v>
      </c>
      <c r="EG66" s="80">
        <v>2.73301762E-2</v>
      </c>
      <c r="EH66" s="80">
        <v>1.7636512391000001</v>
      </c>
      <c r="EI66" s="80">
        <v>1.9044797200000001E-2</v>
      </c>
      <c r="EJ66" s="80">
        <v>1.1583169369999999</v>
      </c>
      <c r="EK66" s="80">
        <v>1.40434338E-2</v>
      </c>
      <c r="EL66" s="80">
        <v>0.79689993270000004</v>
      </c>
      <c r="EM66" s="94">
        <v>1.0885570000000001E-2</v>
      </c>
      <c r="EN66" s="80"/>
      <c r="EO66" s="80"/>
      <c r="EP66" s="80"/>
      <c r="EQ66" s="80"/>
      <c r="ER66" s="80"/>
      <c r="ES66" s="80"/>
      <c r="ET66" s="80"/>
      <c r="EU66" s="80"/>
      <c r="EV66" s="80"/>
      <c r="EW66" s="94"/>
    </row>
    <row r="67" spans="1:153" x14ac:dyDescent="0.2">
      <c r="A67" s="79">
        <v>6200</v>
      </c>
      <c r="B67" s="27">
        <v>11197</v>
      </c>
      <c r="C67" s="79">
        <v>2590.7829725000001</v>
      </c>
      <c r="D67" s="27">
        <v>6149.9152456000002</v>
      </c>
      <c r="E67" s="27">
        <v>115.44214288000001</v>
      </c>
      <c r="F67" s="27">
        <v>0.1023934435</v>
      </c>
      <c r="G67" s="79">
        <v>10.019183416000001</v>
      </c>
      <c r="H67" s="27">
        <v>4.0999275999999999E-3</v>
      </c>
      <c r="I67" s="27">
        <v>181.32095287000001</v>
      </c>
      <c r="J67" s="27">
        <v>1.2096477943999999</v>
      </c>
      <c r="K67" s="27">
        <f t="shared" si="4"/>
        <v>149.8956586449508</v>
      </c>
      <c r="L67" s="27">
        <v>107.46964391</v>
      </c>
      <c r="M67" s="27">
        <v>0.67490534260000001</v>
      </c>
      <c r="N67" s="27">
        <v>32.752183187999997</v>
      </c>
      <c r="O67" s="27">
        <v>0.25859435580000001</v>
      </c>
      <c r="P67" s="80" t="s">
        <v>136</v>
      </c>
      <c r="Q67" s="80">
        <v>0</v>
      </c>
      <c r="R67" s="27">
        <v>49.499295297000003</v>
      </c>
      <c r="S67" s="27">
        <v>7.8194173899999997E-2</v>
      </c>
      <c r="T67" s="80" t="s">
        <v>136</v>
      </c>
      <c r="U67" s="80">
        <v>0</v>
      </c>
      <c r="V67" s="80" t="s">
        <v>136</v>
      </c>
      <c r="W67" s="80">
        <v>0</v>
      </c>
      <c r="X67" s="27">
        <v>0.85224590450000004</v>
      </c>
      <c r="Y67" s="27">
        <v>8.5458245000000002E-3</v>
      </c>
      <c r="Z67" s="27">
        <v>53.966614505000003</v>
      </c>
      <c r="AA67" s="27">
        <v>1.1857233173999999</v>
      </c>
      <c r="AB67" s="80" t="s">
        <v>136</v>
      </c>
      <c r="AC67" s="80">
        <v>0</v>
      </c>
      <c r="AD67" s="27">
        <v>9.4018040000000002E-4</v>
      </c>
      <c r="AE67" s="27">
        <v>4.7665101999999997E-6</v>
      </c>
      <c r="AF67" s="80" t="s">
        <v>136</v>
      </c>
      <c r="AG67" s="80">
        <v>0</v>
      </c>
      <c r="AH67" s="80" t="s">
        <v>136</v>
      </c>
      <c r="AI67" s="80">
        <v>0</v>
      </c>
      <c r="AJ67" s="27">
        <f t="shared" si="5"/>
        <v>9.4018040000000002E-4</v>
      </c>
      <c r="AK67" s="27">
        <f t="shared" si="6"/>
        <v>4.7665101999999997E-6</v>
      </c>
      <c r="AL67" s="27">
        <v>143.53984149999999</v>
      </c>
      <c r="AM67" s="27">
        <v>1.8007485156</v>
      </c>
      <c r="AN67" s="80" t="s">
        <v>136</v>
      </c>
      <c r="AO67" s="80">
        <v>0</v>
      </c>
      <c r="AP67" s="80" t="s">
        <v>136</v>
      </c>
      <c r="AQ67" s="80">
        <v>0</v>
      </c>
      <c r="AR67" s="80" t="s">
        <v>136</v>
      </c>
      <c r="AS67" s="80">
        <v>0</v>
      </c>
      <c r="AT67" s="27">
        <v>88.947943797999997</v>
      </c>
      <c r="AU67" s="27">
        <v>2.7752447527999999</v>
      </c>
      <c r="AV67" s="27">
        <v>80.916233727000005</v>
      </c>
      <c r="AW67" s="27">
        <v>0.58202942769999999</v>
      </c>
      <c r="AX67" s="27">
        <v>36.495441004</v>
      </c>
      <c r="AY67" s="27">
        <v>0.35736863219999998</v>
      </c>
      <c r="AZ67" s="27">
        <v>11.859700955999999</v>
      </c>
      <c r="BA67" s="27">
        <v>9.6749635E-2</v>
      </c>
      <c r="BB67" s="80">
        <f t="shared" si="7"/>
        <v>32.561091767000008</v>
      </c>
      <c r="BC67" s="80">
        <f t="shared" si="8"/>
        <v>0.12791116050000001</v>
      </c>
      <c r="BD67" s="27">
        <v>0</v>
      </c>
      <c r="BE67" s="80">
        <v>0</v>
      </c>
      <c r="BF67" s="27">
        <v>225.15828028000001</v>
      </c>
      <c r="BG67" s="27">
        <v>2.1740717897000001</v>
      </c>
      <c r="BH67" s="27">
        <v>8.6011685000000008E-3</v>
      </c>
      <c r="BI67" s="27">
        <v>6.9449684000000001E-6</v>
      </c>
      <c r="BJ67" s="27">
        <v>149.49698541999999</v>
      </c>
      <c r="BK67" s="27">
        <v>4.5682269935999997</v>
      </c>
      <c r="BL67" s="27">
        <v>270.74244503</v>
      </c>
      <c r="BM67" s="27">
        <v>1.8421756689</v>
      </c>
      <c r="BN67" s="27">
        <v>56.967997204</v>
      </c>
      <c r="BO67" s="27">
        <v>0.24697482069999999</v>
      </c>
      <c r="BP67" s="27">
        <v>0.5153950155</v>
      </c>
      <c r="BQ67" s="27">
        <v>1.5257078999999999E-3</v>
      </c>
      <c r="BR67" s="27">
        <v>0</v>
      </c>
      <c r="BS67" s="92">
        <v>0</v>
      </c>
      <c r="BT67" s="80" t="s">
        <v>136</v>
      </c>
      <c r="BU67" s="80">
        <v>0</v>
      </c>
      <c r="BV67" s="27">
        <v>0.75177370519999998</v>
      </c>
      <c r="BW67" s="27">
        <v>9.7407592000000008E-3</v>
      </c>
      <c r="BX67" s="27">
        <v>32.000409482999999</v>
      </c>
      <c r="BY67" s="27">
        <v>0.2488535966</v>
      </c>
      <c r="BZ67" s="80" t="s">
        <v>136</v>
      </c>
      <c r="CA67" s="80">
        <v>0</v>
      </c>
      <c r="CB67" s="80" t="s">
        <v>136</v>
      </c>
      <c r="CC67" s="80">
        <v>0</v>
      </c>
      <c r="CD67" s="27">
        <v>25.179083711000001</v>
      </c>
      <c r="CE67" s="27">
        <v>2.34586777E-2</v>
      </c>
      <c r="CF67" s="27">
        <v>24.320211586999999</v>
      </c>
      <c r="CG67" s="27">
        <v>5.4735496199999997E-2</v>
      </c>
      <c r="CH67" s="80" t="s">
        <v>136</v>
      </c>
      <c r="CI67" s="80">
        <v>0</v>
      </c>
      <c r="CJ67" s="80" t="s">
        <v>136</v>
      </c>
      <c r="CK67" s="80">
        <v>0</v>
      </c>
      <c r="CL67" s="80" t="s">
        <v>136</v>
      </c>
      <c r="CM67" s="80">
        <v>0</v>
      </c>
      <c r="CN67" s="80" t="s">
        <v>136</v>
      </c>
      <c r="CO67" s="80">
        <v>0</v>
      </c>
      <c r="CP67" s="27">
        <v>0.26796981780000001</v>
      </c>
      <c r="CQ67" s="27">
        <v>2.8574484E-3</v>
      </c>
      <c r="CR67" s="27">
        <v>0.58427608669999997</v>
      </c>
      <c r="CS67" s="27">
        <v>5.6883760999999998E-3</v>
      </c>
      <c r="CT67" s="27">
        <v>5.2867326544999997</v>
      </c>
      <c r="CU67" s="27">
        <v>5.7420916299999999E-2</v>
      </c>
      <c r="CV67" s="27">
        <v>48.679881850000001</v>
      </c>
      <c r="CW67" s="27">
        <v>1.1283024011</v>
      </c>
      <c r="CX67" s="80" t="s">
        <v>136</v>
      </c>
      <c r="CY67" s="80">
        <v>0</v>
      </c>
      <c r="CZ67" s="80" t="s">
        <v>136</v>
      </c>
      <c r="DA67" s="80">
        <v>0</v>
      </c>
      <c r="DB67" s="27">
        <v>28.627084033999999</v>
      </c>
      <c r="DC67" s="27">
        <v>0.4936632091</v>
      </c>
      <c r="DD67" s="27">
        <v>60.320859763999998</v>
      </c>
      <c r="DE67" s="27">
        <v>2.2815815437000002</v>
      </c>
      <c r="DF67" s="27">
        <v>45.754718300999997</v>
      </c>
      <c r="DG67" s="27">
        <v>0.78127599349999999</v>
      </c>
      <c r="DH67" s="27">
        <v>179.40356198000001</v>
      </c>
      <c r="DI67" s="27">
        <v>1.3927957961999999</v>
      </c>
      <c r="DJ67" s="95">
        <v>4.0475080999999996E-3</v>
      </c>
      <c r="DK67" s="96">
        <v>7.1179409000000004E-3</v>
      </c>
      <c r="DL67" s="96">
        <v>8.0527859999999993E-3</v>
      </c>
      <c r="DM67" s="96">
        <v>8.2901516999999997E-3</v>
      </c>
      <c r="DN67" s="96">
        <v>8.3411583000000001E-3</v>
      </c>
      <c r="DO67" s="96">
        <v>8.3693514000000007E-3</v>
      </c>
      <c r="DP67" s="96">
        <v>8.3851701000000004E-3</v>
      </c>
      <c r="DQ67" s="96">
        <v>8.3970986999999993E-3</v>
      </c>
      <c r="DR67" s="96">
        <v>8.4059575999999997E-3</v>
      </c>
      <c r="DS67" s="97">
        <v>8.4136896999999992E-3</v>
      </c>
      <c r="DT67" s="93">
        <v>98.966029793000004</v>
      </c>
      <c r="DU67" s="80">
        <v>0.69052409839999995</v>
      </c>
      <c r="DV67" s="80">
        <v>53.051668190999997</v>
      </c>
      <c r="DW67" s="80">
        <v>0.38307451110000001</v>
      </c>
      <c r="DX67" s="80">
        <v>28.318781033</v>
      </c>
      <c r="DY67" s="80">
        <v>0.2116828258</v>
      </c>
      <c r="DZ67" s="80">
        <v>15.207307779000001</v>
      </c>
      <c r="EA67" s="80">
        <v>0.11862203640000001</v>
      </c>
      <c r="EB67" s="80">
        <v>8.3756437826999992</v>
      </c>
      <c r="EC67" s="80">
        <v>6.9104506100000004E-2</v>
      </c>
      <c r="ED67" s="80">
        <v>4.7890221735000003</v>
      </c>
      <c r="EE67" s="80">
        <v>4.2490154299999999E-2</v>
      </c>
      <c r="EF67" s="80">
        <v>2.8653666829</v>
      </c>
      <c r="EG67" s="80">
        <v>2.7813217099999999E-2</v>
      </c>
      <c r="EH67" s="80">
        <v>1.8006558604</v>
      </c>
      <c r="EI67" s="80">
        <v>1.9414146199999999E-2</v>
      </c>
      <c r="EJ67" s="80">
        <v>1.1847751564</v>
      </c>
      <c r="EK67" s="80">
        <v>1.43312925E-2</v>
      </c>
      <c r="EL67" s="80">
        <v>0.81622064930000005</v>
      </c>
      <c r="EM67" s="94">
        <v>1.11158278E-2</v>
      </c>
      <c r="EN67" s="80"/>
      <c r="EO67" s="80"/>
      <c r="EP67" s="80"/>
      <c r="EQ67" s="80"/>
      <c r="ER67" s="80"/>
      <c r="ES67" s="80"/>
      <c r="ET67" s="80"/>
      <c r="EU67" s="80"/>
      <c r="EV67" s="80"/>
      <c r="EW67" s="94"/>
    </row>
    <row r="68" spans="1:153" x14ac:dyDescent="0.2">
      <c r="A68" s="79">
        <v>6300</v>
      </c>
      <c r="B68" s="27">
        <v>10912</v>
      </c>
      <c r="C68" s="79">
        <v>2612.9433082999999</v>
      </c>
      <c r="D68" s="27">
        <v>6249.5734666999997</v>
      </c>
      <c r="E68" s="27">
        <v>117.06311966</v>
      </c>
      <c r="F68" s="27">
        <v>0.10315915220000001</v>
      </c>
      <c r="G68" s="79">
        <v>10.263358075999999</v>
      </c>
      <c r="H68" s="27">
        <v>4.1620835999999998E-3</v>
      </c>
      <c r="I68" s="27">
        <v>181.98520846</v>
      </c>
      <c r="J68" s="27">
        <v>1.2140979374</v>
      </c>
      <c r="K68" s="27">
        <f t="shared" si="4"/>
        <v>149.89335114902073</v>
      </c>
      <c r="L68" s="27">
        <v>108.2129789</v>
      </c>
      <c r="M68" s="27">
        <v>0.67952471169999995</v>
      </c>
      <c r="N68" s="27">
        <v>33.153967627</v>
      </c>
      <c r="O68" s="27">
        <v>0.26160179119999999</v>
      </c>
      <c r="P68" s="80" t="s">
        <v>136</v>
      </c>
      <c r="Q68" s="80">
        <v>0</v>
      </c>
      <c r="R68" s="27">
        <v>50.475047642</v>
      </c>
      <c r="S68" s="27">
        <v>7.94739691E-2</v>
      </c>
      <c r="T68" s="80" t="s">
        <v>136</v>
      </c>
      <c r="U68" s="80">
        <v>0</v>
      </c>
      <c r="V68" s="80" t="s">
        <v>136</v>
      </c>
      <c r="W68" s="80">
        <v>0</v>
      </c>
      <c r="X68" s="27">
        <v>0.87400253689999996</v>
      </c>
      <c r="Y68" s="27">
        <v>8.7197721999999998E-3</v>
      </c>
      <c r="Z68" s="27">
        <v>54.696956763000003</v>
      </c>
      <c r="AA68" s="27">
        <v>1.1999677705</v>
      </c>
      <c r="AB68" s="80" t="s">
        <v>136</v>
      </c>
      <c r="AC68" s="80">
        <v>0</v>
      </c>
      <c r="AD68" s="27">
        <v>1.0480324999999999E-3</v>
      </c>
      <c r="AE68" s="27">
        <v>5.0680932999999996E-6</v>
      </c>
      <c r="AF68" s="80" t="s">
        <v>136</v>
      </c>
      <c r="AG68" s="80">
        <v>0</v>
      </c>
      <c r="AH68" s="80" t="s">
        <v>136</v>
      </c>
      <c r="AI68" s="80">
        <v>0</v>
      </c>
      <c r="AJ68" s="27">
        <f t="shared" si="5"/>
        <v>1.0480324999999999E-3</v>
      </c>
      <c r="AK68" s="27">
        <f t="shared" si="6"/>
        <v>5.0680932999999996E-6</v>
      </c>
      <c r="AL68" s="27">
        <v>144.53093294999999</v>
      </c>
      <c r="AM68" s="27">
        <v>1.8079573444000001</v>
      </c>
      <c r="AN68" s="80" t="s">
        <v>136</v>
      </c>
      <c r="AO68" s="80">
        <v>0</v>
      </c>
      <c r="AP68" s="80" t="s">
        <v>136</v>
      </c>
      <c r="AQ68" s="80">
        <v>0</v>
      </c>
      <c r="AR68" s="80" t="s">
        <v>136</v>
      </c>
      <c r="AS68" s="80">
        <v>0</v>
      </c>
      <c r="AT68" s="27">
        <v>89.707468672999994</v>
      </c>
      <c r="AU68" s="27">
        <v>2.7913822488000002</v>
      </c>
      <c r="AV68" s="27">
        <v>81.767933615999993</v>
      </c>
      <c r="AW68" s="27">
        <v>0.58652600399999999</v>
      </c>
      <c r="AX68" s="27">
        <v>36.868700402999998</v>
      </c>
      <c r="AY68" s="27">
        <v>0.36017740120000002</v>
      </c>
      <c r="AZ68" s="27">
        <v>11.935011985999999</v>
      </c>
      <c r="BA68" s="27">
        <v>9.7250030200000004E-2</v>
      </c>
      <c r="BB68" s="80">
        <f t="shared" si="7"/>
        <v>32.964221226999996</v>
      </c>
      <c r="BC68" s="80">
        <f t="shared" si="8"/>
        <v>0.12909857259999996</v>
      </c>
      <c r="BD68" s="27">
        <v>0</v>
      </c>
      <c r="BE68" s="80">
        <v>0</v>
      </c>
      <c r="BF68" s="27">
        <v>228.73640756</v>
      </c>
      <c r="BG68" s="27">
        <v>2.1924899717000002</v>
      </c>
      <c r="BH68" s="27">
        <v>8.7508094999999998E-3</v>
      </c>
      <c r="BI68" s="27">
        <v>6.9008971000000004E-6</v>
      </c>
      <c r="BJ68" s="27">
        <v>150.32343259000001</v>
      </c>
      <c r="BK68" s="27">
        <v>4.5861376524999997</v>
      </c>
      <c r="BL68" s="27">
        <v>274.71075538999997</v>
      </c>
      <c r="BM68" s="27">
        <v>1.8658593188999999</v>
      </c>
      <c r="BN68" s="27">
        <v>57.729893191000002</v>
      </c>
      <c r="BO68" s="27">
        <v>0.2494181613</v>
      </c>
      <c r="BP68" s="27">
        <v>0.53141762209999999</v>
      </c>
      <c r="BQ68" s="27">
        <v>1.5445688999999999E-3</v>
      </c>
      <c r="BR68" s="27">
        <v>0</v>
      </c>
      <c r="BS68" s="92">
        <v>0</v>
      </c>
      <c r="BT68" s="80" t="s">
        <v>136</v>
      </c>
      <c r="BU68" s="80">
        <v>0</v>
      </c>
      <c r="BV68" s="27">
        <v>0.77089912640000002</v>
      </c>
      <c r="BW68" s="27">
        <v>9.9840814000000007E-3</v>
      </c>
      <c r="BX68" s="27">
        <v>32.383068500999997</v>
      </c>
      <c r="BY68" s="27">
        <v>0.25161770979999998</v>
      </c>
      <c r="BZ68" s="80" t="s">
        <v>136</v>
      </c>
      <c r="CA68" s="80">
        <v>0</v>
      </c>
      <c r="CB68" s="80" t="s">
        <v>136</v>
      </c>
      <c r="CC68" s="80">
        <v>0</v>
      </c>
      <c r="CD68" s="27">
        <v>25.782389644999999</v>
      </c>
      <c r="CE68" s="27">
        <v>2.3900216700000001E-2</v>
      </c>
      <c r="CF68" s="27">
        <v>24.692657998000001</v>
      </c>
      <c r="CG68" s="27">
        <v>5.5573752300000001E-2</v>
      </c>
      <c r="CH68" s="80" t="s">
        <v>136</v>
      </c>
      <c r="CI68" s="80">
        <v>0</v>
      </c>
      <c r="CJ68" s="80" t="s">
        <v>136</v>
      </c>
      <c r="CK68" s="80">
        <v>0</v>
      </c>
      <c r="CL68" s="80" t="s">
        <v>136</v>
      </c>
      <c r="CM68" s="80">
        <v>0</v>
      </c>
      <c r="CN68" s="80" t="s">
        <v>136</v>
      </c>
      <c r="CO68" s="80">
        <v>0</v>
      </c>
      <c r="CP68" s="27">
        <v>0.27360158369999998</v>
      </c>
      <c r="CQ68" s="27">
        <v>2.895019E-3</v>
      </c>
      <c r="CR68" s="27">
        <v>0.60040095319999998</v>
      </c>
      <c r="CS68" s="27">
        <v>5.8247532000000003E-3</v>
      </c>
      <c r="CT68" s="27">
        <v>5.3922677283000002</v>
      </c>
      <c r="CU68" s="27">
        <v>5.83830194E-2</v>
      </c>
      <c r="CV68" s="27">
        <v>49.304689033999999</v>
      </c>
      <c r="CW68" s="27">
        <v>1.1415847510999999</v>
      </c>
      <c r="CX68" s="80" t="s">
        <v>136</v>
      </c>
      <c r="CY68" s="80">
        <v>0</v>
      </c>
      <c r="CZ68" s="80" t="s">
        <v>136</v>
      </c>
      <c r="DA68" s="80">
        <v>0</v>
      </c>
      <c r="DB68" s="27">
        <v>28.927556607</v>
      </c>
      <c r="DC68" s="27">
        <v>0.49780134409999999</v>
      </c>
      <c r="DD68" s="27">
        <v>60.779912066000001</v>
      </c>
      <c r="DE68" s="27">
        <v>2.2935809047000002</v>
      </c>
      <c r="DF68" s="27">
        <v>47.140238842999999</v>
      </c>
      <c r="DG68" s="27">
        <v>0.78987529560000003</v>
      </c>
      <c r="DH68" s="27">
        <v>181.59616872000001</v>
      </c>
      <c r="DI68" s="27">
        <v>1.402614676</v>
      </c>
      <c r="DJ68" s="95">
        <v>4.1086012E-3</v>
      </c>
      <c r="DK68" s="96">
        <v>7.2231802999999997E-3</v>
      </c>
      <c r="DL68" s="96">
        <v>8.1789870000000004E-3</v>
      </c>
      <c r="DM68" s="96">
        <v>8.4238925999999999E-3</v>
      </c>
      <c r="DN68" s="96">
        <v>8.4767754000000008E-3</v>
      </c>
      <c r="DO68" s="96">
        <v>8.5062731999999992E-3</v>
      </c>
      <c r="DP68" s="96">
        <v>8.5229506000000007E-3</v>
      </c>
      <c r="DQ68" s="96">
        <v>8.5357457999999994E-3</v>
      </c>
      <c r="DR68" s="96">
        <v>8.5454817999999991E-3</v>
      </c>
      <c r="DS68" s="97">
        <v>8.5535216000000008E-3</v>
      </c>
      <c r="DT68" s="93">
        <v>99.508041445000003</v>
      </c>
      <c r="DU68" s="80">
        <v>0.69421164769999999</v>
      </c>
      <c r="DV68" s="80">
        <v>53.449665862000003</v>
      </c>
      <c r="DW68" s="80">
        <v>0.38585138559999999</v>
      </c>
      <c r="DX68" s="80">
        <v>28.590778309000001</v>
      </c>
      <c r="DY68" s="80">
        <v>0.21363991099999999</v>
      </c>
      <c r="DZ68" s="80">
        <v>15.385449176</v>
      </c>
      <c r="EA68" s="80">
        <v>0.1199535087</v>
      </c>
      <c r="EB68" s="80">
        <v>8.4909755151000006</v>
      </c>
      <c r="EC68" s="80">
        <v>7.0011919300000003E-2</v>
      </c>
      <c r="ED68" s="80">
        <v>4.863314591</v>
      </c>
      <c r="EE68" s="80">
        <v>4.3116417400000003E-2</v>
      </c>
      <c r="EF68" s="80">
        <v>2.9144137114999999</v>
      </c>
      <c r="EG68" s="80">
        <v>2.8265328700000002E-2</v>
      </c>
      <c r="EH68" s="80">
        <v>1.8351008904999999</v>
      </c>
      <c r="EI68" s="80">
        <v>1.97589832E-2</v>
      </c>
      <c r="EJ68" s="80">
        <v>1.210296737</v>
      </c>
      <c r="EK68" s="80">
        <v>1.4607350999999999E-2</v>
      </c>
      <c r="EL68" s="80">
        <v>0.83571838870000004</v>
      </c>
      <c r="EM68" s="94">
        <v>1.1343832099999999E-2</v>
      </c>
      <c r="EN68" s="80"/>
      <c r="EO68" s="80"/>
      <c r="EP68" s="80"/>
      <c r="EQ68" s="80"/>
      <c r="ER68" s="80"/>
      <c r="ES68" s="80"/>
      <c r="ET68" s="80"/>
      <c r="EU68" s="80"/>
      <c r="EV68" s="80"/>
      <c r="EW68" s="94"/>
    </row>
    <row r="69" spans="1:153" x14ac:dyDescent="0.2">
      <c r="A69" s="79">
        <v>6400</v>
      </c>
      <c r="B69" s="27">
        <v>10528</v>
      </c>
      <c r="C69" s="79">
        <v>2634.7280323</v>
      </c>
      <c r="D69" s="27">
        <v>6349.5611363999997</v>
      </c>
      <c r="E69" s="27">
        <v>118.57084369</v>
      </c>
      <c r="F69" s="27">
        <v>0.1038589501</v>
      </c>
      <c r="G69" s="79">
        <v>10.545403278</v>
      </c>
      <c r="H69" s="27">
        <v>4.233077E-3</v>
      </c>
      <c r="I69" s="27">
        <v>182.64601264999999</v>
      </c>
      <c r="J69" s="27">
        <v>1.2185596798</v>
      </c>
      <c r="K69" s="27">
        <f t="shared" si="4"/>
        <v>149.88680134236623</v>
      </c>
      <c r="L69" s="27">
        <v>108.9451794</v>
      </c>
      <c r="M69" s="27">
        <v>0.68440190280000002</v>
      </c>
      <c r="N69" s="27">
        <v>33.512791169000003</v>
      </c>
      <c r="O69" s="27">
        <v>0.26419069020000002</v>
      </c>
      <c r="P69" s="80" t="s">
        <v>136</v>
      </c>
      <c r="Q69" s="80">
        <v>0</v>
      </c>
      <c r="R69" s="27">
        <v>51.461586988000001</v>
      </c>
      <c r="S69" s="27">
        <v>8.0740986099999995E-2</v>
      </c>
      <c r="T69" s="80" t="s">
        <v>136</v>
      </c>
      <c r="U69" s="80">
        <v>0</v>
      </c>
      <c r="V69" s="80" t="s">
        <v>136</v>
      </c>
      <c r="W69" s="80">
        <v>0</v>
      </c>
      <c r="X69" s="27">
        <v>0.88820490740000002</v>
      </c>
      <c r="Y69" s="27">
        <v>8.8451828999999999E-3</v>
      </c>
      <c r="Z69" s="27">
        <v>55.404042920000002</v>
      </c>
      <c r="AA69" s="27">
        <v>1.2137188618999999</v>
      </c>
      <c r="AB69" s="80" t="s">
        <v>136</v>
      </c>
      <c r="AC69" s="80">
        <v>0</v>
      </c>
      <c r="AD69" s="27">
        <v>1.071624E-3</v>
      </c>
      <c r="AE69" s="27">
        <v>5.2176916000000001E-6</v>
      </c>
      <c r="AF69" s="80" t="s">
        <v>136</v>
      </c>
      <c r="AG69" s="80">
        <v>0</v>
      </c>
      <c r="AH69" s="80" t="s">
        <v>136</v>
      </c>
      <c r="AI69" s="80">
        <v>0</v>
      </c>
      <c r="AJ69" s="27">
        <f t="shared" ref="AJ69:AJ88" si="9">AD69</f>
        <v>1.071624E-3</v>
      </c>
      <c r="AK69" s="27">
        <f t="shared" ref="AK69:AK88" si="10">AE69</f>
        <v>5.2176916000000001E-6</v>
      </c>
      <c r="AL69" s="27">
        <v>145.45257082000001</v>
      </c>
      <c r="AM69" s="27">
        <v>1.8149481397</v>
      </c>
      <c r="AN69" s="80" t="s">
        <v>136</v>
      </c>
      <c r="AO69" s="80">
        <v>0</v>
      </c>
      <c r="AP69" s="80" t="s">
        <v>136</v>
      </c>
      <c r="AQ69" s="80">
        <v>0</v>
      </c>
      <c r="AR69" s="80" t="s">
        <v>136</v>
      </c>
      <c r="AS69" s="80">
        <v>0</v>
      </c>
      <c r="AT69" s="27">
        <v>90.461019673999999</v>
      </c>
      <c r="AU69" s="27">
        <v>2.8074362267000001</v>
      </c>
      <c r="AV69" s="27">
        <v>82.621320218999998</v>
      </c>
      <c r="AW69" s="27">
        <v>0.59104970729999995</v>
      </c>
      <c r="AX69" s="27">
        <v>37.238768135999997</v>
      </c>
      <c r="AY69" s="27">
        <v>0.36295113490000003</v>
      </c>
      <c r="AZ69" s="27">
        <v>12.023706681</v>
      </c>
      <c r="BA69" s="27">
        <v>9.7789589699999999E-2</v>
      </c>
      <c r="BB69" s="80">
        <f t="shared" si="7"/>
        <v>33.358845402</v>
      </c>
      <c r="BC69" s="80">
        <f t="shared" si="8"/>
        <v>0.13030898269999991</v>
      </c>
      <c r="BD69" s="27">
        <v>0</v>
      </c>
      <c r="BE69" s="80">
        <v>0</v>
      </c>
      <c r="BF69" s="27">
        <v>232.13867071999999</v>
      </c>
      <c r="BG69" s="27">
        <v>2.2105731192000002</v>
      </c>
      <c r="BH69" s="27">
        <v>8.8999614999999994E-3</v>
      </c>
      <c r="BI69" s="27">
        <v>6.8562281000000004E-6</v>
      </c>
      <c r="BJ69" s="27">
        <v>151.12958846999999</v>
      </c>
      <c r="BK69" s="27">
        <v>4.6027830284000002</v>
      </c>
      <c r="BL69" s="27">
        <v>278.75756418999998</v>
      </c>
      <c r="BM69" s="27">
        <v>1.8901299146999999</v>
      </c>
      <c r="BN69" s="27">
        <v>58.501301365000003</v>
      </c>
      <c r="BO69" s="27">
        <v>0.25196804010000001</v>
      </c>
      <c r="BP69" s="27">
        <v>0.5487242202</v>
      </c>
      <c r="BQ69" s="27">
        <v>1.5775492E-3</v>
      </c>
      <c r="BR69" s="27">
        <v>0</v>
      </c>
      <c r="BS69" s="92">
        <v>0</v>
      </c>
      <c r="BT69" s="80" t="s">
        <v>136</v>
      </c>
      <c r="BU69" s="80">
        <v>0</v>
      </c>
      <c r="BV69" s="27">
        <v>0.77839444400000002</v>
      </c>
      <c r="BW69" s="27">
        <v>1.00541142E-2</v>
      </c>
      <c r="BX69" s="27">
        <v>32.734396725000003</v>
      </c>
      <c r="BY69" s="27">
        <v>0.254136576</v>
      </c>
      <c r="BZ69" s="80" t="s">
        <v>136</v>
      </c>
      <c r="CA69" s="80">
        <v>0</v>
      </c>
      <c r="CB69" s="80" t="s">
        <v>136</v>
      </c>
      <c r="CC69" s="80">
        <v>0</v>
      </c>
      <c r="CD69" s="27">
        <v>26.397048468000001</v>
      </c>
      <c r="CE69" s="27">
        <v>2.4348788600000001E-2</v>
      </c>
      <c r="CF69" s="27">
        <v>25.064538519999999</v>
      </c>
      <c r="CG69" s="27">
        <v>5.6392197499999998E-2</v>
      </c>
      <c r="CH69" s="80" t="s">
        <v>136</v>
      </c>
      <c r="CI69" s="80">
        <v>0</v>
      </c>
      <c r="CJ69" s="80" t="s">
        <v>136</v>
      </c>
      <c r="CK69" s="80">
        <v>0</v>
      </c>
      <c r="CL69" s="80" t="s">
        <v>136</v>
      </c>
      <c r="CM69" s="80">
        <v>0</v>
      </c>
      <c r="CN69" s="80" t="s">
        <v>136</v>
      </c>
      <c r="CO69" s="80">
        <v>0</v>
      </c>
      <c r="CP69" s="27">
        <v>0.27784798379999998</v>
      </c>
      <c r="CQ69" s="27">
        <v>2.9344428000000001E-3</v>
      </c>
      <c r="CR69" s="27">
        <v>0.61035692370000005</v>
      </c>
      <c r="CS69" s="27">
        <v>5.9107400999999999E-3</v>
      </c>
      <c r="CT69" s="27">
        <v>5.4972529517000002</v>
      </c>
      <c r="CU69" s="27">
        <v>5.9373224699999998E-2</v>
      </c>
      <c r="CV69" s="27">
        <v>49.906789967999998</v>
      </c>
      <c r="CW69" s="27">
        <v>1.1543456372000001</v>
      </c>
      <c r="CX69" s="80" t="s">
        <v>136</v>
      </c>
      <c r="CY69" s="80">
        <v>0</v>
      </c>
      <c r="CZ69" s="80" t="s">
        <v>136</v>
      </c>
      <c r="DA69" s="80">
        <v>0</v>
      </c>
      <c r="DB69" s="27">
        <v>29.232823314000001</v>
      </c>
      <c r="DC69" s="27">
        <v>0.50193611299999996</v>
      </c>
      <c r="DD69" s="27">
        <v>61.228196359999998</v>
      </c>
      <c r="DE69" s="27">
        <v>2.3055001137</v>
      </c>
      <c r="DF69" s="27">
        <v>48.485158667999997</v>
      </c>
      <c r="DG69" s="27">
        <v>0.79863064530000005</v>
      </c>
      <c r="DH69" s="27">
        <v>183.65351204999999</v>
      </c>
      <c r="DI69" s="27">
        <v>1.4119424739999999</v>
      </c>
      <c r="DJ69" s="95">
        <v>4.1774003999999997E-3</v>
      </c>
      <c r="DK69" s="96">
        <v>7.3406354999999996E-3</v>
      </c>
      <c r="DL69" s="96">
        <v>8.3176773999999992E-3</v>
      </c>
      <c r="DM69" s="96">
        <v>8.5706154000000003E-3</v>
      </c>
      <c r="DN69" s="96">
        <v>8.6248942000000002E-3</v>
      </c>
      <c r="DO69" s="96">
        <v>8.6557011999999992E-3</v>
      </c>
      <c r="DP69" s="96">
        <v>8.6724960999999996E-3</v>
      </c>
      <c r="DQ69" s="96">
        <v>8.6854163999999998E-3</v>
      </c>
      <c r="DR69" s="96">
        <v>8.6951259999999992E-3</v>
      </c>
      <c r="DS69" s="97">
        <v>8.7031425000000003E-3</v>
      </c>
      <c r="DT69" s="93">
        <v>100.05460891</v>
      </c>
      <c r="DU69" s="80">
        <v>0.69794326340000001</v>
      </c>
      <c r="DV69" s="80">
        <v>53.854278596</v>
      </c>
      <c r="DW69" s="80">
        <v>0.38866940729999999</v>
      </c>
      <c r="DX69" s="80">
        <v>28.871018356</v>
      </c>
      <c r="DY69" s="80">
        <v>0.2156384385</v>
      </c>
      <c r="DZ69" s="80">
        <v>15.572875843</v>
      </c>
      <c r="EA69" s="80">
        <v>0.1213262624</v>
      </c>
      <c r="EB69" s="80">
        <v>8.6166125199000003</v>
      </c>
      <c r="EC69" s="80">
        <v>7.09604603E-2</v>
      </c>
      <c r="ED69" s="80">
        <v>4.9479169401999998</v>
      </c>
      <c r="EE69" s="80">
        <v>4.3781608499999999E-2</v>
      </c>
      <c r="EF69" s="80">
        <v>2.9719907123999998</v>
      </c>
      <c r="EG69" s="80">
        <v>2.8742775500000001E-2</v>
      </c>
      <c r="EH69" s="80">
        <v>1.8750711808</v>
      </c>
      <c r="EI69" s="80">
        <v>2.01140912E-2</v>
      </c>
      <c r="EJ69" s="80">
        <v>1.2384748725000001</v>
      </c>
      <c r="EK69" s="80">
        <v>1.4879112999999999E-2</v>
      </c>
      <c r="EL69" s="80">
        <v>0.8565414616</v>
      </c>
      <c r="EM69" s="94">
        <v>1.15603136E-2</v>
      </c>
      <c r="EN69" s="80"/>
      <c r="EO69" s="80"/>
      <c r="EP69" s="80"/>
      <c r="EQ69" s="80"/>
      <c r="ER69" s="80"/>
      <c r="ES69" s="80"/>
      <c r="ET69" s="80"/>
      <c r="EU69" s="80"/>
      <c r="EV69" s="80"/>
      <c r="EW69" s="94"/>
    </row>
    <row r="70" spans="1:153" x14ac:dyDescent="0.2">
      <c r="A70" s="79">
        <v>6500</v>
      </c>
      <c r="B70" s="27">
        <v>10629</v>
      </c>
      <c r="C70" s="79">
        <v>2656.3105494000001</v>
      </c>
      <c r="D70" s="27">
        <v>6449.8851083</v>
      </c>
      <c r="E70" s="27">
        <v>120.16512765</v>
      </c>
      <c r="F70" s="27">
        <v>0.1045879936</v>
      </c>
      <c r="G70" s="79">
        <v>10.787810675999999</v>
      </c>
      <c r="H70" s="27">
        <v>4.2954055999999997E-3</v>
      </c>
      <c r="I70" s="27">
        <v>183.29277891000001</v>
      </c>
      <c r="J70" s="27">
        <v>1.2229310426</v>
      </c>
      <c r="K70" s="27">
        <f t="shared" si="4"/>
        <v>149.87989716927316</v>
      </c>
      <c r="L70" s="27">
        <v>109.72891964999999</v>
      </c>
      <c r="M70" s="27">
        <v>0.68920469620000002</v>
      </c>
      <c r="N70" s="27">
        <v>33.881429357999998</v>
      </c>
      <c r="O70" s="27">
        <v>0.26690433949999998</v>
      </c>
      <c r="P70" s="80" t="s">
        <v>136</v>
      </c>
      <c r="Q70" s="80">
        <v>0</v>
      </c>
      <c r="R70" s="27">
        <v>52.428620576</v>
      </c>
      <c r="S70" s="27">
        <v>8.2005848000000006E-2</v>
      </c>
      <c r="T70" s="80" t="s">
        <v>136</v>
      </c>
      <c r="U70" s="80">
        <v>0</v>
      </c>
      <c r="V70" s="80" t="s">
        <v>136</v>
      </c>
      <c r="W70" s="80">
        <v>0</v>
      </c>
      <c r="X70" s="27">
        <v>0.91088142989999998</v>
      </c>
      <c r="Y70" s="27">
        <v>9.0772952999999997E-3</v>
      </c>
      <c r="Z70" s="27">
        <v>56.107278172000001</v>
      </c>
      <c r="AA70" s="27">
        <v>1.2274955523</v>
      </c>
      <c r="AB70" s="80" t="s">
        <v>136</v>
      </c>
      <c r="AC70" s="80">
        <v>0</v>
      </c>
      <c r="AD70" s="27">
        <v>1.0690795000000001E-3</v>
      </c>
      <c r="AE70" s="27">
        <v>5.2050188999999997E-6</v>
      </c>
      <c r="AF70" s="80" t="s">
        <v>136</v>
      </c>
      <c r="AG70" s="80">
        <v>0</v>
      </c>
      <c r="AH70" s="80" t="s">
        <v>136</v>
      </c>
      <c r="AI70" s="80">
        <v>0</v>
      </c>
      <c r="AJ70" s="27">
        <f t="shared" si="9"/>
        <v>1.0690795000000001E-3</v>
      </c>
      <c r="AK70" s="27">
        <f t="shared" si="10"/>
        <v>5.2050188999999997E-6</v>
      </c>
      <c r="AL70" s="27">
        <v>146.40303412</v>
      </c>
      <c r="AM70" s="27">
        <v>1.8220813576999999</v>
      </c>
      <c r="AN70" s="80" t="s">
        <v>136</v>
      </c>
      <c r="AO70" s="80">
        <v>0</v>
      </c>
      <c r="AP70" s="80" t="s">
        <v>136</v>
      </c>
      <c r="AQ70" s="80">
        <v>0</v>
      </c>
      <c r="AR70" s="80" t="s">
        <v>136</v>
      </c>
      <c r="AS70" s="80">
        <v>0</v>
      </c>
      <c r="AT70" s="27">
        <v>91.217242450000001</v>
      </c>
      <c r="AU70" s="27">
        <v>2.8235513490000002</v>
      </c>
      <c r="AV70" s="27">
        <v>83.502937341999996</v>
      </c>
      <c r="AW70" s="27">
        <v>0.59566744940000005</v>
      </c>
      <c r="AX70" s="27">
        <v>37.629773167000003</v>
      </c>
      <c r="AY70" s="27">
        <v>0.36585485919999999</v>
      </c>
      <c r="AZ70" s="27">
        <v>12.107680035</v>
      </c>
      <c r="BA70" s="27">
        <v>9.8317676399999998E-2</v>
      </c>
      <c r="BB70" s="80">
        <f t="shared" ref="BB70:BB88" si="11">AV70-(AX70+AZ70)</f>
        <v>33.765484139999991</v>
      </c>
      <c r="BC70" s="80">
        <f t="shared" ref="BC70:BC88" si="12">AW70-(AY70+BA70)</f>
        <v>0.13149491380000006</v>
      </c>
      <c r="BD70" s="27">
        <v>0</v>
      </c>
      <c r="BE70" s="80">
        <v>0</v>
      </c>
      <c r="BF70" s="27">
        <v>235.80412294000001</v>
      </c>
      <c r="BG70" s="27">
        <v>2.2295978538000001</v>
      </c>
      <c r="BH70" s="27">
        <v>9.0506095000000009E-3</v>
      </c>
      <c r="BI70" s="27">
        <v>6.8129304999999997E-6</v>
      </c>
      <c r="BJ70" s="27">
        <v>151.98977167000001</v>
      </c>
      <c r="BK70" s="27">
        <v>4.6202840501000004</v>
      </c>
      <c r="BL70" s="27">
        <v>282.73426201000001</v>
      </c>
      <c r="BM70" s="27">
        <v>1.9134828869</v>
      </c>
      <c r="BN70" s="27">
        <v>59.230247175000002</v>
      </c>
      <c r="BO70" s="27">
        <v>0.25433918379999998</v>
      </c>
      <c r="BP70" s="27">
        <v>0.56934424939999995</v>
      </c>
      <c r="BQ70" s="27">
        <v>1.5954449E-3</v>
      </c>
      <c r="BR70" s="27">
        <v>0</v>
      </c>
      <c r="BS70" s="92">
        <v>0</v>
      </c>
      <c r="BT70" s="80" t="s">
        <v>136</v>
      </c>
      <c r="BU70" s="80">
        <v>0</v>
      </c>
      <c r="BV70" s="27">
        <v>0.78595619409999995</v>
      </c>
      <c r="BW70" s="27">
        <v>1.01513651E-2</v>
      </c>
      <c r="BX70" s="27">
        <v>33.095473163999998</v>
      </c>
      <c r="BY70" s="27">
        <v>0.2567529744</v>
      </c>
      <c r="BZ70" s="80" t="s">
        <v>136</v>
      </c>
      <c r="CA70" s="80">
        <v>0</v>
      </c>
      <c r="CB70" s="80" t="s">
        <v>136</v>
      </c>
      <c r="CC70" s="80">
        <v>0</v>
      </c>
      <c r="CD70" s="27">
        <v>26.969611684</v>
      </c>
      <c r="CE70" s="27">
        <v>2.4774473599999999E-2</v>
      </c>
      <c r="CF70" s="27">
        <v>25.459008892</v>
      </c>
      <c r="CG70" s="27">
        <v>5.7231374299999999E-2</v>
      </c>
      <c r="CH70" s="80" t="s">
        <v>136</v>
      </c>
      <c r="CI70" s="80">
        <v>0</v>
      </c>
      <c r="CJ70" s="80" t="s">
        <v>136</v>
      </c>
      <c r="CK70" s="80">
        <v>0</v>
      </c>
      <c r="CL70" s="80" t="s">
        <v>136</v>
      </c>
      <c r="CM70" s="80">
        <v>0</v>
      </c>
      <c r="CN70" s="80" t="s">
        <v>136</v>
      </c>
      <c r="CO70" s="80">
        <v>0</v>
      </c>
      <c r="CP70" s="27">
        <v>0.28644238459999999</v>
      </c>
      <c r="CQ70" s="27">
        <v>3.0383723999999998E-3</v>
      </c>
      <c r="CR70" s="27">
        <v>0.62443904520000004</v>
      </c>
      <c r="CS70" s="27">
        <v>6.0389229000000003E-3</v>
      </c>
      <c r="CT70" s="27">
        <v>5.5890216293000003</v>
      </c>
      <c r="CU70" s="27">
        <v>6.0397451099999999E-2</v>
      </c>
      <c r="CV70" s="27">
        <v>50.518256543</v>
      </c>
      <c r="CW70" s="27">
        <v>1.1670981011999999</v>
      </c>
      <c r="CX70" s="80" t="s">
        <v>136</v>
      </c>
      <c r="CY70" s="80">
        <v>0</v>
      </c>
      <c r="CZ70" s="80" t="s">
        <v>136</v>
      </c>
      <c r="DA70" s="80">
        <v>0</v>
      </c>
      <c r="DB70" s="27">
        <v>29.519795469999998</v>
      </c>
      <c r="DC70" s="27">
        <v>0.50577346199999995</v>
      </c>
      <c r="DD70" s="27">
        <v>61.697446980999999</v>
      </c>
      <c r="DE70" s="27">
        <v>2.3177778870000001</v>
      </c>
      <c r="DF70" s="27">
        <v>49.926920213999999</v>
      </c>
      <c r="DG70" s="27">
        <v>0.80758200540000002</v>
      </c>
      <c r="DH70" s="27">
        <v>185.87720272000001</v>
      </c>
      <c r="DI70" s="27">
        <v>1.4220158484000001</v>
      </c>
      <c r="DJ70" s="95">
        <v>4.2378140000000003E-3</v>
      </c>
      <c r="DK70" s="96">
        <v>7.4474781E-3</v>
      </c>
      <c r="DL70" s="96">
        <v>8.4480262E-3</v>
      </c>
      <c r="DM70" s="96">
        <v>8.7087569999999993E-3</v>
      </c>
      <c r="DN70" s="96">
        <v>8.7659399000000002E-3</v>
      </c>
      <c r="DO70" s="96">
        <v>8.7990141000000004E-3</v>
      </c>
      <c r="DP70" s="96">
        <v>8.8168251E-3</v>
      </c>
      <c r="DQ70" s="96">
        <v>8.8301991E-3</v>
      </c>
      <c r="DR70" s="96">
        <v>8.8403726999999998E-3</v>
      </c>
      <c r="DS70" s="97">
        <v>8.8488564000000006E-3</v>
      </c>
      <c r="DT70" s="93">
        <v>100.58723895999999</v>
      </c>
      <c r="DU70" s="80">
        <v>0.70159852599999994</v>
      </c>
      <c r="DV70" s="80">
        <v>54.248593689000003</v>
      </c>
      <c r="DW70" s="80">
        <v>0.3914501776</v>
      </c>
      <c r="DX70" s="80">
        <v>29.143942507999999</v>
      </c>
      <c r="DY70" s="80">
        <v>0.21761981129999999</v>
      </c>
      <c r="DZ70" s="80">
        <v>15.756045341</v>
      </c>
      <c r="EA70" s="80">
        <v>0.12270458839999999</v>
      </c>
      <c r="EB70" s="80">
        <v>8.7372719208999996</v>
      </c>
      <c r="EC70" s="80">
        <v>7.1907048099999996E-2</v>
      </c>
      <c r="ED70" s="80">
        <v>5.0266852224000003</v>
      </c>
      <c r="EE70" s="80">
        <v>4.4435409400000001E-2</v>
      </c>
      <c r="EF70" s="80">
        <v>3.0242994851999998</v>
      </c>
      <c r="EG70" s="80">
        <v>2.9206756399999999E-2</v>
      </c>
      <c r="EH70" s="80">
        <v>1.9108623152999999</v>
      </c>
      <c r="EI70" s="80">
        <v>2.0458081199999999E-2</v>
      </c>
      <c r="EJ70" s="80">
        <v>1.2634357661</v>
      </c>
      <c r="EK70" s="80">
        <v>1.51433287E-2</v>
      </c>
      <c r="EL70" s="80">
        <v>0.87441095810000002</v>
      </c>
      <c r="EM70" s="94">
        <v>1.1770768500000001E-2</v>
      </c>
      <c r="EN70" s="80"/>
      <c r="EO70" s="80"/>
      <c r="EP70" s="80"/>
      <c r="EQ70" s="80"/>
      <c r="ER70" s="80"/>
      <c r="ES70" s="80"/>
      <c r="ET70" s="80"/>
      <c r="EU70" s="80"/>
      <c r="EV70" s="80"/>
      <c r="EW70" s="94"/>
    </row>
    <row r="71" spans="1:153" x14ac:dyDescent="0.2">
      <c r="A71" s="79">
        <v>7500</v>
      </c>
      <c r="B71" s="27">
        <v>92600</v>
      </c>
      <c r="C71" s="79">
        <v>2857.3648324999999</v>
      </c>
      <c r="D71" s="27">
        <v>6982.1209214</v>
      </c>
      <c r="E71" s="27">
        <v>135.11676112000001</v>
      </c>
      <c r="F71" s="27">
        <v>0.111122428</v>
      </c>
      <c r="G71" s="79">
        <v>13.750743697000001</v>
      </c>
      <c r="H71" s="27">
        <v>4.9433293999999999E-3</v>
      </c>
      <c r="I71" s="27">
        <v>189.00644657000001</v>
      </c>
      <c r="J71" s="27">
        <v>1.2613887856999999</v>
      </c>
      <c r="K71" s="27">
        <f t="shared" ref="K71:K88" si="13">I71/J71</f>
        <v>149.83996109106999</v>
      </c>
      <c r="L71" s="27">
        <v>116.57611316000001</v>
      </c>
      <c r="M71" s="27">
        <v>0.73201005630000004</v>
      </c>
      <c r="N71" s="27">
        <v>37.338141788000001</v>
      </c>
      <c r="O71" s="27">
        <v>0.29206588119999999</v>
      </c>
      <c r="P71" s="80" t="s">
        <v>136</v>
      </c>
      <c r="Q71" s="80">
        <v>0</v>
      </c>
      <c r="R71" s="27">
        <v>61.769031832000003</v>
      </c>
      <c r="S71" s="27">
        <v>9.4273488000000003E-2</v>
      </c>
      <c r="T71" s="80" t="s">
        <v>136</v>
      </c>
      <c r="U71" s="80">
        <v>0</v>
      </c>
      <c r="V71" s="80" t="s">
        <v>136</v>
      </c>
      <c r="W71" s="80">
        <v>0</v>
      </c>
      <c r="X71" s="27">
        <v>1.0753835049</v>
      </c>
      <c r="Y71" s="27">
        <v>1.04800022E-2</v>
      </c>
      <c r="Z71" s="27">
        <v>62.992160450999997</v>
      </c>
      <c r="AA71" s="27">
        <v>1.3592339909</v>
      </c>
      <c r="AB71" s="80" t="s">
        <v>136</v>
      </c>
      <c r="AC71" s="80">
        <v>0</v>
      </c>
      <c r="AD71" s="27">
        <v>1.4842854E-3</v>
      </c>
      <c r="AE71" s="27">
        <v>6.6150324999999999E-6</v>
      </c>
      <c r="AF71" s="80" t="s">
        <v>136</v>
      </c>
      <c r="AG71" s="80">
        <v>0</v>
      </c>
      <c r="AH71" s="80" t="s">
        <v>136</v>
      </c>
      <c r="AI71" s="80">
        <v>0</v>
      </c>
      <c r="AJ71" s="27">
        <f t="shared" si="9"/>
        <v>1.4842854E-3</v>
      </c>
      <c r="AK71" s="27">
        <f t="shared" si="10"/>
        <v>6.6150324999999999E-6</v>
      </c>
      <c r="AL71" s="27">
        <v>154.49445566</v>
      </c>
      <c r="AM71" s="27">
        <v>1.8847185122000001</v>
      </c>
      <c r="AN71" s="80" t="s">
        <v>136</v>
      </c>
      <c r="AO71" s="80">
        <v>0</v>
      </c>
      <c r="AP71" s="80" t="s">
        <v>136</v>
      </c>
      <c r="AQ71" s="80">
        <v>0</v>
      </c>
      <c r="AR71" s="80" t="s">
        <v>136</v>
      </c>
      <c r="AS71" s="80">
        <v>0</v>
      </c>
      <c r="AT71" s="27">
        <v>98.206676725999998</v>
      </c>
      <c r="AU71" s="27">
        <v>2.9716389507000001</v>
      </c>
      <c r="AV71" s="27">
        <v>91.686395278000006</v>
      </c>
      <c r="AW71" s="27">
        <v>0.63800129360000002</v>
      </c>
      <c r="AX71" s="27">
        <v>41.065115718999998</v>
      </c>
      <c r="AY71" s="27">
        <v>0.39216877680000001</v>
      </c>
      <c r="AZ71" s="27">
        <v>12.908412738999999</v>
      </c>
      <c r="BA71" s="27">
        <v>0.1031233748</v>
      </c>
      <c r="BB71" s="80">
        <f t="shared" si="11"/>
        <v>37.712866820000009</v>
      </c>
      <c r="BC71" s="80">
        <f t="shared" si="12"/>
        <v>0.14270914200000001</v>
      </c>
      <c r="BD71" s="27">
        <v>0</v>
      </c>
      <c r="BE71" s="80">
        <v>0</v>
      </c>
      <c r="BF71" s="27">
        <v>271.89138850000001</v>
      </c>
      <c r="BG71" s="27">
        <v>2.4053188938000001</v>
      </c>
      <c r="BH71" s="27">
        <v>1.05161908E-2</v>
      </c>
      <c r="BI71" s="27">
        <v>7.8332743000000004E-6</v>
      </c>
      <c r="BJ71" s="27">
        <v>159.09016553999999</v>
      </c>
      <c r="BK71" s="27">
        <v>4.7712578248000002</v>
      </c>
      <c r="BL71" s="27">
        <v>319.58396991000001</v>
      </c>
      <c r="BM71" s="27">
        <v>2.1294075008000002</v>
      </c>
      <c r="BN71" s="27">
        <v>65.736776595999999</v>
      </c>
      <c r="BO71" s="27">
        <v>0.27498787629999999</v>
      </c>
      <c r="BP71" s="27">
        <v>0.80157868629999995</v>
      </c>
      <c r="BQ71" s="27">
        <v>1.8851022999999999E-3</v>
      </c>
      <c r="BR71" s="27">
        <v>0</v>
      </c>
      <c r="BS71" s="92">
        <v>0</v>
      </c>
      <c r="BT71" s="80" t="s">
        <v>136</v>
      </c>
      <c r="BU71" s="80">
        <v>0</v>
      </c>
      <c r="BV71" s="27">
        <v>0.91919507430000003</v>
      </c>
      <c r="BW71" s="27">
        <v>1.13998663E-2</v>
      </c>
      <c r="BX71" s="27">
        <v>36.418946714</v>
      </c>
      <c r="BY71" s="27">
        <v>0.28066601489999998</v>
      </c>
      <c r="BZ71" s="80" t="s">
        <v>136</v>
      </c>
      <c r="CA71" s="80">
        <v>0</v>
      </c>
      <c r="CB71" s="80" t="s">
        <v>136</v>
      </c>
      <c r="CC71" s="80">
        <v>0</v>
      </c>
      <c r="CD71" s="27">
        <v>32.684445255999997</v>
      </c>
      <c r="CE71" s="27">
        <v>2.90005965E-2</v>
      </c>
      <c r="CF71" s="27">
        <v>29.084586577</v>
      </c>
      <c r="CG71" s="27">
        <v>6.5272891499999999E-2</v>
      </c>
      <c r="CH71" s="80" t="s">
        <v>136</v>
      </c>
      <c r="CI71" s="80">
        <v>0</v>
      </c>
      <c r="CJ71" s="80" t="s">
        <v>136</v>
      </c>
      <c r="CK71" s="80">
        <v>0</v>
      </c>
      <c r="CL71" s="80" t="s">
        <v>136</v>
      </c>
      <c r="CM71" s="80">
        <v>0</v>
      </c>
      <c r="CN71" s="80" t="s">
        <v>136</v>
      </c>
      <c r="CO71" s="80">
        <v>0</v>
      </c>
      <c r="CP71" s="27">
        <v>0.33905557219999999</v>
      </c>
      <c r="CQ71" s="27">
        <v>3.447037E-3</v>
      </c>
      <c r="CR71" s="27">
        <v>0.73632793269999997</v>
      </c>
      <c r="CS71" s="27">
        <v>7.0329651999999996E-3</v>
      </c>
      <c r="CT71" s="27">
        <v>6.6697513975999998</v>
      </c>
      <c r="CU71" s="27">
        <v>7.0187180399999993E-2</v>
      </c>
      <c r="CV71" s="27">
        <v>56.322409053999998</v>
      </c>
      <c r="CW71" s="27">
        <v>1.2890468103999999</v>
      </c>
      <c r="CX71" s="80" t="s">
        <v>136</v>
      </c>
      <c r="CY71" s="80">
        <v>0</v>
      </c>
      <c r="CZ71" s="80" t="s">
        <v>136</v>
      </c>
      <c r="DA71" s="80">
        <v>0</v>
      </c>
      <c r="DB71" s="27">
        <v>32.348995408</v>
      </c>
      <c r="DC71" s="27">
        <v>0.54415089100000003</v>
      </c>
      <c r="DD71" s="27">
        <v>65.857681318000004</v>
      </c>
      <c r="DE71" s="27">
        <v>2.4274880596999999</v>
      </c>
      <c r="DF71" s="27">
        <v>64.864659281000002</v>
      </c>
      <c r="DG71" s="27">
        <v>0.89263541469999996</v>
      </c>
      <c r="DH71" s="27">
        <v>207.02672921999999</v>
      </c>
      <c r="DI71" s="27">
        <v>1.5126834790999999</v>
      </c>
      <c r="DJ71" s="95">
        <v>4.8695283999999998E-3</v>
      </c>
      <c r="DK71" s="96">
        <v>8.5128553000000003E-3</v>
      </c>
      <c r="DL71" s="96">
        <v>9.7134157999999998E-3</v>
      </c>
      <c r="DM71" s="96">
        <v>1.00618714E-2</v>
      </c>
      <c r="DN71" s="96">
        <v>1.01486519E-2</v>
      </c>
      <c r="DO71" s="96">
        <v>1.0196288099999999E-2</v>
      </c>
      <c r="DP71" s="96">
        <v>1.0220088699999999E-2</v>
      </c>
      <c r="DQ71" s="96">
        <v>1.0237228100000001E-2</v>
      </c>
      <c r="DR71" s="96">
        <v>1.02494804E-2</v>
      </c>
      <c r="DS71" s="97">
        <v>1.0259910400000001E-2</v>
      </c>
      <c r="DT71" s="93">
        <v>105.34173927000001</v>
      </c>
      <c r="DU71" s="80">
        <v>0.73391879660000003</v>
      </c>
      <c r="DV71" s="80">
        <v>57.800801440999997</v>
      </c>
      <c r="DW71" s="80">
        <v>0.41612543029999999</v>
      </c>
      <c r="DX71" s="80">
        <v>31.627639692999999</v>
      </c>
      <c r="DY71" s="80">
        <v>0.23534770699999999</v>
      </c>
      <c r="DZ71" s="80">
        <v>17.432422247000002</v>
      </c>
      <c r="EA71" s="80">
        <v>0.13506415939999999</v>
      </c>
      <c r="EB71" s="80">
        <v>9.8555341666</v>
      </c>
      <c r="EC71" s="80">
        <v>8.0483398400000003E-2</v>
      </c>
      <c r="ED71" s="80">
        <v>5.7752733754000003</v>
      </c>
      <c r="EE71" s="80">
        <v>5.0464041600000002E-2</v>
      </c>
      <c r="EF71" s="80">
        <v>3.5324508251000002</v>
      </c>
      <c r="EG71" s="80">
        <v>3.35437424E-2</v>
      </c>
      <c r="EH71" s="80">
        <v>2.2653983767999999</v>
      </c>
      <c r="EI71" s="80">
        <v>2.3691495E-2</v>
      </c>
      <c r="EJ71" s="80">
        <v>1.5182438557</v>
      </c>
      <c r="EK71" s="80">
        <v>1.76357244E-2</v>
      </c>
      <c r="EL71" s="80">
        <v>1.0624641046000001</v>
      </c>
      <c r="EM71" s="94">
        <v>1.3745972400000001E-2</v>
      </c>
      <c r="EN71" s="80"/>
      <c r="EO71" s="80"/>
      <c r="EP71" s="80"/>
      <c r="EQ71" s="80"/>
      <c r="ER71" s="80"/>
      <c r="ES71" s="80"/>
      <c r="ET71" s="80"/>
      <c r="EU71" s="80"/>
      <c r="EV71" s="80"/>
      <c r="EW71" s="94"/>
    </row>
    <row r="72" spans="1:153" x14ac:dyDescent="0.2">
      <c r="A72" s="79">
        <v>10000</v>
      </c>
      <c r="B72" s="27">
        <v>163377</v>
      </c>
      <c r="C72" s="79">
        <v>3268.0524902000002</v>
      </c>
      <c r="D72" s="27">
        <v>8654.5769748000002</v>
      </c>
      <c r="E72" s="27">
        <v>166.89664826999999</v>
      </c>
      <c r="F72" s="27">
        <v>0.1236569049</v>
      </c>
      <c r="G72" s="79">
        <v>26.156515038999999</v>
      </c>
      <c r="H72" s="27">
        <v>6.9576244000000001E-3</v>
      </c>
      <c r="I72" s="27">
        <v>199.28904237</v>
      </c>
      <c r="J72" s="27">
        <v>1.3309503573000001</v>
      </c>
      <c r="K72" s="27">
        <f t="shared" si="13"/>
        <v>149.73439187790808</v>
      </c>
      <c r="L72" s="27">
        <v>129.86955087999999</v>
      </c>
      <c r="M72" s="27">
        <v>0.81467325779999999</v>
      </c>
      <c r="N72" s="27">
        <v>43.982344667</v>
      </c>
      <c r="O72" s="27">
        <v>0.3397260251</v>
      </c>
      <c r="P72" s="80" t="s">
        <v>136</v>
      </c>
      <c r="Q72" s="80">
        <v>0</v>
      </c>
      <c r="R72" s="27">
        <v>81.699257001000007</v>
      </c>
      <c r="S72" s="27">
        <v>0.11969781710000001</v>
      </c>
      <c r="T72" s="80" t="s">
        <v>136</v>
      </c>
      <c r="U72" s="80">
        <v>0</v>
      </c>
      <c r="V72" s="80" t="s">
        <v>136</v>
      </c>
      <c r="W72" s="80">
        <v>0</v>
      </c>
      <c r="X72" s="27">
        <v>1.4793123728999999</v>
      </c>
      <c r="Y72" s="27">
        <v>1.39641633E-2</v>
      </c>
      <c r="Z72" s="27">
        <v>76.753499227999995</v>
      </c>
      <c r="AA72" s="27">
        <v>1.6117206597</v>
      </c>
      <c r="AB72" s="80" t="s">
        <v>136</v>
      </c>
      <c r="AC72" s="80">
        <v>0</v>
      </c>
      <c r="AD72" s="27">
        <v>1.8125003E-3</v>
      </c>
      <c r="AE72" s="27">
        <v>7.4745960000000003E-6</v>
      </c>
      <c r="AF72" s="80" t="s">
        <v>136</v>
      </c>
      <c r="AG72" s="80">
        <v>0</v>
      </c>
      <c r="AH72" s="80" t="s">
        <v>136</v>
      </c>
      <c r="AI72" s="80">
        <v>0</v>
      </c>
      <c r="AJ72" s="27">
        <f t="shared" si="9"/>
        <v>1.8125003E-3</v>
      </c>
      <c r="AK72" s="27">
        <f t="shared" si="10"/>
        <v>7.4745960000000003E-6</v>
      </c>
      <c r="AL72" s="27">
        <v>168.87409316</v>
      </c>
      <c r="AM72" s="27">
        <v>1.9972404508999999</v>
      </c>
      <c r="AN72" s="80" t="s">
        <v>136</v>
      </c>
      <c r="AO72" s="80">
        <v>0</v>
      </c>
      <c r="AP72" s="80" t="s">
        <v>136</v>
      </c>
      <c r="AQ72" s="80">
        <v>0</v>
      </c>
      <c r="AR72" s="80" t="s">
        <v>136</v>
      </c>
      <c r="AS72" s="80">
        <v>0</v>
      </c>
      <c r="AT72" s="27">
        <v>112.51083417</v>
      </c>
      <c r="AU72" s="27">
        <v>3.2625885841</v>
      </c>
      <c r="AV72" s="27">
        <v>108.72808937000001</v>
      </c>
      <c r="AW72" s="27">
        <v>0.72397868659999998</v>
      </c>
      <c r="AX72" s="27">
        <v>48.006336515000001</v>
      </c>
      <c r="AY72" s="27">
        <v>0.4452318126</v>
      </c>
      <c r="AZ72" s="27">
        <v>14.398802659999999</v>
      </c>
      <c r="BA72" s="27">
        <v>0.1120783709</v>
      </c>
      <c r="BB72" s="80">
        <f t="shared" si="11"/>
        <v>46.322950195000004</v>
      </c>
      <c r="BC72" s="80">
        <f t="shared" si="12"/>
        <v>0.16666850309999992</v>
      </c>
      <c r="BD72" s="27">
        <v>1.33097961E-2</v>
      </c>
      <c r="BE72" s="27">
        <v>6.6725251000000001E-6</v>
      </c>
      <c r="BF72" s="27">
        <v>359.35232954999998</v>
      </c>
      <c r="BG72" s="27">
        <v>2.7763221845000001</v>
      </c>
      <c r="BH72" s="27">
        <v>1.48589638E-2</v>
      </c>
      <c r="BI72" s="27">
        <v>6.54416E-5</v>
      </c>
      <c r="BJ72" s="27">
        <v>171.66915281999999</v>
      </c>
      <c r="BK72" s="27">
        <v>5.0422719480999998</v>
      </c>
      <c r="BL72" s="27">
        <v>394.86307677000002</v>
      </c>
      <c r="BM72" s="27">
        <v>2.5498925951000002</v>
      </c>
      <c r="BN72" s="27">
        <v>79.133636674000002</v>
      </c>
      <c r="BO72" s="27">
        <v>0.31498495520000003</v>
      </c>
      <c r="BP72" s="27">
        <v>1.6101374531999999</v>
      </c>
      <c r="BQ72" s="27">
        <v>2.6406236000000001E-3</v>
      </c>
      <c r="BR72" s="27">
        <v>0</v>
      </c>
      <c r="BS72" s="92">
        <v>0</v>
      </c>
      <c r="BT72" s="80" t="s">
        <v>136</v>
      </c>
      <c r="BU72" s="80">
        <v>0</v>
      </c>
      <c r="BV72" s="27">
        <v>1.1842195692999999</v>
      </c>
      <c r="BW72" s="27">
        <v>1.37726598E-2</v>
      </c>
      <c r="BX72" s="27">
        <v>42.798125098</v>
      </c>
      <c r="BY72" s="27">
        <v>0.32595336530000002</v>
      </c>
      <c r="BZ72" s="80" t="s">
        <v>136</v>
      </c>
      <c r="CA72" s="80">
        <v>0</v>
      </c>
      <c r="CB72" s="80" t="s">
        <v>136</v>
      </c>
      <c r="CC72" s="80">
        <v>0</v>
      </c>
      <c r="CD72" s="27">
        <v>45.195793448000003</v>
      </c>
      <c r="CE72" s="27">
        <v>3.7898161499999999E-2</v>
      </c>
      <c r="CF72" s="27">
        <v>36.503463553000003</v>
      </c>
      <c r="CG72" s="27">
        <v>8.1799655600000007E-2</v>
      </c>
      <c r="CH72" s="80" t="s">
        <v>136</v>
      </c>
      <c r="CI72" s="80">
        <v>0</v>
      </c>
      <c r="CJ72" s="80" t="s">
        <v>136</v>
      </c>
      <c r="CK72" s="80">
        <v>0</v>
      </c>
      <c r="CL72" s="80" t="s">
        <v>136</v>
      </c>
      <c r="CM72" s="80">
        <v>0</v>
      </c>
      <c r="CN72" s="80" t="s">
        <v>136</v>
      </c>
      <c r="CO72" s="80">
        <v>0</v>
      </c>
      <c r="CP72" s="27">
        <v>0.47506566779999998</v>
      </c>
      <c r="CQ72" s="27">
        <v>4.5832531999999999E-3</v>
      </c>
      <c r="CR72" s="27">
        <v>1.0042467050999999</v>
      </c>
      <c r="CS72" s="27">
        <v>9.3809101000000006E-3</v>
      </c>
      <c r="CT72" s="27">
        <v>9.0776716492999991</v>
      </c>
      <c r="CU72" s="27">
        <v>9.1750006699999997E-2</v>
      </c>
      <c r="CV72" s="27">
        <v>67.675827579</v>
      </c>
      <c r="CW72" s="27">
        <v>1.5199706529999999</v>
      </c>
      <c r="CX72" s="80" t="s">
        <v>136</v>
      </c>
      <c r="CY72" s="80">
        <v>0</v>
      </c>
      <c r="CZ72" s="80" t="s">
        <v>136</v>
      </c>
      <c r="DA72" s="80">
        <v>0</v>
      </c>
      <c r="DB72" s="27">
        <v>38.343129818999998</v>
      </c>
      <c r="DC72" s="27">
        <v>0.62288033970000001</v>
      </c>
      <c r="DD72" s="27">
        <v>74.167704349000005</v>
      </c>
      <c r="DE72" s="27">
        <v>2.6397082444</v>
      </c>
      <c r="DF72" s="27">
        <v>104.40626008</v>
      </c>
      <c r="DG72" s="27">
        <v>1.0820592197000001</v>
      </c>
      <c r="DH72" s="27">
        <v>254.94606947</v>
      </c>
      <c r="DI72" s="27">
        <v>1.6942629648</v>
      </c>
      <c r="DJ72" s="95">
        <v>6.8246579999999999E-3</v>
      </c>
      <c r="DK72" s="96">
        <v>1.17513823E-2</v>
      </c>
      <c r="DL72" s="96">
        <v>1.34859122E-2</v>
      </c>
      <c r="DM72" s="96">
        <v>1.4075265300000001E-2</v>
      </c>
      <c r="DN72" s="96">
        <v>1.4271918099999999E-2</v>
      </c>
      <c r="DO72" s="96">
        <v>1.43793017E-2</v>
      </c>
      <c r="DP72" s="96">
        <v>1.4436205000000001E-2</v>
      </c>
      <c r="DQ72" s="96">
        <v>1.44729991E-2</v>
      </c>
      <c r="DR72" s="96">
        <v>1.4498373700000001E-2</v>
      </c>
      <c r="DS72" s="97">
        <v>1.45200682E-2</v>
      </c>
      <c r="DT72" s="93">
        <v>114.07966061</v>
      </c>
      <c r="DU72" s="80">
        <v>0.79343925530000003</v>
      </c>
      <c r="DV72" s="80">
        <v>64.509779847999994</v>
      </c>
      <c r="DW72" s="80">
        <v>0.46273464209999998</v>
      </c>
      <c r="DX72" s="80">
        <v>36.448775929999996</v>
      </c>
      <c r="DY72" s="80">
        <v>0.26967839599999999</v>
      </c>
      <c r="DZ72" s="80">
        <v>20.771679739</v>
      </c>
      <c r="EA72" s="80">
        <v>0.15956954800000001</v>
      </c>
      <c r="EB72" s="80">
        <v>12.127078957</v>
      </c>
      <c r="EC72" s="80">
        <v>9.7785992200000005E-2</v>
      </c>
      <c r="ED72" s="80">
        <v>7.3247442750999996</v>
      </c>
      <c r="EE72" s="80">
        <v>6.2812200700000001E-2</v>
      </c>
      <c r="EF72" s="80">
        <v>4.6021425165999998</v>
      </c>
      <c r="EG72" s="80">
        <v>4.2527576099999999E-2</v>
      </c>
      <c r="EH72" s="80">
        <v>3.0202602511999999</v>
      </c>
      <c r="EI72" s="80">
        <v>3.0417678900000002E-2</v>
      </c>
      <c r="EJ72" s="80">
        <v>2.0633386158999998</v>
      </c>
      <c r="EK72" s="80">
        <v>2.2822753599999999E-2</v>
      </c>
      <c r="EL72" s="80">
        <v>1.4658255705000001</v>
      </c>
      <c r="EM72" s="94">
        <v>1.7862945099999999E-2</v>
      </c>
      <c r="EN72" s="80"/>
      <c r="EO72" s="80"/>
      <c r="EP72" s="80"/>
      <c r="EQ72" s="80"/>
      <c r="ER72" s="80"/>
      <c r="ES72" s="80"/>
      <c r="ET72" s="80"/>
      <c r="EU72" s="80"/>
      <c r="EV72" s="80"/>
      <c r="EW72" s="94"/>
    </row>
    <row r="73" spans="1:153" x14ac:dyDescent="0.2">
      <c r="A73" s="79">
        <v>15000</v>
      </c>
      <c r="B73" s="27">
        <v>184400</v>
      </c>
      <c r="C73" s="79">
        <v>3836.7451205000002</v>
      </c>
      <c r="D73" s="27">
        <v>12213.66762</v>
      </c>
      <c r="E73" s="27">
        <v>211.51148425</v>
      </c>
      <c r="F73" s="27">
        <v>0.13922990099999999</v>
      </c>
      <c r="G73" s="79">
        <v>90.413178078000001</v>
      </c>
      <c r="H73" s="27">
        <v>1.42193233E-2</v>
      </c>
      <c r="I73" s="27">
        <v>210.41725951000001</v>
      </c>
      <c r="J73" s="27">
        <v>1.4054930159000001</v>
      </c>
      <c r="K73" s="27">
        <f t="shared" si="13"/>
        <v>149.71064041557005</v>
      </c>
      <c r="L73" s="27">
        <v>146.49525642</v>
      </c>
      <c r="M73" s="27">
        <v>0.915772896</v>
      </c>
      <c r="N73" s="27">
        <v>51.909427409999999</v>
      </c>
      <c r="O73" s="27">
        <v>0.39575629490000003</v>
      </c>
      <c r="P73" s="80" t="s">
        <v>136</v>
      </c>
      <c r="Q73" s="80">
        <v>0</v>
      </c>
      <c r="R73" s="27">
        <v>110.34357074</v>
      </c>
      <c r="S73" s="27">
        <v>0.1553408272</v>
      </c>
      <c r="T73" s="80" t="s">
        <v>136</v>
      </c>
      <c r="U73" s="80">
        <v>0</v>
      </c>
      <c r="V73" s="80" t="s">
        <v>136</v>
      </c>
      <c r="W73" s="80">
        <v>0</v>
      </c>
      <c r="X73" s="27">
        <v>1.9788425192000001</v>
      </c>
      <c r="Y73" s="27">
        <v>1.8195057899999999E-2</v>
      </c>
      <c r="Z73" s="27">
        <v>96.343530239000003</v>
      </c>
      <c r="AA73" s="27">
        <v>1.9439485911000001</v>
      </c>
      <c r="AB73" s="80" t="s">
        <v>136</v>
      </c>
      <c r="AC73" s="80">
        <v>0</v>
      </c>
      <c r="AD73" s="27">
        <v>2.2768706000000001E-3</v>
      </c>
      <c r="AE73" s="27">
        <v>9.1756537000000003E-6</v>
      </c>
      <c r="AF73" s="80" t="s">
        <v>136</v>
      </c>
      <c r="AG73" s="80">
        <v>0</v>
      </c>
      <c r="AH73" s="80" t="s">
        <v>136</v>
      </c>
      <c r="AI73" s="80">
        <v>0</v>
      </c>
      <c r="AJ73" s="27">
        <f t="shared" si="9"/>
        <v>2.2768706000000001E-3</v>
      </c>
      <c r="AK73" s="27">
        <f t="shared" si="10"/>
        <v>9.1756537000000003E-6</v>
      </c>
      <c r="AL73" s="27">
        <v>184.18898948</v>
      </c>
      <c r="AM73" s="27">
        <v>2.1303601084000001</v>
      </c>
      <c r="AN73" s="80" t="s">
        <v>136</v>
      </c>
      <c r="AO73" s="80">
        <v>0</v>
      </c>
      <c r="AP73" s="80" t="s">
        <v>136</v>
      </c>
      <c r="AQ73" s="80">
        <v>0</v>
      </c>
      <c r="AR73" s="80" t="s">
        <v>136</v>
      </c>
      <c r="AS73" s="80">
        <v>0</v>
      </c>
      <c r="AT73" s="27">
        <v>131.72927547</v>
      </c>
      <c r="AU73" s="27">
        <v>3.6408388411999999</v>
      </c>
      <c r="AV73" s="27">
        <v>133.00995902</v>
      </c>
      <c r="AW73" s="27">
        <v>0.84421941820000002</v>
      </c>
      <c r="AX73" s="27">
        <v>57.548018904999999</v>
      </c>
      <c r="AY73" s="27">
        <v>0.5183553877</v>
      </c>
      <c r="AZ73" s="27">
        <v>16.676367172999999</v>
      </c>
      <c r="BA73" s="27">
        <v>0.1251897833</v>
      </c>
      <c r="BB73" s="80">
        <f t="shared" si="11"/>
        <v>58.785572942000002</v>
      </c>
      <c r="BC73" s="80">
        <f t="shared" si="12"/>
        <v>0.20067424720000004</v>
      </c>
      <c r="BD73" s="27">
        <v>2.64918141E-2</v>
      </c>
      <c r="BE73" s="27">
        <v>9.0534348999999995E-6</v>
      </c>
      <c r="BF73" s="27">
        <v>513.90077557999996</v>
      </c>
      <c r="BG73" s="27">
        <v>3.3221022665</v>
      </c>
      <c r="BH73" s="27">
        <v>3.1855991E-2</v>
      </c>
      <c r="BI73" s="27">
        <v>7.2199299999999998E-5</v>
      </c>
      <c r="BJ73" s="27">
        <v>185.78087635</v>
      </c>
      <c r="BK73" s="27">
        <v>5.3548162077999999</v>
      </c>
      <c r="BL73" s="27">
        <v>493.07419685000002</v>
      </c>
      <c r="BM73" s="27">
        <v>3.0562964844999998</v>
      </c>
      <c r="BN73" s="27">
        <v>96.194796187999998</v>
      </c>
      <c r="BO73" s="27">
        <v>0.36287324230000001</v>
      </c>
      <c r="BP73" s="27">
        <v>4.3973714250000002</v>
      </c>
      <c r="BQ73" s="27">
        <v>4.4359717000000002E-3</v>
      </c>
      <c r="BR73" s="27">
        <v>0</v>
      </c>
      <c r="BS73" s="92">
        <v>0</v>
      </c>
      <c r="BT73" s="80" t="s">
        <v>136</v>
      </c>
      <c r="BU73" s="80">
        <v>0</v>
      </c>
      <c r="BV73" s="27">
        <v>1.7175734783000001</v>
      </c>
      <c r="BW73" s="27">
        <v>1.7609145499999999E-2</v>
      </c>
      <c r="BX73" s="27">
        <v>50.191853932000001</v>
      </c>
      <c r="BY73" s="27">
        <v>0.37814714939999999</v>
      </c>
      <c r="BZ73" s="80" t="s">
        <v>136</v>
      </c>
      <c r="CA73" s="80">
        <v>0</v>
      </c>
      <c r="CB73" s="80" t="s">
        <v>136</v>
      </c>
      <c r="CC73" s="80">
        <v>0</v>
      </c>
      <c r="CD73" s="27">
        <v>63.600802827000003</v>
      </c>
      <c r="CE73" s="27">
        <v>5.04747584E-2</v>
      </c>
      <c r="CF73" s="27">
        <v>46.742767911999998</v>
      </c>
      <c r="CG73" s="27">
        <v>0.1048660688</v>
      </c>
      <c r="CH73" s="80" t="s">
        <v>136</v>
      </c>
      <c r="CI73" s="80">
        <v>0</v>
      </c>
      <c r="CJ73" s="80" t="s">
        <v>136</v>
      </c>
      <c r="CK73" s="80">
        <v>0</v>
      </c>
      <c r="CL73" s="80" t="s">
        <v>136</v>
      </c>
      <c r="CM73" s="80">
        <v>0</v>
      </c>
      <c r="CN73" s="80" t="s">
        <v>136</v>
      </c>
      <c r="CO73" s="80">
        <v>0</v>
      </c>
      <c r="CP73" s="27">
        <v>0.68014359800000002</v>
      </c>
      <c r="CQ73" s="27">
        <v>6.1689023999999997E-3</v>
      </c>
      <c r="CR73" s="27">
        <v>1.2986989212</v>
      </c>
      <c r="CS73" s="27">
        <v>1.20261556E-2</v>
      </c>
      <c r="CT73" s="27">
        <v>13.307033466</v>
      </c>
      <c r="CU73" s="27">
        <v>0.12612969169999999</v>
      </c>
      <c r="CV73" s="27">
        <v>83.036496772999996</v>
      </c>
      <c r="CW73" s="27">
        <v>1.8178188995</v>
      </c>
      <c r="CX73" s="80" t="s">
        <v>136</v>
      </c>
      <c r="CY73" s="80">
        <v>0</v>
      </c>
      <c r="CZ73" s="80" t="s">
        <v>136</v>
      </c>
      <c r="DA73" s="80">
        <v>0</v>
      </c>
      <c r="DB73" s="27">
        <v>46.945704452999998</v>
      </c>
      <c r="DC73" s="27">
        <v>0.73265986540000005</v>
      </c>
      <c r="DD73" s="27">
        <v>84.783571019999997</v>
      </c>
      <c r="DE73" s="27">
        <v>2.9081789758999999</v>
      </c>
      <c r="DF73" s="27">
        <v>181.57112677000001</v>
      </c>
      <c r="DG73" s="27">
        <v>1.3753234348000001</v>
      </c>
      <c r="DH73" s="27">
        <v>332.32964880999998</v>
      </c>
      <c r="DI73" s="27">
        <v>1.9467788318000001</v>
      </c>
      <c r="DJ73" s="95">
        <v>1.3818032100000001E-2</v>
      </c>
      <c r="DK73" s="96">
        <v>2.4072358799999999E-2</v>
      </c>
      <c r="DL73" s="96">
        <v>2.7912598899999998E-2</v>
      </c>
      <c r="DM73" s="96">
        <v>2.9345777E-2</v>
      </c>
      <c r="DN73" s="96">
        <v>2.9962391800000002E-2</v>
      </c>
      <c r="DO73" s="96">
        <v>3.03238633E-2</v>
      </c>
      <c r="DP73" s="96">
        <v>3.0542597300000002E-2</v>
      </c>
      <c r="DQ73" s="96">
        <v>3.0695997900000001E-2</v>
      </c>
      <c r="DR73" s="96">
        <v>3.0809591399999999E-2</v>
      </c>
      <c r="DS73" s="97">
        <v>3.0905801600000001E-2</v>
      </c>
      <c r="DT73" s="93">
        <v>123.77960418000001</v>
      </c>
      <c r="DU73" s="80">
        <v>0.85859789870000003</v>
      </c>
      <c r="DV73" s="80">
        <v>72.227068975999998</v>
      </c>
      <c r="DW73" s="80">
        <v>0.51528429019999999</v>
      </c>
      <c r="DX73" s="80">
        <v>42.210007455000003</v>
      </c>
      <c r="DY73" s="80">
        <v>0.30960832640000002</v>
      </c>
      <c r="DZ73" s="80">
        <v>24.919305318999999</v>
      </c>
      <c r="EA73" s="80">
        <v>0.18890094130000001</v>
      </c>
      <c r="EB73" s="80">
        <v>15.052523335</v>
      </c>
      <c r="EC73" s="80">
        <v>0.11897219959999999</v>
      </c>
      <c r="ED73" s="80">
        <v>9.3786826111000003</v>
      </c>
      <c r="EE73" s="80">
        <v>7.8120403099999999E-2</v>
      </c>
      <c r="EF73" s="80">
        <v>6.0530180640999998</v>
      </c>
      <c r="EG73" s="80">
        <v>5.3731150800000002E-2</v>
      </c>
      <c r="EH73" s="80">
        <v>4.0540533601000002</v>
      </c>
      <c r="EI73" s="80">
        <v>3.87434875E-2</v>
      </c>
      <c r="EJ73" s="80">
        <v>2.815524527</v>
      </c>
      <c r="EK73" s="80">
        <v>2.91680078E-2</v>
      </c>
      <c r="EL73" s="80">
        <v>2.0242731259000002</v>
      </c>
      <c r="EM73" s="94">
        <v>2.2812830400000001E-2</v>
      </c>
      <c r="EN73" s="80"/>
      <c r="EO73" s="80"/>
      <c r="EP73" s="80"/>
      <c r="EQ73" s="80"/>
      <c r="ER73" s="80"/>
      <c r="ES73" s="80"/>
      <c r="ET73" s="80"/>
      <c r="EU73" s="80"/>
      <c r="EV73" s="80"/>
      <c r="EW73" s="94"/>
    </row>
    <row r="74" spans="1:153" x14ac:dyDescent="0.2">
      <c r="A74" s="79">
        <v>20000</v>
      </c>
      <c r="B74" s="27">
        <v>98280</v>
      </c>
      <c r="C74" s="79">
        <v>4212.1497842999997</v>
      </c>
      <c r="D74" s="27">
        <v>17271.077359999999</v>
      </c>
      <c r="E74" s="27">
        <v>241.68862673000001</v>
      </c>
      <c r="F74" s="27">
        <v>0.14876360550000001</v>
      </c>
      <c r="G74" s="79">
        <v>174.04224995999999</v>
      </c>
      <c r="H74" s="27">
        <v>2.1588529200000001E-2</v>
      </c>
      <c r="I74" s="27">
        <v>216.22516525</v>
      </c>
      <c r="J74" s="27">
        <v>1.4441207846999999</v>
      </c>
      <c r="K74" s="27">
        <f t="shared" si="13"/>
        <v>149.72789502155001</v>
      </c>
      <c r="L74" s="27">
        <v>156.28056923</v>
      </c>
      <c r="M74" s="27">
        <v>0.97315726010000003</v>
      </c>
      <c r="N74" s="27">
        <v>56.544033724999998</v>
      </c>
      <c r="O74" s="27">
        <v>0.42747658020000001</v>
      </c>
      <c r="P74" s="80" t="s">
        <v>136</v>
      </c>
      <c r="Q74" s="80">
        <v>0</v>
      </c>
      <c r="R74" s="27">
        <v>128.79109990000001</v>
      </c>
      <c r="S74" s="27">
        <v>0.17789148420000001</v>
      </c>
      <c r="T74" s="80" t="s">
        <v>136</v>
      </c>
      <c r="U74" s="80">
        <v>0</v>
      </c>
      <c r="V74" s="80" t="s">
        <v>136</v>
      </c>
      <c r="W74" s="80">
        <v>0</v>
      </c>
      <c r="X74" s="27">
        <v>2.3789569302000002</v>
      </c>
      <c r="Y74" s="27">
        <v>2.1336963699999999E-2</v>
      </c>
      <c r="Z74" s="27">
        <v>109.22978088000001</v>
      </c>
      <c r="AA74" s="27">
        <v>2.1397027301999998</v>
      </c>
      <c r="AB74" s="80" t="s">
        <v>136</v>
      </c>
      <c r="AC74" s="80">
        <v>0</v>
      </c>
      <c r="AD74" s="27">
        <v>2.4679553000000001E-3</v>
      </c>
      <c r="AE74" s="27">
        <v>9.8105811000000002E-6</v>
      </c>
      <c r="AF74" s="80" t="s">
        <v>136</v>
      </c>
      <c r="AG74" s="80">
        <v>0</v>
      </c>
      <c r="AH74" s="80" t="s">
        <v>136</v>
      </c>
      <c r="AI74" s="80">
        <v>0</v>
      </c>
      <c r="AJ74" s="27">
        <f t="shared" si="9"/>
        <v>2.4679553000000001E-3</v>
      </c>
      <c r="AK74" s="27">
        <f t="shared" si="10"/>
        <v>9.8105811000000002E-6</v>
      </c>
      <c r="AL74" s="27">
        <v>191.89290767</v>
      </c>
      <c r="AM74" s="27">
        <v>2.2070245281999998</v>
      </c>
      <c r="AN74" s="80" t="s">
        <v>136</v>
      </c>
      <c r="AO74" s="80">
        <v>0</v>
      </c>
      <c r="AP74" s="80" t="s">
        <v>136</v>
      </c>
      <c r="AQ74" s="80">
        <v>0</v>
      </c>
      <c r="AR74" s="80" t="s">
        <v>136</v>
      </c>
      <c r="AS74" s="80">
        <v>0</v>
      </c>
      <c r="AT74" s="27">
        <v>144.37433437999999</v>
      </c>
      <c r="AU74" s="27">
        <v>3.8827620453999998</v>
      </c>
      <c r="AV74" s="27">
        <v>150.25042121999999</v>
      </c>
      <c r="AW74" s="27">
        <v>0.92588254169999995</v>
      </c>
      <c r="AX74" s="27">
        <v>64.046272834999996</v>
      </c>
      <c r="AY74" s="27">
        <v>0.56687609890000001</v>
      </c>
      <c r="AZ74" s="27">
        <v>18.465409635</v>
      </c>
      <c r="BA74" s="27">
        <v>0.13509955949999999</v>
      </c>
      <c r="BB74" s="80">
        <f t="shared" si="11"/>
        <v>67.738738749999996</v>
      </c>
      <c r="BC74" s="80">
        <f t="shared" si="12"/>
        <v>0.22390688329999997</v>
      </c>
      <c r="BD74" s="27">
        <v>4.7693642699999997E-2</v>
      </c>
      <c r="BE74" s="27">
        <v>1.7020900000000002E-5</v>
      </c>
      <c r="BF74" s="27">
        <v>635.35664767000003</v>
      </c>
      <c r="BG74" s="27">
        <v>3.6890971148</v>
      </c>
      <c r="BH74" s="27">
        <v>5.1285879299999997E-2</v>
      </c>
      <c r="BI74" s="27">
        <v>1.4732880000000001E-4</v>
      </c>
      <c r="BJ74" s="27">
        <v>193.62523228000001</v>
      </c>
      <c r="BK74" s="27">
        <v>5.5340984644000004</v>
      </c>
      <c r="BL74" s="27">
        <v>549.01077026999997</v>
      </c>
      <c r="BM74" s="27">
        <v>3.3219665634000002</v>
      </c>
      <c r="BN74" s="27">
        <v>105.92779997</v>
      </c>
      <c r="BO74" s="27">
        <v>0.38897045019999998</v>
      </c>
      <c r="BP74" s="27">
        <v>9.0432743009000003</v>
      </c>
      <c r="BQ74" s="27">
        <v>6.8940277000000003E-3</v>
      </c>
      <c r="BR74" s="27">
        <v>0</v>
      </c>
      <c r="BS74" s="92">
        <v>0</v>
      </c>
      <c r="BT74" s="80" t="s">
        <v>136</v>
      </c>
      <c r="BU74" s="80">
        <v>0</v>
      </c>
      <c r="BV74" s="27">
        <v>2.2471836884999998</v>
      </c>
      <c r="BW74" s="27">
        <v>2.0557297400000001E-2</v>
      </c>
      <c r="BX74" s="27">
        <v>54.296850036000002</v>
      </c>
      <c r="BY74" s="27">
        <v>0.4069192828</v>
      </c>
      <c r="BZ74" s="80" t="s">
        <v>136</v>
      </c>
      <c r="CA74" s="80">
        <v>0</v>
      </c>
      <c r="CB74" s="80" t="s">
        <v>136</v>
      </c>
      <c r="CC74" s="80">
        <v>0</v>
      </c>
      <c r="CD74" s="27">
        <v>75.608079391999993</v>
      </c>
      <c r="CE74" s="27">
        <v>5.8345003499999999E-2</v>
      </c>
      <c r="CF74" s="27">
        <v>53.183020505999998</v>
      </c>
      <c r="CG74" s="27">
        <v>0.1195464807</v>
      </c>
      <c r="CH74" s="80" t="s">
        <v>136</v>
      </c>
      <c r="CI74" s="80">
        <v>0</v>
      </c>
      <c r="CJ74" s="80" t="s">
        <v>136</v>
      </c>
      <c r="CK74" s="80">
        <v>0</v>
      </c>
      <c r="CL74" s="80" t="s">
        <v>136</v>
      </c>
      <c r="CM74" s="80">
        <v>0</v>
      </c>
      <c r="CN74" s="80" t="s">
        <v>136</v>
      </c>
      <c r="CO74" s="80">
        <v>0</v>
      </c>
      <c r="CP74" s="27">
        <v>0.8801163957</v>
      </c>
      <c r="CQ74" s="27">
        <v>7.5287017999999999E-3</v>
      </c>
      <c r="CR74" s="27">
        <v>1.4988405345</v>
      </c>
      <c r="CS74" s="27">
        <v>1.3808261800000001E-2</v>
      </c>
      <c r="CT74" s="27">
        <v>16.951883697</v>
      </c>
      <c r="CU74" s="27">
        <v>0.1518342187</v>
      </c>
      <c r="CV74" s="27">
        <v>92.277897183999997</v>
      </c>
      <c r="CW74" s="27">
        <v>1.9878685115000001</v>
      </c>
      <c r="CX74" s="80" t="s">
        <v>136</v>
      </c>
      <c r="CY74" s="80">
        <v>0</v>
      </c>
      <c r="CZ74" s="80" t="s">
        <v>136</v>
      </c>
      <c r="DA74" s="80">
        <v>0</v>
      </c>
      <c r="DB74" s="27">
        <v>52.948238824999997</v>
      </c>
      <c r="DC74" s="27">
        <v>0.80646271260000002</v>
      </c>
      <c r="DD74" s="27">
        <v>91.426095556000007</v>
      </c>
      <c r="DE74" s="27">
        <v>3.0762993329000001</v>
      </c>
      <c r="DF74" s="27">
        <v>246.36910358</v>
      </c>
      <c r="DG74" s="27">
        <v>1.5811025856000001</v>
      </c>
      <c r="DH74" s="27">
        <v>388.98754408000002</v>
      </c>
      <c r="DI74" s="27">
        <v>2.1079945292</v>
      </c>
      <c r="DJ74" s="95">
        <v>2.0759474100000001E-2</v>
      </c>
      <c r="DK74" s="96">
        <v>3.6645951699999998E-2</v>
      </c>
      <c r="DL74" s="96">
        <v>4.36131004E-2</v>
      </c>
      <c r="DM74" s="96">
        <v>4.6333214099999999E-2</v>
      </c>
      <c r="DN74" s="96">
        <v>4.7563929099999999E-2</v>
      </c>
      <c r="DO74" s="96">
        <v>4.8298952300000003E-2</v>
      </c>
      <c r="DP74" s="96">
        <v>4.8753006600000003E-2</v>
      </c>
      <c r="DQ74" s="96">
        <v>4.9074165000000003E-2</v>
      </c>
      <c r="DR74" s="96">
        <v>4.9309354999999999E-2</v>
      </c>
      <c r="DS74" s="97">
        <v>4.9505315500000001E-2</v>
      </c>
      <c r="DT74" s="93">
        <v>128.93913074</v>
      </c>
      <c r="DU74" s="80">
        <v>0.8929613596</v>
      </c>
      <c r="DV74" s="80">
        <v>76.445355890000002</v>
      </c>
      <c r="DW74" s="80">
        <v>0.54368255200000004</v>
      </c>
      <c r="DX74" s="80">
        <v>45.472671380000001</v>
      </c>
      <c r="DY74" s="80">
        <v>0.33187748960000002</v>
      </c>
      <c r="DZ74" s="80">
        <v>27.355822112999999</v>
      </c>
      <c r="EA74" s="80">
        <v>0.2057896599</v>
      </c>
      <c r="EB74" s="80">
        <v>16.840513652999999</v>
      </c>
      <c r="EC74" s="80">
        <v>0.13158181729999999</v>
      </c>
      <c r="ED74" s="80">
        <v>10.680788517</v>
      </c>
      <c r="EE74" s="80">
        <v>8.7499421899999999E-2</v>
      </c>
      <c r="EF74" s="80">
        <v>6.9981552676999996</v>
      </c>
      <c r="EG74" s="80">
        <v>6.0713281600000002E-2</v>
      </c>
      <c r="EH74" s="80">
        <v>4.7446188895999999</v>
      </c>
      <c r="EI74" s="80">
        <v>4.3994585400000001E-2</v>
      </c>
      <c r="EJ74" s="80">
        <v>3.3248097044999998</v>
      </c>
      <c r="EK74" s="80">
        <v>3.3169067699999999E-2</v>
      </c>
      <c r="EL74" s="80">
        <v>2.4046931435999999</v>
      </c>
      <c r="EM74" s="94">
        <v>2.5915577400000001E-2</v>
      </c>
      <c r="EN74" s="80"/>
      <c r="EO74" s="80"/>
      <c r="EP74" s="80"/>
      <c r="EQ74" s="80"/>
      <c r="ER74" s="80"/>
      <c r="ES74" s="80"/>
      <c r="ET74" s="80"/>
      <c r="EU74" s="80"/>
      <c r="EV74" s="80"/>
      <c r="EW74" s="94"/>
    </row>
    <row r="75" spans="1:153" x14ac:dyDescent="0.2">
      <c r="A75" s="79">
        <v>25000</v>
      </c>
      <c r="B75" s="27">
        <v>57025</v>
      </c>
      <c r="C75" s="79">
        <v>4478.5543484999998</v>
      </c>
      <c r="D75" s="27">
        <v>22286.980856999999</v>
      </c>
      <c r="E75" s="27">
        <v>262.95594598999998</v>
      </c>
      <c r="F75" s="27">
        <v>0.15518988119999999</v>
      </c>
      <c r="G75" s="79">
        <v>247.09460300000001</v>
      </c>
      <c r="H75" s="27">
        <v>2.7085100300000001E-2</v>
      </c>
      <c r="I75" s="27">
        <v>219.81396165000001</v>
      </c>
      <c r="J75" s="27">
        <v>1.4675811717</v>
      </c>
      <c r="K75" s="27">
        <f t="shared" si="13"/>
        <v>149.77976406945479</v>
      </c>
      <c r="L75" s="27">
        <v>162.9317369</v>
      </c>
      <c r="M75" s="27">
        <v>1.0100965128999999</v>
      </c>
      <c r="N75" s="27">
        <v>59.419907569000003</v>
      </c>
      <c r="O75" s="27">
        <v>0.44664039560000002</v>
      </c>
      <c r="P75" s="80" t="s">
        <v>136</v>
      </c>
      <c r="Q75" s="80">
        <v>0</v>
      </c>
      <c r="R75" s="27">
        <v>141.58994688999999</v>
      </c>
      <c r="S75" s="27">
        <v>0.1933079935</v>
      </c>
      <c r="T75" s="80" t="s">
        <v>136</v>
      </c>
      <c r="U75" s="80">
        <v>0</v>
      </c>
      <c r="V75" s="80" t="s">
        <v>136</v>
      </c>
      <c r="W75" s="80">
        <v>0</v>
      </c>
      <c r="X75" s="27">
        <v>2.6679630178</v>
      </c>
      <c r="Y75" s="27">
        <v>2.3459411999999999E-2</v>
      </c>
      <c r="Z75" s="27">
        <v>118.56482335</v>
      </c>
      <c r="AA75" s="27">
        <v>2.2677030773000002</v>
      </c>
      <c r="AB75" s="80" t="s">
        <v>136</v>
      </c>
      <c r="AC75" s="80">
        <v>0</v>
      </c>
      <c r="AD75" s="27">
        <v>2.4898715E-3</v>
      </c>
      <c r="AE75" s="27">
        <v>9.9000790999999994E-6</v>
      </c>
      <c r="AF75" s="80" t="s">
        <v>136</v>
      </c>
      <c r="AG75" s="80">
        <v>0</v>
      </c>
      <c r="AH75" s="80" t="s">
        <v>136</v>
      </c>
      <c r="AI75" s="80">
        <v>0</v>
      </c>
      <c r="AJ75" s="27">
        <f t="shared" si="9"/>
        <v>2.4898715E-3</v>
      </c>
      <c r="AK75" s="27">
        <f t="shared" si="10"/>
        <v>9.9000790999999994E-6</v>
      </c>
      <c r="AL75" s="27">
        <v>196.58964417999999</v>
      </c>
      <c r="AM75" s="27">
        <v>2.2544116018999998</v>
      </c>
      <c r="AN75" s="80" t="s">
        <v>136</v>
      </c>
      <c r="AO75" s="80">
        <v>0</v>
      </c>
      <c r="AP75" s="80" t="s">
        <v>136</v>
      </c>
      <c r="AQ75" s="80">
        <v>0</v>
      </c>
      <c r="AR75" s="80" t="s">
        <v>136</v>
      </c>
      <c r="AS75" s="80">
        <v>0</v>
      </c>
      <c r="AT75" s="27">
        <v>153.40953052</v>
      </c>
      <c r="AU75" s="27">
        <v>4.0475001922000002</v>
      </c>
      <c r="AV75" s="27">
        <v>163.11838946</v>
      </c>
      <c r="AW75" s="27">
        <v>0.98367079950000003</v>
      </c>
      <c r="AX75" s="27">
        <v>68.729808761000001</v>
      </c>
      <c r="AY75" s="27">
        <v>0.6012773133</v>
      </c>
      <c r="AZ75" s="27">
        <v>19.691802236000001</v>
      </c>
      <c r="BA75" s="27">
        <v>0.14177974700000001</v>
      </c>
      <c r="BB75" s="80">
        <f t="shared" si="11"/>
        <v>74.696778463000001</v>
      </c>
      <c r="BC75" s="80">
        <f t="shared" si="12"/>
        <v>0.24061373920000007</v>
      </c>
      <c r="BD75" s="27">
        <v>7.2574034699999998E-2</v>
      </c>
      <c r="BE75" s="27">
        <v>2.3158899999999999E-5</v>
      </c>
      <c r="BF75" s="27">
        <v>726.56815113000005</v>
      </c>
      <c r="BG75" s="27">
        <v>3.9417516989000001</v>
      </c>
      <c r="BH75" s="27">
        <v>6.7647219800000005E-2</v>
      </c>
      <c r="BI75" s="27">
        <v>1.9847469999999999E-4</v>
      </c>
      <c r="BJ75" s="27">
        <v>198.81395763</v>
      </c>
      <c r="BK75" s="27">
        <v>5.6532912601999996</v>
      </c>
      <c r="BL75" s="27">
        <v>585.19122381</v>
      </c>
      <c r="BM75" s="27">
        <v>3.4806141964999999</v>
      </c>
      <c r="BN75" s="27">
        <v>112.32018724</v>
      </c>
      <c r="BO75" s="27">
        <v>0.40480157970000002</v>
      </c>
      <c r="BP75" s="27">
        <v>15.164160206</v>
      </c>
      <c r="BQ75" s="27">
        <v>9.6632783999999992E-3</v>
      </c>
      <c r="BR75" s="27">
        <v>0</v>
      </c>
      <c r="BS75" s="92">
        <v>0</v>
      </c>
      <c r="BT75" s="80" t="s">
        <v>136</v>
      </c>
      <c r="BU75" s="80">
        <v>0</v>
      </c>
      <c r="BV75" s="27">
        <v>2.6419858521999999</v>
      </c>
      <c r="BW75" s="27">
        <v>2.26300498E-2</v>
      </c>
      <c r="BX75" s="27">
        <v>56.777921716999998</v>
      </c>
      <c r="BY75" s="27">
        <v>0.42401034589999997</v>
      </c>
      <c r="BZ75" s="80" t="s">
        <v>136</v>
      </c>
      <c r="CA75" s="80">
        <v>0</v>
      </c>
      <c r="CB75" s="80" t="s">
        <v>136</v>
      </c>
      <c r="CC75" s="80">
        <v>0</v>
      </c>
      <c r="CD75" s="27">
        <v>84.097860272000005</v>
      </c>
      <c r="CE75" s="27">
        <v>6.3796022800000005E-2</v>
      </c>
      <c r="CF75" s="27">
        <v>57.492086618000002</v>
      </c>
      <c r="CG75" s="27">
        <v>0.12951197070000001</v>
      </c>
      <c r="CH75" s="80" t="s">
        <v>136</v>
      </c>
      <c r="CI75" s="80">
        <v>0</v>
      </c>
      <c r="CJ75" s="80" t="s">
        <v>136</v>
      </c>
      <c r="CK75" s="80">
        <v>0</v>
      </c>
      <c r="CL75" s="80" t="s">
        <v>136</v>
      </c>
      <c r="CM75" s="80">
        <v>0</v>
      </c>
      <c r="CN75" s="80" t="s">
        <v>136</v>
      </c>
      <c r="CO75" s="80">
        <v>0</v>
      </c>
      <c r="CP75" s="27">
        <v>1.0276563699000001</v>
      </c>
      <c r="CQ75" s="27">
        <v>8.3942488999999999E-3</v>
      </c>
      <c r="CR75" s="27">
        <v>1.6403066477999999</v>
      </c>
      <c r="CS75" s="27">
        <v>1.5065163100000001E-2</v>
      </c>
      <c r="CT75" s="27">
        <v>20.291234285000002</v>
      </c>
      <c r="CU75" s="27">
        <v>0.1729922257</v>
      </c>
      <c r="CV75" s="27">
        <v>98.273589060999996</v>
      </c>
      <c r="CW75" s="27">
        <v>2.0947108515999999</v>
      </c>
      <c r="CX75" s="80" t="s">
        <v>136</v>
      </c>
      <c r="CY75" s="80">
        <v>0</v>
      </c>
      <c r="CZ75" s="80" t="s">
        <v>136</v>
      </c>
      <c r="DA75" s="80">
        <v>0</v>
      </c>
      <c r="DB75" s="27">
        <v>57.398897306000002</v>
      </c>
      <c r="DC75" s="27">
        <v>0.85843543430000002</v>
      </c>
      <c r="DD75" s="27">
        <v>96.010633213999995</v>
      </c>
      <c r="DE75" s="27">
        <v>3.1890647579000002</v>
      </c>
      <c r="DF75" s="27">
        <v>297.25163020000002</v>
      </c>
      <c r="DG75" s="27">
        <v>1.7250373964000001</v>
      </c>
      <c r="DH75" s="27">
        <v>429.31652093000002</v>
      </c>
      <c r="DI75" s="27">
        <v>2.2167143024999998</v>
      </c>
      <c r="DJ75" s="95">
        <v>2.57566184E-2</v>
      </c>
      <c r="DK75" s="96">
        <v>4.5705763699999999E-2</v>
      </c>
      <c r="DL75" s="96">
        <v>5.5353187999999998E-2</v>
      </c>
      <c r="DM75" s="96">
        <v>5.95385893E-2</v>
      </c>
      <c r="DN75" s="96">
        <v>6.1519497499999999E-2</v>
      </c>
      <c r="DO75" s="96">
        <v>6.2727077899999997E-2</v>
      </c>
      <c r="DP75" s="96">
        <v>6.3487226199999997E-2</v>
      </c>
      <c r="DQ75" s="96">
        <v>6.4013322900000003E-2</v>
      </c>
      <c r="DR75" s="96">
        <v>6.4402109099999993E-2</v>
      </c>
      <c r="DS75" s="97">
        <v>6.471905E-2</v>
      </c>
      <c r="DT75" s="93">
        <v>132.14899645</v>
      </c>
      <c r="DU75" s="80">
        <v>0.9140180255</v>
      </c>
      <c r="DV75" s="80">
        <v>79.105375359000007</v>
      </c>
      <c r="DW75" s="80">
        <v>0.56132228539999995</v>
      </c>
      <c r="DX75" s="80">
        <v>47.562838266</v>
      </c>
      <c r="DY75" s="80">
        <v>0.34591571409999999</v>
      </c>
      <c r="DZ75" s="80">
        <v>28.943132176999999</v>
      </c>
      <c r="EA75" s="80">
        <v>0.2165887158</v>
      </c>
      <c r="EB75" s="80">
        <v>18.022368488000001</v>
      </c>
      <c r="EC75" s="80">
        <v>0.13973301730000001</v>
      </c>
      <c r="ED75" s="80">
        <v>11.555202719</v>
      </c>
      <c r="EE75" s="80">
        <v>9.3619339300000007E-2</v>
      </c>
      <c r="EF75" s="80">
        <v>7.6435710025999999</v>
      </c>
      <c r="EG75" s="80">
        <v>6.5306027099999997E-2</v>
      </c>
      <c r="EH75" s="80">
        <v>5.2230273863000001</v>
      </c>
      <c r="EI75" s="80">
        <v>4.7475909300000001E-2</v>
      </c>
      <c r="EJ75" s="80">
        <v>3.6837873922000002</v>
      </c>
      <c r="EK75" s="80">
        <v>3.5842990700000001E-2</v>
      </c>
      <c r="EL75" s="80">
        <v>2.6783062815999998</v>
      </c>
      <c r="EM75" s="94">
        <v>2.8006196899999999E-2</v>
      </c>
      <c r="EN75" s="80"/>
      <c r="EO75" s="80"/>
      <c r="EP75" s="80"/>
      <c r="EQ75" s="80"/>
      <c r="ER75" s="80"/>
      <c r="ES75" s="80"/>
      <c r="ET75" s="80"/>
      <c r="EU75" s="80"/>
      <c r="EV75" s="80"/>
      <c r="EW75" s="94"/>
    </row>
    <row r="76" spans="1:153" x14ac:dyDescent="0.2">
      <c r="A76" s="79">
        <v>30000</v>
      </c>
      <c r="B76" s="27">
        <v>35931</v>
      </c>
      <c r="C76" s="79">
        <v>4679.2697939</v>
      </c>
      <c r="D76" s="27">
        <v>27326.440060000001</v>
      </c>
      <c r="E76" s="27">
        <v>278.44162532000001</v>
      </c>
      <c r="F76" s="27">
        <v>0.15972614030000001</v>
      </c>
      <c r="G76" s="79">
        <v>308.84480004</v>
      </c>
      <c r="H76" s="27">
        <v>3.1199180699999999E-2</v>
      </c>
      <c r="I76" s="27">
        <v>222.20271382999999</v>
      </c>
      <c r="J76" s="27">
        <v>1.4827913136999999</v>
      </c>
      <c r="K76" s="27">
        <f t="shared" si="13"/>
        <v>149.85434010638957</v>
      </c>
      <c r="L76" s="27">
        <v>167.75684035</v>
      </c>
      <c r="M76" s="27">
        <v>1.0358433001</v>
      </c>
      <c r="N76" s="27">
        <v>61.470172214000002</v>
      </c>
      <c r="O76" s="27">
        <v>0.45990049160000002</v>
      </c>
      <c r="P76" s="80" t="s">
        <v>136</v>
      </c>
      <c r="Q76" s="80">
        <v>0</v>
      </c>
      <c r="R76" s="27">
        <v>150.98735914</v>
      </c>
      <c r="S76" s="27">
        <v>0.20448267419999999</v>
      </c>
      <c r="T76" s="80" t="s">
        <v>136</v>
      </c>
      <c r="U76" s="80">
        <v>0</v>
      </c>
      <c r="V76" s="80" t="s">
        <v>136</v>
      </c>
      <c r="W76" s="80">
        <v>0</v>
      </c>
      <c r="X76" s="27">
        <v>2.8775541191</v>
      </c>
      <c r="Y76" s="27">
        <v>2.50236169E-2</v>
      </c>
      <c r="Z76" s="27">
        <v>125.13338890999999</v>
      </c>
      <c r="AA76" s="27">
        <v>2.3514853751999998</v>
      </c>
      <c r="AB76" s="80" t="s">
        <v>136</v>
      </c>
      <c r="AC76" s="80">
        <v>0</v>
      </c>
      <c r="AD76" s="27">
        <v>2.5207235000000001E-3</v>
      </c>
      <c r="AE76" s="27">
        <v>1.00153E-5</v>
      </c>
      <c r="AF76" s="80" t="s">
        <v>136</v>
      </c>
      <c r="AG76" s="80">
        <v>0</v>
      </c>
      <c r="AH76" s="80" t="s">
        <v>136</v>
      </c>
      <c r="AI76" s="80">
        <v>0</v>
      </c>
      <c r="AJ76" s="27">
        <f t="shared" si="9"/>
        <v>2.5207235000000001E-3</v>
      </c>
      <c r="AK76" s="27">
        <f t="shared" si="10"/>
        <v>1.00153E-5</v>
      </c>
      <c r="AL76" s="27">
        <v>199.54247366999999</v>
      </c>
      <c r="AM76" s="27">
        <v>2.2844050722000002</v>
      </c>
      <c r="AN76" s="80" t="s">
        <v>136</v>
      </c>
      <c r="AO76" s="80">
        <v>0</v>
      </c>
      <c r="AP76" s="80" t="s">
        <v>136</v>
      </c>
      <c r="AQ76" s="80">
        <v>0</v>
      </c>
      <c r="AR76" s="80" t="s">
        <v>136</v>
      </c>
      <c r="AS76" s="80">
        <v>0</v>
      </c>
      <c r="AT76" s="27">
        <v>159.98002399999999</v>
      </c>
      <c r="AU76" s="27">
        <v>4.1642768740999996</v>
      </c>
      <c r="AV76" s="27">
        <v>172.76204494999999</v>
      </c>
      <c r="AW76" s="27">
        <v>1.0251254995000001</v>
      </c>
      <c r="AX76" s="27">
        <v>72.167013342999994</v>
      </c>
      <c r="AY76" s="27">
        <v>0.62621112720000005</v>
      </c>
      <c r="AZ76" s="27">
        <v>20.454251524</v>
      </c>
      <c r="BA76" s="27">
        <v>0.14598717</v>
      </c>
      <c r="BB76" s="80">
        <f t="shared" si="11"/>
        <v>80.140780082999996</v>
      </c>
      <c r="BC76" s="80">
        <f t="shared" si="12"/>
        <v>0.25292720229999999</v>
      </c>
      <c r="BD76" s="27">
        <v>0.1040010713</v>
      </c>
      <c r="BE76" s="27">
        <v>2.9086900000000001E-5</v>
      </c>
      <c r="BF76" s="27">
        <v>795.31265821</v>
      </c>
      <c r="BG76" s="27">
        <v>4.1214178600000002</v>
      </c>
      <c r="BH76" s="27">
        <v>8.0609413500000004E-2</v>
      </c>
      <c r="BI76" s="27">
        <v>2.623158E-4</v>
      </c>
      <c r="BJ76" s="27">
        <v>202.44519327</v>
      </c>
      <c r="BK76" s="27">
        <v>5.7368721529000002</v>
      </c>
      <c r="BL76" s="27">
        <v>612.21581599000001</v>
      </c>
      <c r="BM76" s="27">
        <v>3.5857753808999999</v>
      </c>
      <c r="BN76" s="27">
        <v>117.07580076000001</v>
      </c>
      <c r="BO76" s="27">
        <v>0.41507601979999997</v>
      </c>
      <c r="BP76" s="27">
        <v>23.696711541999999</v>
      </c>
      <c r="BQ76" s="27">
        <v>1.32188095E-2</v>
      </c>
      <c r="BR76" s="27">
        <v>0</v>
      </c>
      <c r="BS76" s="92">
        <v>0</v>
      </c>
      <c r="BT76" s="80" t="s">
        <v>136</v>
      </c>
      <c r="BU76" s="80">
        <v>0</v>
      </c>
      <c r="BV76" s="27">
        <v>2.9760381550999999</v>
      </c>
      <c r="BW76" s="27">
        <v>2.4241240599999998E-2</v>
      </c>
      <c r="BX76" s="27">
        <v>58.494134058999997</v>
      </c>
      <c r="BY76" s="27">
        <v>0.43565925100000003</v>
      </c>
      <c r="BZ76" s="80" t="s">
        <v>136</v>
      </c>
      <c r="CA76" s="80">
        <v>0</v>
      </c>
      <c r="CB76" s="80" t="s">
        <v>136</v>
      </c>
      <c r="CC76" s="80">
        <v>0</v>
      </c>
      <c r="CD76" s="27">
        <v>90.328181208000004</v>
      </c>
      <c r="CE76" s="27">
        <v>6.7699951300000005E-2</v>
      </c>
      <c r="CF76" s="27">
        <v>60.659177933000002</v>
      </c>
      <c r="CG76" s="27">
        <v>0.13678272289999999</v>
      </c>
      <c r="CH76" s="80" t="s">
        <v>136</v>
      </c>
      <c r="CI76" s="80">
        <v>0</v>
      </c>
      <c r="CJ76" s="80" t="s">
        <v>136</v>
      </c>
      <c r="CK76" s="80">
        <v>0</v>
      </c>
      <c r="CL76" s="80" t="s">
        <v>136</v>
      </c>
      <c r="CM76" s="80">
        <v>0</v>
      </c>
      <c r="CN76" s="80" t="s">
        <v>136</v>
      </c>
      <c r="CO76" s="80">
        <v>0</v>
      </c>
      <c r="CP76" s="27">
        <v>1.1318373855999999</v>
      </c>
      <c r="CQ76" s="27">
        <v>9.0319046999999993E-3</v>
      </c>
      <c r="CR76" s="27">
        <v>1.7457167334999999</v>
      </c>
      <c r="CS76" s="27">
        <v>1.5991712200000001E-2</v>
      </c>
      <c r="CT76" s="27">
        <v>22.862521433000001</v>
      </c>
      <c r="CU76" s="27">
        <v>0.18787473709999999</v>
      </c>
      <c r="CV76" s="27">
        <v>102.27086747</v>
      </c>
      <c r="CW76" s="27">
        <v>2.1636106382000002</v>
      </c>
      <c r="CX76" s="80" t="s">
        <v>136</v>
      </c>
      <c r="CY76" s="80">
        <v>0</v>
      </c>
      <c r="CZ76" s="80" t="s">
        <v>136</v>
      </c>
      <c r="DA76" s="80">
        <v>0</v>
      </c>
      <c r="DB76" s="27">
        <v>60.704577487000002</v>
      </c>
      <c r="DC76" s="27">
        <v>0.89643886370000003</v>
      </c>
      <c r="DD76" s="27">
        <v>99.275446508000002</v>
      </c>
      <c r="DE76" s="27">
        <v>3.2678380104000002</v>
      </c>
      <c r="DF76" s="27">
        <v>336.13435321999998</v>
      </c>
      <c r="DG76" s="27">
        <v>1.8266963188000001</v>
      </c>
      <c r="DH76" s="27">
        <v>459.17830499000002</v>
      </c>
      <c r="DI76" s="27">
        <v>2.2947215411999999</v>
      </c>
      <c r="DJ76" s="95">
        <v>2.9381379400000001E-2</v>
      </c>
      <c r="DK76" s="96">
        <v>5.2246413499999998E-2</v>
      </c>
      <c r="DL76" s="96">
        <v>6.3929647899999997E-2</v>
      </c>
      <c r="DM76" s="96">
        <v>6.9356213E-2</v>
      </c>
      <c r="DN76" s="96">
        <v>7.2087120199999993E-2</v>
      </c>
      <c r="DO76" s="96">
        <v>7.3775993299999995E-2</v>
      </c>
      <c r="DP76" s="96">
        <v>7.4849483300000005E-2</v>
      </c>
      <c r="DQ76" s="96">
        <v>7.5591831400000004E-2</v>
      </c>
      <c r="DR76" s="96">
        <v>7.6138083999999995E-2</v>
      </c>
      <c r="DS76" s="97">
        <v>7.6578105100000002E-2</v>
      </c>
      <c r="DT76" s="93">
        <v>134.29976680999999</v>
      </c>
      <c r="DU76" s="80">
        <v>0.9277958315</v>
      </c>
      <c r="DV76" s="80">
        <v>80.910584459000006</v>
      </c>
      <c r="DW76" s="80">
        <v>0.57300449669999998</v>
      </c>
      <c r="DX76" s="80">
        <v>49.005451049000001</v>
      </c>
      <c r="DY76" s="80">
        <v>0.3553533599</v>
      </c>
      <c r="DZ76" s="80">
        <v>30.059784617999998</v>
      </c>
      <c r="EA76" s="80">
        <v>0.223964371</v>
      </c>
      <c r="EB76" s="80">
        <v>18.871578226</v>
      </c>
      <c r="EC76" s="80">
        <v>0.1453899193</v>
      </c>
      <c r="ED76" s="80">
        <v>12.192661288</v>
      </c>
      <c r="EE76" s="80">
        <v>9.7911873100000005E-2</v>
      </c>
      <c r="EF76" s="80">
        <v>8.1213104676000007</v>
      </c>
      <c r="EG76" s="80">
        <v>6.8565286000000003E-2</v>
      </c>
      <c r="EH76" s="80">
        <v>5.5799185448999999</v>
      </c>
      <c r="EI76" s="80">
        <v>4.9957082299999997E-2</v>
      </c>
      <c r="EJ76" s="80">
        <v>3.9526519492999999</v>
      </c>
      <c r="EK76" s="80">
        <v>3.77454916E-2</v>
      </c>
      <c r="EL76" s="80">
        <v>2.8832722840999998</v>
      </c>
      <c r="EM76" s="94">
        <v>2.9478196599999999E-2</v>
      </c>
      <c r="EN76" s="80"/>
      <c r="EO76" s="80"/>
      <c r="EP76" s="80"/>
      <c r="EQ76" s="80"/>
      <c r="ER76" s="80"/>
      <c r="ES76" s="80"/>
      <c r="ET76" s="80"/>
      <c r="EU76" s="80"/>
      <c r="EV76" s="80"/>
      <c r="EW76" s="94"/>
    </row>
    <row r="77" spans="1:153" x14ac:dyDescent="0.2">
      <c r="A77" s="79">
        <v>35000</v>
      </c>
      <c r="B77" s="27">
        <v>24593</v>
      </c>
      <c r="C77" s="79">
        <v>4836.5923032000001</v>
      </c>
      <c r="D77" s="27">
        <v>32359.214279</v>
      </c>
      <c r="E77" s="27">
        <v>289.78335719</v>
      </c>
      <c r="F77" s="27">
        <v>0.1630262697</v>
      </c>
      <c r="G77" s="79">
        <v>364.00593185000002</v>
      </c>
      <c r="H77" s="27">
        <v>3.4438914199999997E-2</v>
      </c>
      <c r="I77" s="27">
        <v>223.9626035</v>
      </c>
      <c r="J77" s="27">
        <v>1.4938744081999999</v>
      </c>
      <c r="K77" s="27">
        <f t="shared" si="13"/>
        <v>149.92063741814624</v>
      </c>
      <c r="L77" s="27">
        <v>171.4898407</v>
      </c>
      <c r="M77" s="27">
        <v>1.0543945617999999</v>
      </c>
      <c r="N77" s="27">
        <v>62.961692659000001</v>
      </c>
      <c r="O77" s="27">
        <v>0.46944409619999999</v>
      </c>
      <c r="P77" s="80" t="s">
        <v>136</v>
      </c>
      <c r="Q77" s="80">
        <v>0</v>
      </c>
      <c r="R77" s="27">
        <v>157.78939654999999</v>
      </c>
      <c r="S77" s="27">
        <v>0.21253764750000001</v>
      </c>
      <c r="T77" s="80" t="s">
        <v>136</v>
      </c>
      <c r="U77" s="80">
        <v>0</v>
      </c>
      <c r="V77" s="80" t="s">
        <v>136</v>
      </c>
      <c r="W77" s="80">
        <v>0</v>
      </c>
      <c r="X77" s="27">
        <v>3.0358884750000001</v>
      </c>
      <c r="Y77" s="27">
        <v>2.62367916E-2</v>
      </c>
      <c r="Z77" s="27">
        <v>130.23982391999999</v>
      </c>
      <c r="AA77" s="27">
        <v>2.4098836648000002</v>
      </c>
      <c r="AB77" s="80" t="s">
        <v>136</v>
      </c>
      <c r="AC77" s="80">
        <v>0</v>
      </c>
      <c r="AD77" s="27">
        <v>2.5821113999999999E-3</v>
      </c>
      <c r="AE77" s="27">
        <v>1.01335E-5</v>
      </c>
      <c r="AF77" s="80" t="s">
        <v>136</v>
      </c>
      <c r="AG77" s="80">
        <v>0</v>
      </c>
      <c r="AH77" s="80" t="s">
        <v>136</v>
      </c>
      <c r="AI77" s="80">
        <v>0</v>
      </c>
      <c r="AJ77" s="27">
        <f t="shared" si="9"/>
        <v>2.5821113999999999E-3</v>
      </c>
      <c r="AK77" s="27">
        <f t="shared" si="10"/>
        <v>1.01335E-5</v>
      </c>
      <c r="AL77" s="27">
        <v>201.63212018999999</v>
      </c>
      <c r="AM77" s="27">
        <v>2.3054492337000001</v>
      </c>
      <c r="AN77" s="80" t="s">
        <v>136</v>
      </c>
      <c r="AO77" s="80">
        <v>0</v>
      </c>
      <c r="AP77" s="80" t="s">
        <v>136</v>
      </c>
      <c r="AQ77" s="80">
        <v>0</v>
      </c>
      <c r="AR77" s="80" t="s">
        <v>136</v>
      </c>
      <c r="AS77" s="80">
        <v>0</v>
      </c>
      <c r="AT77" s="27">
        <v>165.02258391000001</v>
      </c>
      <c r="AU77" s="27">
        <v>4.2546933921000001</v>
      </c>
      <c r="AV77" s="27">
        <v>180.13515251000001</v>
      </c>
      <c r="AW77" s="27">
        <v>1.0561615944</v>
      </c>
      <c r="AX77" s="27">
        <v>74.908805783999995</v>
      </c>
      <c r="AY77" s="27">
        <v>0.64541912329999995</v>
      </c>
      <c r="AZ77" s="27">
        <v>20.908361778</v>
      </c>
      <c r="BA77" s="27">
        <v>0.14852445589999999</v>
      </c>
      <c r="BB77" s="80">
        <f t="shared" si="11"/>
        <v>84.317984948000017</v>
      </c>
      <c r="BC77" s="80">
        <f t="shared" si="12"/>
        <v>0.2622180152000001</v>
      </c>
      <c r="BD77" s="27">
        <v>0.1586784289</v>
      </c>
      <c r="BE77" s="27">
        <v>4.2110300000000002E-5</v>
      </c>
      <c r="BF77" s="27">
        <v>848.27987418999999</v>
      </c>
      <c r="BG77" s="27">
        <v>4.2543701276999997</v>
      </c>
      <c r="BH77" s="27">
        <v>9.1665941900000006E-2</v>
      </c>
      <c r="BI77" s="27">
        <v>3.5632989999999999E-4</v>
      </c>
      <c r="BJ77" s="27">
        <v>205.14650975999999</v>
      </c>
      <c r="BK77" s="27">
        <v>5.7982295879999999</v>
      </c>
      <c r="BL77" s="27">
        <v>633.15770617999999</v>
      </c>
      <c r="BM77" s="27">
        <v>3.6595251755999998</v>
      </c>
      <c r="BN77" s="27">
        <v>120.61613272</v>
      </c>
      <c r="BO77" s="27">
        <v>0.42206716379999998</v>
      </c>
      <c r="BP77" s="27">
        <v>35.157820157000003</v>
      </c>
      <c r="BQ77" s="27">
        <v>1.7636436799999999E-2</v>
      </c>
      <c r="BR77" s="27">
        <v>0</v>
      </c>
      <c r="BS77" s="92">
        <v>0</v>
      </c>
      <c r="BT77" s="80" t="s">
        <v>136</v>
      </c>
      <c r="BU77" s="80">
        <v>0</v>
      </c>
      <c r="BV77" s="27">
        <v>3.2705964511999999</v>
      </c>
      <c r="BW77" s="27">
        <v>2.5491554199999999E-2</v>
      </c>
      <c r="BX77" s="27">
        <v>59.691096207999998</v>
      </c>
      <c r="BY77" s="27">
        <v>0.4439525419</v>
      </c>
      <c r="BZ77" s="80" t="s">
        <v>136</v>
      </c>
      <c r="CA77" s="80">
        <v>0</v>
      </c>
      <c r="CB77" s="80" t="s">
        <v>136</v>
      </c>
      <c r="CC77" s="80">
        <v>0</v>
      </c>
      <c r="CD77" s="27">
        <v>94.846170165999993</v>
      </c>
      <c r="CE77" s="27">
        <v>7.0523811699999994E-2</v>
      </c>
      <c r="CF77" s="27">
        <v>62.943226383000002</v>
      </c>
      <c r="CG77" s="27">
        <v>0.14201383579999999</v>
      </c>
      <c r="CH77" s="80" t="s">
        <v>136</v>
      </c>
      <c r="CI77" s="80">
        <v>0</v>
      </c>
      <c r="CJ77" s="80" t="s">
        <v>136</v>
      </c>
      <c r="CK77" s="80">
        <v>0</v>
      </c>
      <c r="CL77" s="80" t="s">
        <v>136</v>
      </c>
      <c r="CM77" s="80">
        <v>0</v>
      </c>
      <c r="CN77" s="80" t="s">
        <v>136</v>
      </c>
      <c r="CO77" s="80">
        <v>0</v>
      </c>
      <c r="CP77" s="27">
        <v>1.2415311600000001</v>
      </c>
      <c r="CQ77" s="27">
        <v>9.8034477000000005E-3</v>
      </c>
      <c r="CR77" s="27">
        <v>1.7943573150000001</v>
      </c>
      <c r="CS77" s="27">
        <v>1.6433343900000001E-2</v>
      </c>
      <c r="CT77" s="27">
        <v>25.264178419</v>
      </c>
      <c r="CU77" s="27">
        <v>0.20033637439999999</v>
      </c>
      <c r="CV77" s="27">
        <v>104.9756455</v>
      </c>
      <c r="CW77" s="27">
        <v>2.2095472904000002</v>
      </c>
      <c r="CX77" s="80" t="s">
        <v>136</v>
      </c>
      <c r="CY77" s="80">
        <v>0</v>
      </c>
      <c r="CZ77" s="80" t="s">
        <v>136</v>
      </c>
      <c r="DA77" s="80">
        <v>0</v>
      </c>
      <c r="DB77" s="27">
        <v>63.25504196</v>
      </c>
      <c r="DC77" s="27">
        <v>0.92615210780000001</v>
      </c>
      <c r="DD77" s="27">
        <v>101.76754194999999</v>
      </c>
      <c r="DE77" s="27">
        <v>3.3285412843</v>
      </c>
      <c r="DF77" s="27">
        <v>366.67859549999997</v>
      </c>
      <c r="DG77" s="27">
        <v>1.9020383584</v>
      </c>
      <c r="DH77" s="27">
        <v>481.60127869000002</v>
      </c>
      <c r="DI77" s="27">
        <v>2.3523317692000001</v>
      </c>
      <c r="DJ77" s="95">
        <v>3.2144834800000001E-2</v>
      </c>
      <c r="DK77" s="96">
        <v>5.72639052E-2</v>
      </c>
      <c r="DL77" s="96">
        <v>7.0600554800000007E-2</v>
      </c>
      <c r="DM77" s="96">
        <v>7.7117147100000005E-2</v>
      </c>
      <c r="DN77" s="96">
        <v>8.0565223899999996E-2</v>
      </c>
      <c r="DO77" s="96">
        <v>8.2746746199999999E-2</v>
      </c>
      <c r="DP77" s="96">
        <v>8.4164482799999996E-2</v>
      </c>
      <c r="DQ77" s="96">
        <v>8.5158420200000001E-2</v>
      </c>
      <c r="DR77" s="96">
        <v>8.5892296100000001E-2</v>
      </c>
      <c r="DS77" s="97">
        <v>8.64807836E-2</v>
      </c>
      <c r="DT77" s="93">
        <v>135.89445545999999</v>
      </c>
      <c r="DU77" s="80">
        <v>0.93788034679999999</v>
      </c>
      <c r="DV77" s="80">
        <v>82.264136511000004</v>
      </c>
      <c r="DW77" s="80">
        <v>0.58163568450000003</v>
      </c>
      <c r="DX77" s="80">
        <v>50.103078345999997</v>
      </c>
      <c r="DY77" s="80">
        <v>0.36240667900000001</v>
      </c>
      <c r="DZ77" s="80">
        <v>30.923706838000001</v>
      </c>
      <c r="EA77" s="80">
        <v>0.22955596210000001</v>
      </c>
      <c r="EB77" s="80">
        <v>19.541843532000001</v>
      </c>
      <c r="EC77" s="80">
        <v>0.14975454260000001</v>
      </c>
      <c r="ED77" s="80">
        <v>12.70800562</v>
      </c>
      <c r="EE77" s="80">
        <v>0.10129966510000001</v>
      </c>
      <c r="EF77" s="80">
        <v>8.5159601265999996</v>
      </c>
      <c r="EG77" s="80">
        <v>7.1192751999999998E-2</v>
      </c>
      <c r="EH77" s="80">
        <v>5.8802037827999998</v>
      </c>
      <c r="EI77" s="80">
        <v>5.1994186900000003E-2</v>
      </c>
      <c r="EJ77" s="80">
        <v>4.1792702509000001</v>
      </c>
      <c r="EK77" s="80">
        <v>3.93296853E-2</v>
      </c>
      <c r="EL77" s="80">
        <v>3.0548077694</v>
      </c>
      <c r="EM77" s="94">
        <v>3.0724828100000001E-2</v>
      </c>
      <c r="EN77" s="80"/>
      <c r="EO77" s="80"/>
      <c r="EP77" s="80"/>
      <c r="EQ77" s="80"/>
      <c r="ER77" s="80"/>
      <c r="ES77" s="80"/>
      <c r="ET77" s="80"/>
      <c r="EU77" s="80"/>
      <c r="EV77" s="80"/>
      <c r="EW77" s="94"/>
    </row>
    <row r="78" spans="1:153" x14ac:dyDescent="0.2">
      <c r="A78" s="79">
        <v>40000</v>
      </c>
      <c r="B78" s="27">
        <v>17397</v>
      </c>
      <c r="C78" s="79">
        <v>4963.6488995</v>
      </c>
      <c r="D78" s="27">
        <v>37367.143090999998</v>
      </c>
      <c r="E78" s="27">
        <v>298.39369317000001</v>
      </c>
      <c r="F78" s="27">
        <v>0.16556172350000001</v>
      </c>
      <c r="G78" s="79">
        <v>414.14219465000002</v>
      </c>
      <c r="H78" s="27">
        <v>3.7075540499999997E-2</v>
      </c>
      <c r="I78" s="27">
        <v>225.32325526</v>
      </c>
      <c r="J78" s="27">
        <v>1.5018646571000001</v>
      </c>
      <c r="K78" s="27">
        <f t="shared" si="13"/>
        <v>150.02900174446086</v>
      </c>
      <c r="L78" s="27">
        <v>174.38149856999999</v>
      </c>
      <c r="M78" s="27">
        <v>1.0681439792</v>
      </c>
      <c r="N78" s="27">
        <v>64.123392773999996</v>
      </c>
      <c r="O78" s="27">
        <v>0.47679218150000002</v>
      </c>
      <c r="P78" s="80" t="s">
        <v>136</v>
      </c>
      <c r="Q78" s="80">
        <v>0</v>
      </c>
      <c r="R78" s="27">
        <v>163.00943107000001</v>
      </c>
      <c r="S78" s="27">
        <v>0.21866810349999999</v>
      </c>
      <c r="T78" s="80" t="s">
        <v>136</v>
      </c>
      <c r="U78" s="80">
        <v>0</v>
      </c>
      <c r="V78" s="80" t="s">
        <v>136</v>
      </c>
      <c r="W78" s="80">
        <v>0</v>
      </c>
      <c r="X78" s="27">
        <v>3.1363318537999998</v>
      </c>
      <c r="Y78" s="27">
        <v>2.69510749E-2</v>
      </c>
      <c r="Z78" s="27">
        <v>133.97151253999999</v>
      </c>
      <c r="AA78" s="27">
        <v>2.4509464008999999</v>
      </c>
      <c r="AB78" s="80" t="s">
        <v>136</v>
      </c>
      <c r="AC78" s="80">
        <v>0</v>
      </c>
      <c r="AD78" s="27">
        <v>2.5781822000000001E-3</v>
      </c>
      <c r="AE78" s="27">
        <v>1.01177E-5</v>
      </c>
      <c r="AF78" s="80" t="s">
        <v>136</v>
      </c>
      <c r="AG78" s="80">
        <v>0</v>
      </c>
      <c r="AH78" s="80" t="s">
        <v>136</v>
      </c>
      <c r="AI78" s="80">
        <v>0</v>
      </c>
      <c r="AJ78" s="27">
        <f t="shared" si="9"/>
        <v>2.5781822000000001E-3</v>
      </c>
      <c r="AK78" s="27">
        <f t="shared" si="10"/>
        <v>1.01177E-5</v>
      </c>
      <c r="AL78" s="27">
        <v>203.20863646999999</v>
      </c>
      <c r="AM78" s="27">
        <v>2.3206683343000001</v>
      </c>
      <c r="AN78" s="80" t="s">
        <v>136</v>
      </c>
      <c r="AO78" s="80">
        <v>0</v>
      </c>
      <c r="AP78" s="80" t="s">
        <v>136</v>
      </c>
      <c r="AQ78" s="80">
        <v>0</v>
      </c>
      <c r="AR78" s="80" t="s">
        <v>136</v>
      </c>
      <c r="AS78" s="80">
        <v>0</v>
      </c>
      <c r="AT78" s="27">
        <v>169.00770405</v>
      </c>
      <c r="AU78" s="27">
        <v>4.3227750005000001</v>
      </c>
      <c r="AV78" s="27">
        <v>185.85068931000001</v>
      </c>
      <c r="AW78" s="27">
        <v>1.0798740596</v>
      </c>
      <c r="AX78" s="27">
        <v>76.984819677999994</v>
      </c>
      <c r="AY78" s="27">
        <v>0.65997455579999997</v>
      </c>
      <c r="AZ78" s="27">
        <v>21.248406553999999</v>
      </c>
      <c r="BA78" s="27">
        <v>0.15046165919999999</v>
      </c>
      <c r="BB78" s="80">
        <f t="shared" si="11"/>
        <v>87.617463078000014</v>
      </c>
      <c r="BC78" s="80">
        <f t="shared" si="12"/>
        <v>0.26943784460000009</v>
      </c>
      <c r="BD78" s="27">
        <v>0.24454486750000001</v>
      </c>
      <c r="BE78" s="27">
        <v>5.6808899999999997E-5</v>
      </c>
      <c r="BF78" s="27">
        <v>891.42518269000004</v>
      </c>
      <c r="BG78" s="27">
        <v>4.3576137226</v>
      </c>
      <c r="BH78" s="27">
        <v>0.10102962829999999</v>
      </c>
      <c r="BI78" s="27">
        <v>5.2067740000000002E-4</v>
      </c>
      <c r="BJ78" s="27">
        <v>207.19481461000001</v>
      </c>
      <c r="BK78" s="27">
        <v>5.8453169238999996</v>
      </c>
      <c r="BL78" s="27">
        <v>648.64096434999999</v>
      </c>
      <c r="BM78" s="27">
        <v>3.7136741400000002</v>
      </c>
      <c r="BN78" s="27">
        <v>123.45644023</v>
      </c>
      <c r="BO78" s="27">
        <v>0.42710918390000002</v>
      </c>
      <c r="BP78" s="27">
        <v>44.879336702000003</v>
      </c>
      <c r="BQ78" s="27">
        <v>2.1178863999999999E-2</v>
      </c>
      <c r="BR78" s="27">
        <v>0</v>
      </c>
      <c r="BS78" s="92">
        <v>0</v>
      </c>
      <c r="BT78" s="80" t="s">
        <v>136</v>
      </c>
      <c r="BU78" s="80">
        <v>0</v>
      </c>
      <c r="BV78" s="27">
        <v>3.5171475891999999</v>
      </c>
      <c r="BW78" s="27">
        <v>2.6625193599999999E-2</v>
      </c>
      <c r="BX78" s="27">
        <v>60.606245184999999</v>
      </c>
      <c r="BY78" s="27">
        <v>0.45016698799999999</v>
      </c>
      <c r="BZ78" s="80" t="s">
        <v>136</v>
      </c>
      <c r="CA78" s="80">
        <v>0</v>
      </c>
      <c r="CB78" s="80" t="s">
        <v>136</v>
      </c>
      <c r="CC78" s="80">
        <v>0</v>
      </c>
      <c r="CD78" s="27">
        <v>98.33546226</v>
      </c>
      <c r="CE78" s="27">
        <v>7.2691519100000004E-2</v>
      </c>
      <c r="CF78" s="27">
        <v>64.673968806000005</v>
      </c>
      <c r="CG78" s="27">
        <v>0.1459765844</v>
      </c>
      <c r="CH78" s="80" t="s">
        <v>136</v>
      </c>
      <c r="CI78" s="80">
        <v>0</v>
      </c>
      <c r="CJ78" s="80" t="s">
        <v>136</v>
      </c>
      <c r="CK78" s="80">
        <v>0</v>
      </c>
      <c r="CL78" s="80" t="s">
        <v>136</v>
      </c>
      <c r="CM78" s="80">
        <v>0</v>
      </c>
      <c r="CN78" s="80" t="s">
        <v>136</v>
      </c>
      <c r="CO78" s="80">
        <v>0</v>
      </c>
      <c r="CP78" s="27">
        <v>1.3007809949</v>
      </c>
      <c r="CQ78" s="27">
        <v>1.01709785E-2</v>
      </c>
      <c r="CR78" s="27">
        <v>1.8355508588</v>
      </c>
      <c r="CS78" s="27">
        <v>1.6780096299999998E-2</v>
      </c>
      <c r="CT78" s="27">
        <v>27.038613653999999</v>
      </c>
      <c r="CU78" s="27">
        <v>0.20945505610000001</v>
      </c>
      <c r="CV78" s="27">
        <v>106.93289888</v>
      </c>
      <c r="CW78" s="27">
        <v>2.2414913448</v>
      </c>
      <c r="CX78" s="80" t="s">
        <v>136</v>
      </c>
      <c r="CY78" s="80">
        <v>0</v>
      </c>
      <c r="CZ78" s="80" t="s">
        <v>136</v>
      </c>
      <c r="DA78" s="80">
        <v>0</v>
      </c>
      <c r="DB78" s="27">
        <v>65.341565940999999</v>
      </c>
      <c r="DC78" s="27">
        <v>0.94959755469999996</v>
      </c>
      <c r="DD78" s="27">
        <v>103.66613811000001</v>
      </c>
      <c r="DE78" s="27">
        <v>3.3731774458000001</v>
      </c>
      <c r="DF78" s="27">
        <v>391.44957108</v>
      </c>
      <c r="DG78" s="27">
        <v>1.9604872432</v>
      </c>
      <c r="DH78" s="27">
        <v>499.97561160999999</v>
      </c>
      <c r="DI78" s="27">
        <v>2.3971264793999998</v>
      </c>
      <c r="DJ78" s="95">
        <v>3.4306628700000001E-2</v>
      </c>
      <c r="DK78" s="96">
        <v>6.1221717000000002E-2</v>
      </c>
      <c r="DL78" s="96">
        <v>7.5913742899999997E-2</v>
      </c>
      <c r="DM78" s="96">
        <v>8.3346786399999997E-2</v>
      </c>
      <c r="DN78" s="96">
        <v>8.7440142299999996E-2</v>
      </c>
      <c r="DO78" s="96">
        <v>9.0095610000000007E-2</v>
      </c>
      <c r="DP78" s="96">
        <v>9.1860833899999994E-2</v>
      </c>
      <c r="DQ78" s="96">
        <v>9.3117737699999995E-2</v>
      </c>
      <c r="DR78" s="96">
        <v>9.4045946500000005E-2</v>
      </c>
      <c r="DS78" s="97">
        <v>9.4789395700000001E-2</v>
      </c>
      <c r="DT78" s="93">
        <v>137.12494129999999</v>
      </c>
      <c r="DU78" s="80">
        <v>0.94514887879999998</v>
      </c>
      <c r="DV78" s="80">
        <v>83.311792827000005</v>
      </c>
      <c r="DW78" s="80">
        <v>0.58786972289999995</v>
      </c>
      <c r="DX78" s="80">
        <v>50.956320568999999</v>
      </c>
      <c r="DY78" s="80">
        <v>0.36750511920000001</v>
      </c>
      <c r="DZ78" s="80">
        <v>31.600233573000001</v>
      </c>
      <c r="EA78" s="80">
        <v>0.2336103447</v>
      </c>
      <c r="EB78" s="80">
        <v>20.069406248</v>
      </c>
      <c r="EC78" s="80">
        <v>0.15292020649999999</v>
      </c>
      <c r="ED78" s="80">
        <v>13.115253125000001</v>
      </c>
      <c r="EE78" s="80">
        <v>0.1037483522</v>
      </c>
      <c r="EF78" s="80">
        <v>8.8290575105000002</v>
      </c>
      <c r="EG78" s="80">
        <v>7.3093800700000003E-2</v>
      </c>
      <c r="EH78" s="80">
        <v>6.1225370523000002</v>
      </c>
      <c r="EI78" s="80">
        <v>5.3473887300000002E-2</v>
      </c>
      <c r="EJ78" s="80">
        <v>4.3671308270000004</v>
      </c>
      <c r="EK78" s="80">
        <v>4.04880663E-2</v>
      </c>
      <c r="EL78" s="80">
        <v>3.2034592428000002</v>
      </c>
      <c r="EM78" s="94">
        <v>3.1644902199999998E-2</v>
      </c>
      <c r="EN78" s="80"/>
      <c r="EO78" s="80"/>
      <c r="EP78" s="80"/>
      <c r="EQ78" s="80"/>
      <c r="ER78" s="80"/>
      <c r="ES78" s="80"/>
      <c r="ET78" s="80"/>
      <c r="EU78" s="80"/>
      <c r="EV78" s="80"/>
      <c r="EW78" s="94"/>
    </row>
    <row r="79" spans="1:153" x14ac:dyDescent="0.2">
      <c r="A79" s="79">
        <v>45000</v>
      </c>
      <c r="B79" s="27">
        <v>12776</v>
      </c>
      <c r="C79" s="79">
        <v>5069.2548963999998</v>
      </c>
      <c r="D79" s="27">
        <v>42376.995106000002</v>
      </c>
      <c r="E79" s="27">
        <v>305.41252581999998</v>
      </c>
      <c r="F79" s="27">
        <v>0.1676011724</v>
      </c>
      <c r="G79" s="79">
        <v>460.66589286999999</v>
      </c>
      <c r="H79" s="27">
        <v>3.9303823699999997E-2</v>
      </c>
      <c r="I79" s="27">
        <v>226.42186783</v>
      </c>
      <c r="J79" s="27">
        <v>1.5080481945999999</v>
      </c>
      <c r="K79" s="27">
        <f t="shared" si="13"/>
        <v>150.14232876692441</v>
      </c>
      <c r="L79" s="27">
        <v>176.77086767</v>
      </c>
      <c r="M79" s="27">
        <v>1.0787650002</v>
      </c>
      <c r="N79" s="27">
        <v>64.978317098999995</v>
      </c>
      <c r="O79" s="27">
        <v>0.48198765570000002</v>
      </c>
      <c r="P79" s="80" t="s">
        <v>136</v>
      </c>
      <c r="Q79" s="80">
        <v>0</v>
      </c>
      <c r="R79" s="27">
        <v>167.2074911</v>
      </c>
      <c r="S79" s="27">
        <v>0.2236744621</v>
      </c>
      <c r="T79" s="80" t="s">
        <v>136</v>
      </c>
      <c r="U79" s="80">
        <v>0</v>
      </c>
      <c r="V79" s="80" t="s">
        <v>136</v>
      </c>
      <c r="W79" s="80">
        <v>0</v>
      </c>
      <c r="X79" s="27">
        <v>3.2310135597</v>
      </c>
      <c r="Y79" s="27">
        <v>2.76262387E-2</v>
      </c>
      <c r="Z79" s="27">
        <v>137.02024718000001</v>
      </c>
      <c r="AA79" s="27">
        <v>2.4821337016</v>
      </c>
      <c r="AB79" s="80" t="s">
        <v>136</v>
      </c>
      <c r="AC79" s="80">
        <v>0</v>
      </c>
      <c r="AD79" s="27">
        <v>2.5752974E-3</v>
      </c>
      <c r="AE79" s="27">
        <v>1.01062E-5</v>
      </c>
      <c r="AF79" s="80" t="s">
        <v>136</v>
      </c>
      <c r="AG79" s="80">
        <v>0</v>
      </c>
      <c r="AH79" s="80" t="s">
        <v>136</v>
      </c>
      <c r="AI79" s="80">
        <v>0</v>
      </c>
      <c r="AJ79" s="27">
        <f t="shared" si="9"/>
        <v>2.5752974E-3</v>
      </c>
      <c r="AK79" s="27">
        <f t="shared" si="10"/>
        <v>1.01062E-5</v>
      </c>
      <c r="AL79" s="27">
        <v>204.34330564999999</v>
      </c>
      <c r="AM79" s="27">
        <v>2.3323277915</v>
      </c>
      <c r="AN79" s="80" t="s">
        <v>136</v>
      </c>
      <c r="AO79" s="80">
        <v>0</v>
      </c>
      <c r="AP79" s="80" t="s">
        <v>136</v>
      </c>
      <c r="AQ79" s="80">
        <v>0</v>
      </c>
      <c r="AR79" s="80" t="s">
        <v>136</v>
      </c>
      <c r="AS79" s="80">
        <v>0</v>
      </c>
      <c r="AT79" s="27">
        <v>172.05749505</v>
      </c>
      <c r="AU79" s="27">
        <v>4.3756060055999999</v>
      </c>
      <c r="AV79" s="27">
        <v>190.67956887</v>
      </c>
      <c r="AW79" s="27">
        <v>1.0988973228000001</v>
      </c>
      <c r="AX79" s="27">
        <v>78.776944830000005</v>
      </c>
      <c r="AY79" s="27">
        <v>0.67178907219999995</v>
      </c>
      <c r="AZ79" s="27">
        <v>21.457760908000001</v>
      </c>
      <c r="BA79" s="27">
        <v>0.15171185670000001</v>
      </c>
      <c r="BB79" s="80">
        <f t="shared" si="11"/>
        <v>90.444863131999995</v>
      </c>
      <c r="BC79" s="80">
        <f t="shared" si="12"/>
        <v>0.27539639390000015</v>
      </c>
      <c r="BD79" s="27">
        <v>0.3531020413</v>
      </c>
      <c r="BE79" s="27">
        <v>7.7333800000000001E-5</v>
      </c>
      <c r="BF79" s="27">
        <v>926.10124811000003</v>
      </c>
      <c r="BG79" s="27">
        <v>4.4386294046000003</v>
      </c>
      <c r="BH79" s="27">
        <v>0.1092278071</v>
      </c>
      <c r="BI79" s="27">
        <v>7.6791890000000001E-4</v>
      </c>
      <c r="BJ79" s="27">
        <v>208.75920292000001</v>
      </c>
      <c r="BK79" s="27">
        <v>5.8808052099000001</v>
      </c>
      <c r="BL79" s="27">
        <v>660.26714575999995</v>
      </c>
      <c r="BM79" s="27">
        <v>3.7548514216000002</v>
      </c>
      <c r="BN79" s="27">
        <v>125.59380563000001</v>
      </c>
      <c r="BO79" s="27">
        <v>0.4309063736</v>
      </c>
      <c r="BP79" s="27">
        <v>52.771883713999998</v>
      </c>
      <c r="BQ79" s="27">
        <v>2.38694323E-2</v>
      </c>
      <c r="BR79" s="27">
        <v>0</v>
      </c>
      <c r="BS79" s="92">
        <v>0</v>
      </c>
      <c r="BT79" s="80" t="s">
        <v>136</v>
      </c>
      <c r="BU79" s="80">
        <v>0</v>
      </c>
      <c r="BV79" s="27">
        <v>3.7234597052999998</v>
      </c>
      <c r="BW79" s="27">
        <v>2.74826206E-2</v>
      </c>
      <c r="BX79" s="27">
        <v>61.254857393999998</v>
      </c>
      <c r="BY79" s="27">
        <v>0.45450503510000001</v>
      </c>
      <c r="BZ79" s="80" t="s">
        <v>136</v>
      </c>
      <c r="CA79" s="80">
        <v>0</v>
      </c>
      <c r="CB79" s="80" t="s">
        <v>136</v>
      </c>
      <c r="CC79" s="80">
        <v>0</v>
      </c>
      <c r="CD79" s="27">
        <v>101.07332959</v>
      </c>
      <c r="CE79" s="27">
        <v>7.4395673800000006E-2</v>
      </c>
      <c r="CF79" s="27">
        <v>66.134161517999999</v>
      </c>
      <c r="CG79" s="27">
        <v>0.14927878829999999</v>
      </c>
      <c r="CH79" s="80" t="s">
        <v>136</v>
      </c>
      <c r="CI79" s="80">
        <v>0</v>
      </c>
      <c r="CJ79" s="80" t="s">
        <v>136</v>
      </c>
      <c r="CK79" s="80">
        <v>0</v>
      </c>
      <c r="CL79" s="80" t="s">
        <v>136</v>
      </c>
      <c r="CM79" s="80">
        <v>0</v>
      </c>
      <c r="CN79" s="80" t="s">
        <v>136</v>
      </c>
      <c r="CO79" s="80">
        <v>0</v>
      </c>
      <c r="CP79" s="27">
        <v>1.3589844733000001</v>
      </c>
      <c r="CQ79" s="27">
        <v>1.05023342E-2</v>
      </c>
      <c r="CR79" s="27">
        <v>1.8720290865</v>
      </c>
      <c r="CS79" s="27">
        <v>1.7123904499999999E-2</v>
      </c>
      <c r="CT79" s="27">
        <v>28.615153986999999</v>
      </c>
      <c r="CU79" s="27">
        <v>0.21723726979999999</v>
      </c>
      <c r="CV79" s="27">
        <v>108.4050932</v>
      </c>
      <c r="CW79" s="27">
        <v>2.2648964318</v>
      </c>
      <c r="CX79" s="80" t="s">
        <v>136</v>
      </c>
      <c r="CY79" s="80">
        <v>0</v>
      </c>
      <c r="CZ79" s="80" t="s">
        <v>136</v>
      </c>
      <c r="DA79" s="80">
        <v>0</v>
      </c>
      <c r="DB79" s="27">
        <v>66.972408153999993</v>
      </c>
      <c r="DC79" s="27">
        <v>0.96865490379999997</v>
      </c>
      <c r="DD79" s="27">
        <v>105.08508689999999</v>
      </c>
      <c r="DE79" s="27">
        <v>3.4069511017999998</v>
      </c>
      <c r="DF79" s="27">
        <v>411.22374786</v>
      </c>
      <c r="DG79" s="27">
        <v>2.0065841947999998</v>
      </c>
      <c r="DH79" s="27">
        <v>514.87750025000003</v>
      </c>
      <c r="DI79" s="27">
        <v>2.4320452098000001</v>
      </c>
      <c r="DJ79" s="95">
        <v>3.6091849699999998E-2</v>
      </c>
      <c r="DK79" s="96">
        <v>6.4510384599999998E-2</v>
      </c>
      <c r="DL79" s="96">
        <v>8.0344038699999995E-2</v>
      </c>
      <c r="DM79" s="96">
        <v>8.8556188999999993E-2</v>
      </c>
      <c r="DN79" s="96">
        <v>9.3222868599999995E-2</v>
      </c>
      <c r="DO79" s="96">
        <v>9.6312486899999994E-2</v>
      </c>
      <c r="DP79" s="96">
        <v>9.8407754799999997E-2</v>
      </c>
      <c r="DQ79" s="96">
        <v>9.9916051199999995E-2</v>
      </c>
      <c r="DR79" s="96">
        <v>0.10103792139999999</v>
      </c>
      <c r="DS79" s="97">
        <v>0.1019308111</v>
      </c>
      <c r="DT79" s="93">
        <v>138.11935448</v>
      </c>
      <c r="DU79" s="80">
        <v>0.95079194899999997</v>
      </c>
      <c r="DV79" s="80">
        <v>84.160863649000007</v>
      </c>
      <c r="DW79" s="80">
        <v>0.59272649990000004</v>
      </c>
      <c r="DX79" s="80">
        <v>51.653112645999997</v>
      </c>
      <c r="DY79" s="80">
        <v>0.37150712670000002</v>
      </c>
      <c r="DZ79" s="80">
        <v>32.156649023</v>
      </c>
      <c r="EA79" s="80">
        <v>0.236814362</v>
      </c>
      <c r="EB79" s="80">
        <v>20.503652976000001</v>
      </c>
      <c r="EC79" s="80">
        <v>0.15543094830000001</v>
      </c>
      <c r="ED79" s="80">
        <v>13.453206167999999</v>
      </c>
      <c r="EE79" s="80">
        <v>0.1057091543</v>
      </c>
      <c r="EF79" s="80">
        <v>9.0902893371999998</v>
      </c>
      <c r="EG79" s="80">
        <v>7.4623815199999999E-2</v>
      </c>
      <c r="EH79" s="80">
        <v>6.3257219146999999</v>
      </c>
      <c r="EI79" s="80">
        <v>5.4669896000000003E-2</v>
      </c>
      <c r="EJ79" s="80">
        <v>4.5249948705999996</v>
      </c>
      <c r="EK79" s="80">
        <v>4.1422011600000003E-2</v>
      </c>
      <c r="EL79" s="80">
        <v>3.3262987976999998</v>
      </c>
      <c r="EM79" s="94">
        <v>3.2378709700000001E-2</v>
      </c>
      <c r="EN79" s="80"/>
      <c r="EO79" s="80"/>
      <c r="EP79" s="80"/>
      <c r="EQ79" s="80"/>
      <c r="ER79" s="80"/>
      <c r="ES79" s="80"/>
      <c r="ET79" s="80"/>
      <c r="EU79" s="80"/>
      <c r="EV79" s="80"/>
      <c r="EW79" s="94"/>
    </row>
    <row r="80" spans="1:153" x14ac:dyDescent="0.2">
      <c r="A80" s="79">
        <v>50000</v>
      </c>
      <c r="B80" s="27">
        <v>10116</v>
      </c>
      <c r="C80" s="79">
        <v>5158.2504693000001</v>
      </c>
      <c r="D80" s="27">
        <v>47409.342155999999</v>
      </c>
      <c r="E80" s="27">
        <v>310.80625777</v>
      </c>
      <c r="F80" s="27">
        <v>0.1691504939</v>
      </c>
      <c r="G80" s="79">
        <v>504.98899767</v>
      </c>
      <c r="H80" s="27">
        <v>4.1246825899999999E-2</v>
      </c>
      <c r="I80" s="27">
        <v>227.22971985000001</v>
      </c>
      <c r="J80" s="27">
        <v>1.5126025628999999</v>
      </c>
      <c r="K80" s="27">
        <f t="shared" si="13"/>
        <v>150.22433878093491</v>
      </c>
      <c r="L80" s="27">
        <v>178.84339686999999</v>
      </c>
      <c r="M80" s="27">
        <v>1.0875684564000001</v>
      </c>
      <c r="N80" s="27">
        <v>65.597798591</v>
      </c>
      <c r="O80" s="27">
        <v>0.48583796899999998</v>
      </c>
      <c r="P80" s="80" t="s">
        <v>136</v>
      </c>
      <c r="Q80" s="80">
        <v>0</v>
      </c>
      <c r="R80" s="27">
        <v>170.82738732000001</v>
      </c>
      <c r="S80" s="27">
        <v>0.22800890569999999</v>
      </c>
      <c r="T80" s="80" t="s">
        <v>136</v>
      </c>
      <c r="U80" s="80">
        <v>0</v>
      </c>
      <c r="V80" s="80" t="s">
        <v>136</v>
      </c>
      <c r="W80" s="80">
        <v>0</v>
      </c>
      <c r="X80" s="27">
        <v>3.3405382668999999</v>
      </c>
      <c r="Y80" s="27">
        <v>2.8284952200000001E-2</v>
      </c>
      <c r="Z80" s="27">
        <v>139.63054285000001</v>
      </c>
      <c r="AA80" s="27">
        <v>2.5067900165000001</v>
      </c>
      <c r="AB80" s="80" t="s">
        <v>136</v>
      </c>
      <c r="AC80" s="80">
        <v>0</v>
      </c>
      <c r="AD80" s="27">
        <v>2.5727187000000001E-3</v>
      </c>
      <c r="AE80" s="27">
        <v>1.0096E-5</v>
      </c>
      <c r="AF80" s="80" t="s">
        <v>136</v>
      </c>
      <c r="AG80" s="80">
        <v>0</v>
      </c>
      <c r="AH80" s="80" t="s">
        <v>136</v>
      </c>
      <c r="AI80" s="80">
        <v>0</v>
      </c>
      <c r="AJ80" s="27">
        <f t="shared" si="9"/>
        <v>2.5727187000000001E-3</v>
      </c>
      <c r="AK80" s="27">
        <f t="shared" si="10"/>
        <v>1.0096E-5</v>
      </c>
      <c r="AL80" s="27">
        <v>205.24979705000001</v>
      </c>
      <c r="AM80" s="27">
        <v>2.3412793299999999</v>
      </c>
      <c r="AN80" s="80" t="s">
        <v>136</v>
      </c>
      <c r="AO80" s="80">
        <v>0</v>
      </c>
      <c r="AP80" s="80" t="s">
        <v>136</v>
      </c>
      <c r="AQ80" s="80">
        <v>0</v>
      </c>
      <c r="AR80" s="80" t="s">
        <v>136</v>
      </c>
      <c r="AS80" s="80">
        <v>0</v>
      </c>
      <c r="AT80" s="27">
        <v>174.6981476</v>
      </c>
      <c r="AU80" s="27">
        <v>4.4200672224000002</v>
      </c>
      <c r="AV80" s="27">
        <v>194.91896277999999</v>
      </c>
      <c r="AW80" s="27">
        <v>1.1153331957999999</v>
      </c>
      <c r="AX80" s="27">
        <v>80.396757007999994</v>
      </c>
      <c r="AY80" s="27">
        <v>0.68212158810000001</v>
      </c>
      <c r="AZ80" s="27">
        <v>21.625880013</v>
      </c>
      <c r="BA80" s="27">
        <v>0.15268115390000001</v>
      </c>
      <c r="BB80" s="80">
        <f t="shared" si="11"/>
        <v>92.896325758999993</v>
      </c>
      <c r="BC80" s="80">
        <f t="shared" si="12"/>
        <v>0.28053045379999986</v>
      </c>
      <c r="BD80" s="27">
        <v>0.5112699503</v>
      </c>
      <c r="BE80" s="27">
        <v>1.045643E-4</v>
      </c>
      <c r="BF80" s="27">
        <v>956.24828382999999</v>
      </c>
      <c r="BG80" s="27">
        <v>4.5074472459999999</v>
      </c>
      <c r="BH80" s="27">
        <v>0.1167512703</v>
      </c>
      <c r="BI80" s="27">
        <v>1.0511960999999999E-3</v>
      </c>
      <c r="BJ80" s="27">
        <v>210.15558636</v>
      </c>
      <c r="BK80" s="27">
        <v>5.9106325856000002</v>
      </c>
      <c r="BL80" s="27">
        <v>669.83533662000002</v>
      </c>
      <c r="BM80" s="27">
        <v>3.7876783851</v>
      </c>
      <c r="BN80" s="27">
        <v>127.16798009999999</v>
      </c>
      <c r="BO80" s="27">
        <v>0.43381509480000002</v>
      </c>
      <c r="BP80" s="27">
        <v>60.566376521000002</v>
      </c>
      <c r="BQ80" s="27">
        <v>2.6246976299999999E-2</v>
      </c>
      <c r="BR80" s="27">
        <v>0</v>
      </c>
      <c r="BS80" s="92">
        <v>0</v>
      </c>
      <c r="BT80" s="80" t="s">
        <v>136</v>
      </c>
      <c r="BU80" s="80">
        <v>0</v>
      </c>
      <c r="BV80" s="27">
        <v>3.8894905315999999</v>
      </c>
      <c r="BW80" s="27">
        <v>2.8183307800000001E-2</v>
      </c>
      <c r="BX80" s="27">
        <v>61.708308058999997</v>
      </c>
      <c r="BY80" s="27">
        <v>0.45765466119999998</v>
      </c>
      <c r="BZ80" s="80" t="s">
        <v>136</v>
      </c>
      <c r="CA80" s="80">
        <v>0</v>
      </c>
      <c r="CB80" s="80" t="s">
        <v>136</v>
      </c>
      <c r="CC80" s="80">
        <v>0</v>
      </c>
      <c r="CD80" s="27">
        <v>103.47344631999999</v>
      </c>
      <c r="CE80" s="27">
        <v>7.5883856999999999E-2</v>
      </c>
      <c r="CF80" s="27">
        <v>67.353940995000002</v>
      </c>
      <c r="CG80" s="27">
        <v>0.15212504869999999</v>
      </c>
      <c r="CH80" s="80" t="s">
        <v>136</v>
      </c>
      <c r="CI80" s="80">
        <v>0</v>
      </c>
      <c r="CJ80" s="80" t="s">
        <v>136</v>
      </c>
      <c r="CK80" s="80">
        <v>0</v>
      </c>
      <c r="CL80" s="80" t="s">
        <v>136</v>
      </c>
      <c r="CM80" s="80">
        <v>0</v>
      </c>
      <c r="CN80" s="80" t="s">
        <v>136</v>
      </c>
      <c r="CO80" s="80">
        <v>0</v>
      </c>
      <c r="CP80" s="27">
        <v>1.4286667485</v>
      </c>
      <c r="CQ80" s="27">
        <v>1.08213934E-2</v>
      </c>
      <c r="CR80" s="27">
        <v>1.9118715183999999</v>
      </c>
      <c r="CS80" s="27">
        <v>1.7463558800000001E-2</v>
      </c>
      <c r="CT80" s="27">
        <v>30.029581747999998</v>
      </c>
      <c r="CU80" s="27">
        <v>0.2237218792</v>
      </c>
      <c r="CV80" s="27">
        <v>109.60096111</v>
      </c>
      <c r="CW80" s="27">
        <v>2.2830681372999999</v>
      </c>
      <c r="CX80" s="80" t="s">
        <v>136</v>
      </c>
      <c r="CY80" s="80">
        <v>0</v>
      </c>
      <c r="CZ80" s="80" t="s">
        <v>136</v>
      </c>
      <c r="DA80" s="80">
        <v>0</v>
      </c>
      <c r="DB80" s="27">
        <v>68.421626325999995</v>
      </c>
      <c r="DC80" s="27">
        <v>0.98515395979999998</v>
      </c>
      <c r="DD80" s="27">
        <v>106.27652128</v>
      </c>
      <c r="DE80" s="27">
        <v>3.4349132626999999</v>
      </c>
      <c r="DF80" s="27">
        <v>428.44881520000001</v>
      </c>
      <c r="DG80" s="27">
        <v>2.0451186525999998</v>
      </c>
      <c r="DH80" s="27">
        <v>527.79946862999998</v>
      </c>
      <c r="DI80" s="27">
        <v>2.4623285933000001</v>
      </c>
      <c r="DJ80" s="95">
        <v>3.75916445E-2</v>
      </c>
      <c r="DK80" s="96">
        <v>6.7286293600000005E-2</v>
      </c>
      <c r="DL80" s="96">
        <v>8.41156505E-2</v>
      </c>
      <c r="DM80" s="96">
        <v>9.3035349399999995E-2</v>
      </c>
      <c r="DN80" s="96">
        <v>9.8245262E-2</v>
      </c>
      <c r="DO80" s="96">
        <v>0.1017622554</v>
      </c>
      <c r="DP80" s="96">
        <v>0.1041902834</v>
      </c>
      <c r="DQ80" s="96">
        <v>0.1059581995</v>
      </c>
      <c r="DR80" s="96">
        <v>0.1072846343</v>
      </c>
      <c r="DS80" s="97">
        <v>0.1083416005</v>
      </c>
      <c r="DT80" s="93">
        <v>138.85171543000001</v>
      </c>
      <c r="DU80" s="80">
        <v>0.95494955400000003</v>
      </c>
      <c r="DV80" s="80">
        <v>84.782756262000007</v>
      </c>
      <c r="DW80" s="80">
        <v>0.59628532329999995</v>
      </c>
      <c r="DX80" s="80">
        <v>52.159725868999999</v>
      </c>
      <c r="DY80" s="80">
        <v>0.37442516180000002</v>
      </c>
      <c r="DZ80" s="80">
        <v>32.556949347</v>
      </c>
      <c r="EA80" s="80">
        <v>0.23912739659999999</v>
      </c>
      <c r="EB80" s="80">
        <v>20.814680772999999</v>
      </c>
      <c r="EC80" s="80">
        <v>0.15722621070000001</v>
      </c>
      <c r="ED80" s="80">
        <v>13.694518278</v>
      </c>
      <c r="EE80" s="80">
        <v>0.1070973836</v>
      </c>
      <c r="EF80" s="80">
        <v>9.2760218541999997</v>
      </c>
      <c r="EG80" s="80">
        <v>7.5691502699999996E-2</v>
      </c>
      <c r="EH80" s="80">
        <v>6.4694568701000001</v>
      </c>
      <c r="EI80" s="80">
        <v>5.5495510800000002E-2</v>
      </c>
      <c r="EJ80" s="80">
        <v>4.6367233991000001</v>
      </c>
      <c r="EK80" s="80">
        <v>4.20668633E-2</v>
      </c>
      <c r="EL80" s="80">
        <v>3.4128121494000001</v>
      </c>
      <c r="EM80" s="94">
        <v>3.2884495999999999E-2</v>
      </c>
      <c r="EN80" s="80"/>
      <c r="EO80" s="80"/>
      <c r="EP80" s="80"/>
      <c r="EQ80" s="80"/>
      <c r="ER80" s="80"/>
      <c r="ES80" s="80"/>
      <c r="ET80" s="80"/>
      <c r="EU80" s="80"/>
      <c r="EV80" s="80"/>
      <c r="EW80" s="94"/>
    </row>
    <row r="81" spans="1:153" x14ac:dyDescent="0.2">
      <c r="A81" s="79">
        <v>100000</v>
      </c>
      <c r="B81" s="27">
        <v>39747</v>
      </c>
      <c r="C81" s="79">
        <v>5613.6434399999998</v>
      </c>
      <c r="D81" s="27">
        <v>67790.064784000002</v>
      </c>
      <c r="E81" s="27">
        <v>334.94991321999998</v>
      </c>
      <c r="F81" s="27">
        <v>0.1759186653</v>
      </c>
      <c r="G81" s="79">
        <v>793.17297378000001</v>
      </c>
      <c r="H81" s="27">
        <v>5.1165402399999997E-2</v>
      </c>
      <c r="I81" s="27">
        <v>230.88202032000001</v>
      </c>
      <c r="J81" s="27">
        <v>1.5319037930999999</v>
      </c>
      <c r="K81" s="27">
        <f t="shared" si="13"/>
        <v>150.71574426536355</v>
      </c>
      <c r="L81" s="27">
        <v>190.7562398</v>
      </c>
      <c r="M81" s="27">
        <v>1.1275575153999999</v>
      </c>
      <c r="N81" s="27">
        <v>68.397085004000004</v>
      </c>
      <c r="O81" s="27">
        <v>0.50160614410000004</v>
      </c>
      <c r="P81" s="80" t="s">
        <v>136</v>
      </c>
      <c r="Q81" s="80">
        <v>0</v>
      </c>
      <c r="R81" s="27">
        <v>190.78702727000001</v>
      </c>
      <c r="S81" s="27">
        <v>0.25162504600000002</v>
      </c>
      <c r="T81" s="80" t="s">
        <v>136</v>
      </c>
      <c r="U81" s="80">
        <v>0</v>
      </c>
      <c r="V81" s="80" t="s">
        <v>136</v>
      </c>
      <c r="W81" s="80">
        <v>0</v>
      </c>
      <c r="X81" s="27">
        <v>3.7564053692999999</v>
      </c>
      <c r="Y81" s="27">
        <v>3.1008733199999999E-2</v>
      </c>
      <c r="Z81" s="27">
        <v>150.85773298000001</v>
      </c>
      <c r="AA81" s="27">
        <v>2.6066523649</v>
      </c>
      <c r="AB81" s="80" t="s">
        <v>136</v>
      </c>
      <c r="AC81" s="80">
        <v>0</v>
      </c>
      <c r="AD81" s="27">
        <v>2.5929525000000001E-3</v>
      </c>
      <c r="AE81" s="27">
        <v>1.01904E-5</v>
      </c>
      <c r="AF81" s="80" t="s">
        <v>136</v>
      </c>
      <c r="AG81" s="80">
        <v>0</v>
      </c>
      <c r="AH81" s="80" t="s">
        <v>136</v>
      </c>
      <c r="AI81" s="80">
        <v>0</v>
      </c>
      <c r="AJ81" s="27">
        <f t="shared" si="9"/>
        <v>2.5929525000000001E-3</v>
      </c>
      <c r="AK81" s="27">
        <f t="shared" si="10"/>
        <v>1.01904E-5</v>
      </c>
      <c r="AL81" s="27">
        <v>208.9801343</v>
      </c>
      <c r="AM81" s="27">
        <v>2.3785669505000002</v>
      </c>
      <c r="AN81" s="80" t="s">
        <v>136</v>
      </c>
      <c r="AO81" s="80">
        <v>0</v>
      </c>
      <c r="AP81" s="80" t="s">
        <v>136</v>
      </c>
      <c r="AQ81" s="80">
        <v>0</v>
      </c>
      <c r="AR81" s="80" t="s">
        <v>136</v>
      </c>
      <c r="AS81" s="80">
        <v>0</v>
      </c>
      <c r="AT81" s="27">
        <v>186.94082381000001</v>
      </c>
      <c r="AU81" s="27">
        <v>4.6256878592000001</v>
      </c>
      <c r="AV81" s="27">
        <v>224.92146473</v>
      </c>
      <c r="AW81" s="27">
        <v>1.2051886131</v>
      </c>
      <c r="AX81" s="27">
        <v>92.671338735999996</v>
      </c>
      <c r="AY81" s="27">
        <v>0.73884768300000003</v>
      </c>
      <c r="AZ81" s="27">
        <v>22.260968822999999</v>
      </c>
      <c r="BA81" s="27">
        <v>0.15605416820000001</v>
      </c>
      <c r="BB81" s="80">
        <f t="shared" si="11"/>
        <v>109.989157171</v>
      </c>
      <c r="BC81" s="80">
        <f t="shared" si="12"/>
        <v>0.31028676190000004</v>
      </c>
      <c r="BD81" s="27">
        <v>1.9051891829000001</v>
      </c>
      <c r="BE81" s="27">
        <v>3.200934E-4</v>
      </c>
      <c r="BF81" s="27">
        <v>1120.7848787999999</v>
      </c>
      <c r="BG81" s="27">
        <v>4.8611409685</v>
      </c>
      <c r="BH81" s="27">
        <v>0.1632696193</v>
      </c>
      <c r="BI81" s="27">
        <v>3.6578794999999999E-3</v>
      </c>
      <c r="BJ81" s="27">
        <v>216.40368071</v>
      </c>
      <c r="BK81" s="27">
        <v>6.0381211925000002</v>
      </c>
      <c r="BL81" s="27">
        <v>707.59422497000003</v>
      </c>
      <c r="BM81" s="27">
        <v>3.9186228841999999</v>
      </c>
      <c r="BN81" s="27">
        <v>134.80829964</v>
      </c>
      <c r="BO81" s="27">
        <v>0.44571649569999999</v>
      </c>
      <c r="BP81" s="27">
        <v>105.38162324</v>
      </c>
      <c r="BQ81" s="27">
        <v>3.7455901600000001E-2</v>
      </c>
      <c r="BR81" s="27">
        <v>0</v>
      </c>
      <c r="BS81" s="92">
        <v>0</v>
      </c>
      <c r="BT81" s="80" t="s">
        <v>136</v>
      </c>
      <c r="BU81" s="80">
        <v>0</v>
      </c>
      <c r="BV81" s="27">
        <v>4.6865338812999999</v>
      </c>
      <c r="BW81" s="27">
        <v>3.1086318299999999E-2</v>
      </c>
      <c r="BX81" s="27">
        <v>63.710551123000002</v>
      </c>
      <c r="BY81" s="27">
        <v>0.47051982580000001</v>
      </c>
      <c r="BZ81" s="80" t="s">
        <v>136</v>
      </c>
      <c r="CA81" s="80">
        <v>0</v>
      </c>
      <c r="CB81" s="80" t="s">
        <v>136</v>
      </c>
      <c r="CC81" s="80">
        <v>0</v>
      </c>
      <c r="CD81" s="27">
        <v>116.40367895</v>
      </c>
      <c r="CE81" s="27">
        <v>8.3845018399999999E-2</v>
      </c>
      <c r="CF81" s="27">
        <v>74.383348327999997</v>
      </c>
      <c r="CG81" s="27">
        <v>0.16778002750000001</v>
      </c>
      <c r="CH81" s="80" t="s">
        <v>136</v>
      </c>
      <c r="CI81" s="80">
        <v>0</v>
      </c>
      <c r="CJ81" s="80" t="s">
        <v>136</v>
      </c>
      <c r="CK81" s="80">
        <v>0</v>
      </c>
      <c r="CL81" s="80" t="s">
        <v>136</v>
      </c>
      <c r="CM81" s="80">
        <v>0</v>
      </c>
      <c r="CN81" s="80" t="s">
        <v>136</v>
      </c>
      <c r="CO81" s="80">
        <v>0</v>
      </c>
      <c r="CP81" s="27">
        <v>1.7574095947999999</v>
      </c>
      <c r="CQ81" s="27">
        <v>1.27787327E-2</v>
      </c>
      <c r="CR81" s="27">
        <v>1.9989957745</v>
      </c>
      <c r="CS81" s="27">
        <v>1.8230000499999999E-2</v>
      </c>
      <c r="CT81" s="27">
        <v>36.599734003000002</v>
      </c>
      <c r="CU81" s="27">
        <v>0.25333028320000001</v>
      </c>
      <c r="CV81" s="27">
        <v>114.25799898</v>
      </c>
      <c r="CW81" s="27">
        <v>2.3533220817</v>
      </c>
      <c r="CX81" s="80" t="s">
        <v>136</v>
      </c>
      <c r="CY81" s="80">
        <v>0</v>
      </c>
      <c r="CZ81" s="80" t="s">
        <v>136</v>
      </c>
      <c r="DA81" s="80">
        <v>0</v>
      </c>
      <c r="DB81" s="27">
        <v>75.263140789999994</v>
      </c>
      <c r="DC81" s="27">
        <v>1.0648591621000001</v>
      </c>
      <c r="DD81" s="27">
        <v>111.67768302</v>
      </c>
      <c r="DE81" s="27">
        <v>3.5608286971999998</v>
      </c>
      <c r="DF81" s="27">
        <v>520.32556756999998</v>
      </c>
      <c r="DG81" s="27">
        <v>2.2412882555000002</v>
      </c>
      <c r="DH81" s="27">
        <v>600.45931125000004</v>
      </c>
      <c r="DI81" s="27">
        <v>2.6198527130000002</v>
      </c>
      <c r="DJ81" s="95">
        <v>4.4156362900000003E-2</v>
      </c>
      <c r="DK81" s="96">
        <v>7.9760762900000004E-2</v>
      </c>
      <c r="DL81" s="96">
        <v>0.10156971369999999</v>
      </c>
      <c r="DM81" s="96">
        <v>0.114390778</v>
      </c>
      <c r="DN81" s="96">
        <v>0.1227596339</v>
      </c>
      <c r="DO81" s="96">
        <v>0.12889458479999999</v>
      </c>
      <c r="DP81" s="96">
        <v>0.13351178550000001</v>
      </c>
      <c r="DQ81" s="96">
        <v>0.13713108230000001</v>
      </c>
      <c r="DR81" s="96">
        <v>0.1400279405</v>
      </c>
      <c r="DS81" s="97">
        <v>0.14240638980000001</v>
      </c>
      <c r="DT81" s="93">
        <v>142.17976899999999</v>
      </c>
      <c r="DU81" s="80">
        <v>0.97271172689999996</v>
      </c>
      <c r="DV81" s="80">
        <v>87.665673147999996</v>
      </c>
      <c r="DW81" s="80">
        <v>0.61177074109999996</v>
      </c>
      <c r="DX81" s="80">
        <v>54.564803456999996</v>
      </c>
      <c r="DY81" s="80">
        <v>0.38736453710000002</v>
      </c>
      <c r="DZ81" s="80">
        <v>34.518974647999997</v>
      </c>
      <c r="EA81" s="80">
        <v>0.2496197758</v>
      </c>
      <c r="EB81" s="80">
        <v>22.390879786999999</v>
      </c>
      <c r="EC81" s="80">
        <v>0.1655913259</v>
      </c>
      <c r="ED81" s="80">
        <v>14.951391445000001</v>
      </c>
      <c r="EE81" s="80">
        <v>0.1137227516</v>
      </c>
      <c r="EF81" s="80">
        <v>10.268728253999999</v>
      </c>
      <c r="EG81" s="80">
        <v>8.0910384200000005E-2</v>
      </c>
      <c r="EH81" s="80">
        <v>7.2482858508000003</v>
      </c>
      <c r="EI81" s="80">
        <v>5.9608890599999999E-2</v>
      </c>
      <c r="EJ81" s="80">
        <v>5.2450811554000003</v>
      </c>
      <c r="EK81" s="80">
        <v>4.5316480100000001E-2</v>
      </c>
      <c r="EL81" s="80">
        <v>3.8870925203</v>
      </c>
      <c r="EM81" s="94">
        <v>3.54633642E-2</v>
      </c>
      <c r="EN81" s="80"/>
      <c r="EO81" s="80"/>
      <c r="EP81" s="80"/>
      <c r="EQ81" s="80"/>
      <c r="ER81" s="80"/>
      <c r="ES81" s="80"/>
      <c r="ET81" s="80"/>
      <c r="EU81" s="80"/>
      <c r="EV81" s="80"/>
      <c r="EW81" s="94"/>
    </row>
    <row r="82" spans="1:153" x14ac:dyDescent="0.2">
      <c r="A82" s="79">
        <v>200000</v>
      </c>
      <c r="B82" s="27">
        <v>13300</v>
      </c>
      <c r="C82" s="79">
        <v>5884.7970555000002</v>
      </c>
      <c r="D82" s="27">
        <v>135528.84332000001</v>
      </c>
      <c r="E82" s="27">
        <v>345.76776985999999</v>
      </c>
      <c r="F82" s="27">
        <v>0.178882447</v>
      </c>
      <c r="G82" s="79">
        <v>1017.7220692</v>
      </c>
      <c r="H82" s="27">
        <v>5.6609350900000001E-2</v>
      </c>
      <c r="I82" s="27">
        <v>232.90223591</v>
      </c>
      <c r="J82" s="27">
        <v>1.5391029570000001</v>
      </c>
      <c r="K82" s="27">
        <f t="shared" si="13"/>
        <v>151.32336329466227</v>
      </c>
      <c r="L82" s="27">
        <v>201.00930975</v>
      </c>
      <c r="M82" s="27">
        <v>1.1464679287999999</v>
      </c>
      <c r="N82" s="27">
        <v>69.238151631999997</v>
      </c>
      <c r="O82" s="27">
        <v>0.50589821940000002</v>
      </c>
      <c r="P82" s="80" t="s">
        <v>136</v>
      </c>
      <c r="Q82" s="80">
        <v>0</v>
      </c>
      <c r="R82" s="27">
        <v>204.47602789000001</v>
      </c>
      <c r="S82" s="27">
        <v>0.26778286849999999</v>
      </c>
      <c r="T82" s="80" t="s">
        <v>136</v>
      </c>
      <c r="U82" s="80">
        <v>0</v>
      </c>
      <c r="V82" s="80" t="s">
        <v>136</v>
      </c>
      <c r="W82" s="80">
        <v>0</v>
      </c>
      <c r="X82" s="27">
        <v>4.0536711507999996</v>
      </c>
      <c r="Y82" s="27">
        <v>3.27377638E-2</v>
      </c>
      <c r="Z82" s="27">
        <v>154.62009280999999</v>
      </c>
      <c r="AA82" s="27">
        <v>2.6341683977999999</v>
      </c>
      <c r="AB82" s="80" t="s">
        <v>136</v>
      </c>
      <c r="AC82" s="80">
        <v>0</v>
      </c>
      <c r="AD82" s="27">
        <v>2.7823866000000002E-3</v>
      </c>
      <c r="AE82" s="27">
        <v>1.07198E-5</v>
      </c>
      <c r="AF82" s="80" t="s">
        <v>136</v>
      </c>
      <c r="AG82" s="80">
        <v>0</v>
      </c>
      <c r="AH82" s="80" t="s">
        <v>136</v>
      </c>
      <c r="AI82" s="80">
        <v>0</v>
      </c>
      <c r="AJ82" s="27">
        <f t="shared" si="9"/>
        <v>2.7823866000000002E-3</v>
      </c>
      <c r="AK82" s="27">
        <f t="shared" si="10"/>
        <v>1.07198E-5</v>
      </c>
      <c r="AL82" s="27">
        <v>210.48110918</v>
      </c>
      <c r="AM82" s="27">
        <v>2.3953192474999998</v>
      </c>
      <c r="AN82" s="80" t="s">
        <v>136</v>
      </c>
      <c r="AO82" s="80">
        <v>0</v>
      </c>
      <c r="AP82" s="80" t="s">
        <v>136</v>
      </c>
      <c r="AQ82" s="80">
        <v>0</v>
      </c>
      <c r="AR82" s="80" t="s">
        <v>136</v>
      </c>
      <c r="AS82" s="80">
        <v>0</v>
      </c>
      <c r="AT82" s="27">
        <v>194.66330249000001</v>
      </c>
      <c r="AU82" s="27">
        <v>4.7530804608999997</v>
      </c>
      <c r="AV82" s="27">
        <v>251.43232943999999</v>
      </c>
      <c r="AW82" s="27">
        <v>1.2610710341</v>
      </c>
      <c r="AX82" s="27">
        <v>101.68978824</v>
      </c>
      <c r="AY82" s="27">
        <v>0.77147569319999998</v>
      </c>
      <c r="AZ82" s="27">
        <v>22.551904575999998</v>
      </c>
      <c r="BA82" s="27">
        <v>0.15726665279999999</v>
      </c>
      <c r="BB82" s="80">
        <f t="shared" si="11"/>
        <v>127.19063662399999</v>
      </c>
      <c r="BC82" s="80">
        <f t="shared" si="12"/>
        <v>0.33232868810000005</v>
      </c>
      <c r="BD82" s="27">
        <v>3.4746558087000001</v>
      </c>
      <c r="BE82" s="27">
        <v>5.0302680000000001E-4</v>
      </c>
      <c r="BF82" s="27">
        <v>1241.6157341999999</v>
      </c>
      <c r="BG82" s="27">
        <v>5.1090338000999997</v>
      </c>
      <c r="BH82" s="27">
        <v>0.19877499239999999</v>
      </c>
      <c r="BI82" s="27">
        <v>6.7364167999999997E-3</v>
      </c>
      <c r="BJ82" s="27">
        <v>219.31773537999999</v>
      </c>
      <c r="BK82" s="27">
        <v>6.0911971683999999</v>
      </c>
      <c r="BL82" s="27">
        <v>721.09195390000002</v>
      </c>
      <c r="BM82" s="27">
        <v>3.9632587457000001</v>
      </c>
      <c r="BN82" s="27">
        <v>137.34492327000001</v>
      </c>
      <c r="BO82" s="27">
        <v>0.44922466849999998</v>
      </c>
      <c r="BP82" s="27">
        <v>120.14888541000001</v>
      </c>
      <c r="BQ82" s="27">
        <v>4.0269342299999997E-2</v>
      </c>
      <c r="BR82" s="27">
        <v>0</v>
      </c>
      <c r="BS82" s="92">
        <v>0</v>
      </c>
      <c r="BT82" s="80" t="s">
        <v>136</v>
      </c>
      <c r="BU82" s="80">
        <v>0</v>
      </c>
      <c r="BV82" s="27">
        <v>4.9784525071000001</v>
      </c>
      <c r="BW82" s="27">
        <v>3.2068556599999999E-2</v>
      </c>
      <c r="BX82" s="27">
        <v>64.259699124999997</v>
      </c>
      <c r="BY82" s="27">
        <v>0.4738296628</v>
      </c>
      <c r="BZ82" s="80" t="s">
        <v>136</v>
      </c>
      <c r="CA82" s="80">
        <v>0</v>
      </c>
      <c r="CB82" s="80" t="s">
        <v>136</v>
      </c>
      <c r="CC82" s="80">
        <v>0</v>
      </c>
      <c r="CD82" s="27">
        <v>125.68708735</v>
      </c>
      <c r="CE82" s="27">
        <v>8.9791809200000003E-2</v>
      </c>
      <c r="CF82" s="27">
        <v>78.788940541000002</v>
      </c>
      <c r="CG82" s="27">
        <v>0.1779910593</v>
      </c>
      <c r="CH82" s="80" t="s">
        <v>136</v>
      </c>
      <c r="CI82" s="80">
        <v>0</v>
      </c>
      <c r="CJ82" s="80" t="s">
        <v>136</v>
      </c>
      <c r="CK82" s="80">
        <v>0</v>
      </c>
      <c r="CL82" s="80" t="s">
        <v>136</v>
      </c>
      <c r="CM82" s="80">
        <v>0</v>
      </c>
      <c r="CN82" s="80" t="s">
        <v>136</v>
      </c>
      <c r="CO82" s="80">
        <v>0</v>
      </c>
      <c r="CP82" s="27">
        <v>2.0266898757999998</v>
      </c>
      <c r="CQ82" s="27">
        <v>1.4255394899999999E-2</v>
      </c>
      <c r="CR82" s="27">
        <v>2.0269812749999998</v>
      </c>
      <c r="CS82" s="27">
        <v>1.8482368799999999E-2</v>
      </c>
      <c r="CT82" s="27">
        <v>39.265867948</v>
      </c>
      <c r="CU82" s="27">
        <v>0.26573639389999998</v>
      </c>
      <c r="CV82" s="27">
        <v>115.35422486</v>
      </c>
      <c r="CW82" s="27">
        <v>2.3684320039000002</v>
      </c>
      <c r="CX82" s="80" t="s">
        <v>136</v>
      </c>
      <c r="CY82" s="80">
        <v>0</v>
      </c>
      <c r="CZ82" s="80" t="s">
        <v>136</v>
      </c>
      <c r="DA82" s="80">
        <v>0</v>
      </c>
      <c r="DB82" s="27">
        <v>79.915286940000001</v>
      </c>
      <c r="DC82" s="27">
        <v>1.1188347858000001</v>
      </c>
      <c r="DD82" s="27">
        <v>114.74801555000001</v>
      </c>
      <c r="DE82" s="27">
        <v>3.6342456750999999</v>
      </c>
      <c r="DF82" s="27">
        <v>587.57061838000004</v>
      </c>
      <c r="DG82" s="27">
        <v>2.3805512182999999</v>
      </c>
      <c r="DH82" s="27">
        <v>654.04511587000002</v>
      </c>
      <c r="DI82" s="27">
        <v>2.7284825817999998</v>
      </c>
      <c r="DJ82" s="95">
        <v>4.67322129E-2</v>
      </c>
      <c r="DK82" s="96">
        <v>8.4812255200000006E-2</v>
      </c>
      <c r="DL82" s="96">
        <v>0.1089325102</v>
      </c>
      <c r="DM82" s="96">
        <v>0.12387585330000001</v>
      </c>
      <c r="DN82" s="96">
        <v>0.13416920630000001</v>
      </c>
      <c r="DO82" s="96">
        <v>0.1420422771</v>
      </c>
      <c r="DP82" s="96">
        <v>0.14822966539999999</v>
      </c>
      <c r="DQ82" s="96">
        <v>0.15327429279999999</v>
      </c>
      <c r="DR82" s="96">
        <v>0.15746244409999999</v>
      </c>
      <c r="DS82" s="97">
        <v>0.1610255947</v>
      </c>
      <c r="DT82" s="93">
        <v>144.04944388000001</v>
      </c>
      <c r="DU82" s="80">
        <v>0.97942404130000005</v>
      </c>
      <c r="DV82" s="80">
        <v>89.338405550999994</v>
      </c>
      <c r="DW82" s="80">
        <v>0.61772981530000004</v>
      </c>
      <c r="DX82" s="80">
        <v>56.028033553</v>
      </c>
      <c r="DY82" s="80">
        <v>0.39246789630000001</v>
      </c>
      <c r="DZ82" s="80">
        <v>35.781636657</v>
      </c>
      <c r="EA82" s="80">
        <v>0.2539011913</v>
      </c>
      <c r="EB82" s="80">
        <v>23.46858619</v>
      </c>
      <c r="EC82" s="80">
        <v>0.1691171309</v>
      </c>
      <c r="ED82" s="80">
        <v>15.864618177000001</v>
      </c>
      <c r="EE82" s="80">
        <v>0.1166063608</v>
      </c>
      <c r="EF82" s="80">
        <v>11.042929328</v>
      </c>
      <c r="EG82" s="80">
        <v>8.3275167100000005E-2</v>
      </c>
      <c r="EH82" s="80">
        <v>7.9005321571999998</v>
      </c>
      <c r="EI82" s="80">
        <v>6.1547840499999999E-2</v>
      </c>
      <c r="EJ82" s="80">
        <v>5.7938219950000001</v>
      </c>
      <c r="EK82" s="80">
        <v>4.6911481499999998E-2</v>
      </c>
      <c r="EL82" s="80">
        <v>4.3507523555000001</v>
      </c>
      <c r="EM82" s="94">
        <v>3.6774931400000002E-2</v>
      </c>
      <c r="EN82" s="80"/>
      <c r="EO82" s="80"/>
      <c r="EP82" s="80"/>
      <c r="EQ82" s="80"/>
      <c r="ER82" s="80"/>
      <c r="ES82" s="80"/>
      <c r="ET82" s="80"/>
      <c r="EU82" s="80"/>
      <c r="EV82" s="80"/>
      <c r="EW82" s="94"/>
    </row>
    <row r="83" spans="1:153" x14ac:dyDescent="0.2">
      <c r="A83" s="79">
        <v>300000</v>
      </c>
      <c r="B83" s="27">
        <v>3069</v>
      </c>
      <c r="C83" s="79">
        <v>5975.4737574000001</v>
      </c>
      <c r="D83" s="27">
        <v>239942.79032</v>
      </c>
      <c r="E83" s="27">
        <v>349.20209621999999</v>
      </c>
      <c r="F83" s="27">
        <v>0.179748983</v>
      </c>
      <c r="G83" s="79">
        <v>1111.7173404</v>
      </c>
      <c r="H83" s="27">
        <v>5.8401314500000003E-2</v>
      </c>
      <c r="I83" s="27">
        <v>233.67656848999999</v>
      </c>
      <c r="J83" s="27">
        <v>1.5408719366999999</v>
      </c>
      <c r="K83" s="27">
        <f t="shared" si="13"/>
        <v>151.65216714274916</v>
      </c>
      <c r="L83" s="27">
        <v>205.67259884000001</v>
      </c>
      <c r="M83" s="27">
        <v>1.1520977344000001</v>
      </c>
      <c r="N83" s="27">
        <v>69.330801192999999</v>
      </c>
      <c r="O83" s="27">
        <v>0.50645146129999996</v>
      </c>
      <c r="P83" s="80" t="s">
        <v>136</v>
      </c>
      <c r="Q83" s="80">
        <v>0</v>
      </c>
      <c r="R83" s="27">
        <v>209.83020163</v>
      </c>
      <c r="S83" s="27">
        <v>0.2736416948</v>
      </c>
      <c r="T83" s="80" t="s">
        <v>136</v>
      </c>
      <c r="U83" s="80">
        <v>0</v>
      </c>
      <c r="V83" s="80" t="s">
        <v>136</v>
      </c>
      <c r="W83" s="80">
        <v>0</v>
      </c>
      <c r="X83" s="27">
        <v>4.2181145375</v>
      </c>
      <c r="Y83" s="27">
        <v>3.3574812099999997E-2</v>
      </c>
      <c r="Z83" s="27">
        <v>155.36655046000001</v>
      </c>
      <c r="AA83" s="27">
        <v>2.6389458286999998</v>
      </c>
      <c r="AB83" s="80" t="s">
        <v>136</v>
      </c>
      <c r="AC83" s="80">
        <v>0</v>
      </c>
      <c r="AD83" s="27">
        <v>2.8220209E-3</v>
      </c>
      <c r="AE83" s="27">
        <v>1.0987300000000001E-5</v>
      </c>
      <c r="AF83" s="80" t="s">
        <v>136</v>
      </c>
      <c r="AG83" s="80">
        <v>0</v>
      </c>
      <c r="AH83" s="80" t="s">
        <v>136</v>
      </c>
      <c r="AI83" s="80">
        <v>0</v>
      </c>
      <c r="AJ83" s="27">
        <f t="shared" si="9"/>
        <v>2.8220209E-3</v>
      </c>
      <c r="AK83" s="27">
        <f t="shared" si="10"/>
        <v>1.0987300000000001E-5</v>
      </c>
      <c r="AL83" s="27">
        <v>210.93365542999999</v>
      </c>
      <c r="AM83" s="27">
        <v>2.4008872834999999</v>
      </c>
      <c r="AN83" s="80" t="s">
        <v>136</v>
      </c>
      <c r="AO83" s="80">
        <v>0</v>
      </c>
      <c r="AP83" s="80" t="s">
        <v>136</v>
      </c>
      <c r="AQ83" s="80">
        <v>0</v>
      </c>
      <c r="AR83" s="80" t="s">
        <v>136</v>
      </c>
      <c r="AS83" s="80">
        <v>0</v>
      </c>
      <c r="AT83" s="27">
        <v>197.84119193000001</v>
      </c>
      <c r="AU83" s="27">
        <v>4.8039175769</v>
      </c>
      <c r="AV83" s="27">
        <v>260.10112621000002</v>
      </c>
      <c r="AW83" s="27">
        <v>1.2768018467</v>
      </c>
      <c r="AX83" s="27">
        <v>104.10645236000001</v>
      </c>
      <c r="AY83" s="27">
        <v>0.77998753170000001</v>
      </c>
      <c r="AZ83" s="27">
        <v>22.611665179999999</v>
      </c>
      <c r="BA83" s="27">
        <v>0.15752100569999999</v>
      </c>
      <c r="BB83" s="80">
        <f t="shared" si="11"/>
        <v>133.38300867000001</v>
      </c>
      <c r="BC83" s="80">
        <f t="shared" si="12"/>
        <v>0.3392933092999999</v>
      </c>
      <c r="BD83" s="27">
        <v>4.2791148178</v>
      </c>
      <c r="BE83" s="27">
        <v>5.8787360000000003E-4</v>
      </c>
      <c r="BF83" s="27">
        <v>1296.6954657000001</v>
      </c>
      <c r="BG83" s="27">
        <v>5.2085940107999997</v>
      </c>
      <c r="BH83" s="27">
        <v>0.21437072500000001</v>
      </c>
      <c r="BI83" s="27">
        <v>8.1417217E-3</v>
      </c>
      <c r="BJ83" s="27">
        <v>220.2368654</v>
      </c>
      <c r="BK83" s="27">
        <v>6.1053168813000003</v>
      </c>
      <c r="BL83" s="27">
        <v>724.72823837999999</v>
      </c>
      <c r="BM83" s="27">
        <v>3.9740154432999999</v>
      </c>
      <c r="BN83" s="27">
        <v>138.26482985000001</v>
      </c>
      <c r="BO83" s="27">
        <v>0.45027228689999999</v>
      </c>
      <c r="BP83" s="27">
        <v>124.88838729</v>
      </c>
      <c r="BQ83" s="27">
        <v>4.1129464300000002E-2</v>
      </c>
      <c r="BR83" s="27">
        <v>0</v>
      </c>
      <c r="BS83" s="92">
        <v>0</v>
      </c>
      <c r="BT83" s="80" t="s">
        <v>136</v>
      </c>
      <c r="BU83" s="80">
        <v>0</v>
      </c>
      <c r="BV83" s="27">
        <v>5.0005805033000001</v>
      </c>
      <c r="BW83" s="27">
        <v>3.2187416699999999E-2</v>
      </c>
      <c r="BX83" s="27">
        <v>64.330220689000001</v>
      </c>
      <c r="BY83" s="27">
        <v>0.47426404459999999</v>
      </c>
      <c r="BZ83" s="80" t="s">
        <v>136</v>
      </c>
      <c r="CA83" s="80">
        <v>0</v>
      </c>
      <c r="CB83" s="80" t="s">
        <v>136</v>
      </c>
      <c r="CC83" s="80">
        <v>0</v>
      </c>
      <c r="CD83" s="27">
        <v>129.65025775000001</v>
      </c>
      <c r="CE83" s="27">
        <v>9.2068121000000003E-2</v>
      </c>
      <c r="CF83" s="27">
        <v>80.179943879000007</v>
      </c>
      <c r="CG83" s="27">
        <v>0.18157357369999999</v>
      </c>
      <c r="CH83" s="80" t="s">
        <v>136</v>
      </c>
      <c r="CI83" s="80">
        <v>0</v>
      </c>
      <c r="CJ83" s="80" t="s">
        <v>136</v>
      </c>
      <c r="CK83" s="80">
        <v>0</v>
      </c>
      <c r="CL83" s="80" t="s">
        <v>136</v>
      </c>
      <c r="CM83" s="80">
        <v>0</v>
      </c>
      <c r="CN83" s="80" t="s">
        <v>136</v>
      </c>
      <c r="CO83" s="80">
        <v>0</v>
      </c>
      <c r="CP83" s="27">
        <v>2.1885185961000002</v>
      </c>
      <c r="CQ83" s="27">
        <v>1.5069272099999999E-2</v>
      </c>
      <c r="CR83" s="27">
        <v>2.0295959414000002</v>
      </c>
      <c r="CS83" s="27">
        <v>1.85055399E-2</v>
      </c>
      <c r="CT83" s="27">
        <v>39.870478122000002</v>
      </c>
      <c r="CU83" s="27">
        <v>0.26892900689999999</v>
      </c>
      <c r="CV83" s="27">
        <v>115.49607233</v>
      </c>
      <c r="CW83" s="27">
        <v>2.3700168218000002</v>
      </c>
      <c r="CX83" s="80" t="s">
        <v>136</v>
      </c>
      <c r="CY83" s="80">
        <v>0</v>
      </c>
      <c r="CZ83" s="80" t="s">
        <v>136</v>
      </c>
      <c r="DA83" s="80">
        <v>0</v>
      </c>
      <c r="DB83" s="27">
        <v>82.091072109999999</v>
      </c>
      <c r="DC83" s="27">
        <v>1.1424818267000001</v>
      </c>
      <c r="DD83" s="27">
        <v>115.75011981999999</v>
      </c>
      <c r="DE83" s="27">
        <v>3.6614357502999999</v>
      </c>
      <c r="DF83" s="27">
        <v>619.43665010999996</v>
      </c>
      <c r="DG83" s="27">
        <v>2.4401170445</v>
      </c>
      <c r="DH83" s="27">
        <v>677.25881561999995</v>
      </c>
      <c r="DI83" s="27">
        <v>2.7684769663000002</v>
      </c>
      <c r="DJ83" s="95">
        <v>4.7363523099999999E-2</v>
      </c>
      <c r="DK83" s="96">
        <v>8.60682948E-2</v>
      </c>
      <c r="DL83" s="96">
        <v>0.110799619</v>
      </c>
      <c r="DM83" s="96">
        <v>0.1263310339</v>
      </c>
      <c r="DN83" s="96">
        <v>0.13719445450000001</v>
      </c>
      <c r="DO83" s="96">
        <v>0.14561020729999999</v>
      </c>
      <c r="DP83" s="96">
        <v>0.15231673670000001</v>
      </c>
      <c r="DQ83" s="96">
        <v>0.15785770800000001</v>
      </c>
      <c r="DR83" s="96">
        <v>0.16251805250000001</v>
      </c>
      <c r="DS83" s="97">
        <v>0.16653297889999999</v>
      </c>
      <c r="DT83" s="93">
        <v>144.77122080999999</v>
      </c>
      <c r="DU83" s="80">
        <v>0.98108394740000004</v>
      </c>
      <c r="DV83" s="80">
        <v>90.000538753000001</v>
      </c>
      <c r="DW83" s="80">
        <v>0.61923495299999998</v>
      </c>
      <c r="DX83" s="80">
        <v>56.627846486000003</v>
      </c>
      <c r="DY83" s="80">
        <v>0.3937983746</v>
      </c>
      <c r="DZ83" s="80">
        <v>36.322018434999997</v>
      </c>
      <c r="EA83" s="80">
        <v>0.25505686129999999</v>
      </c>
      <c r="EB83" s="80">
        <v>23.953101400000001</v>
      </c>
      <c r="EC83" s="80">
        <v>0.1701167308</v>
      </c>
      <c r="ED83" s="80">
        <v>16.296585735000001</v>
      </c>
      <c r="EE83" s="80">
        <v>0.1174625368</v>
      </c>
      <c r="EF83" s="80">
        <v>11.42577558</v>
      </c>
      <c r="EG83" s="80">
        <v>8.4005072E-2</v>
      </c>
      <c r="EH83" s="80">
        <v>8.2399252292000007</v>
      </c>
      <c r="EI83" s="80">
        <v>6.2170702899999999E-2</v>
      </c>
      <c r="EJ83" s="80">
        <v>6.0936820187</v>
      </c>
      <c r="EK83" s="80">
        <v>4.7443889599999997E-2</v>
      </c>
      <c r="EL83" s="80">
        <v>4.6136959812000002</v>
      </c>
      <c r="EM83" s="94">
        <v>3.7232316799999998E-2</v>
      </c>
      <c r="EN83" s="80"/>
      <c r="EO83" s="80"/>
      <c r="EP83" s="80"/>
      <c r="EQ83" s="80"/>
      <c r="ER83" s="80"/>
      <c r="ES83" s="80"/>
      <c r="ET83" s="80"/>
      <c r="EU83" s="80"/>
      <c r="EV83" s="80"/>
      <c r="EW83" s="94"/>
    </row>
    <row r="84" spans="1:153" x14ac:dyDescent="0.2">
      <c r="A84" s="79">
        <v>400000</v>
      </c>
      <c r="B84" s="27">
        <v>1021</v>
      </c>
      <c r="C84" s="79">
        <v>6017.3736744999997</v>
      </c>
      <c r="D84" s="27">
        <v>342869.84759000002</v>
      </c>
      <c r="E84" s="27">
        <v>350.43878659000001</v>
      </c>
      <c r="F84" s="27">
        <v>0.18001778369999999</v>
      </c>
      <c r="G84" s="79">
        <v>1160.1108712</v>
      </c>
      <c r="H84" s="27">
        <v>5.9153542699999999E-2</v>
      </c>
      <c r="I84" s="27">
        <v>233.90382149999999</v>
      </c>
      <c r="J84" s="27">
        <v>1.5414016364000001</v>
      </c>
      <c r="K84" s="27">
        <f t="shared" si="13"/>
        <v>151.74748487116631</v>
      </c>
      <c r="L84" s="27">
        <v>206.88909201000001</v>
      </c>
      <c r="M84" s="27">
        <v>1.1539731318999999</v>
      </c>
      <c r="N84" s="27">
        <v>69.359186966999999</v>
      </c>
      <c r="O84" s="27">
        <v>0.50659937440000002</v>
      </c>
      <c r="P84" s="80" t="s">
        <v>136</v>
      </c>
      <c r="Q84" s="80">
        <v>0</v>
      </c>
      <c r="R84" s="27">
        <v>211.90646203</v>
      </c>
      <c r="S84" s="27">
        <v>0.27572623740000002</v>
      </c>
      <c r="T84" s="80" t="s">
        <v>136</v>
      </c>
      <c r="U84" s="80">
        <v>0</v>
      </c>
      <c r="V84" s="80" t="s">
        <v>136</v>
      </c>
      <c r="W84" s="80">
        <v>0</v>
      </c>
      <c r="X84" s="27">
        <v>4.2633959724999997</v>
      </c>
      <c r="Y84" s="27">
        <v>3.3978245900000002E-2</v>
      </c>
      <c r="Z84" s="27">
        <v>155.60645083</v>
      </c>
      <c r="AA84" s="27">
        <v>2.6402939846</v>
      </c>
      <c r="AB84" s="80" t="s">
        <v>136</v>
      </c>
      <c r="AC84" s="80">
        <v>0</v>
      </c>
      <c r="AD84" s="27">
        <v>2.8209009000000002E-3</v>
      </c>
      <c r="AE84" s="27">
        <v>1.0982899999999999E-5</v>
      </c>
      <c r="AF84" s="80" t="s">
        <v>136</v>
      </c>
      <c r="AG84" s="80">
        <v>0</v>
      </c>
      <c r="AH84" s="80" t="s">
        <v>136</v>
      </c>
      <c r="AI84" s="80">
        <v>0</v>
      </c>
      <c r="AJ84" s="27">
        <f t="shared" si="9"/>
        <v>2.8209009000000002E-3</v>
      </c>
      <c r="AK84" s="27">
        <f t="shared" si="10"/>
        <v>1.0982899999999999E-5</v>
      </c>
      <c r="AL84" s="27">
        <v>211.10271785</v>
      </c>
      <c r="AM84" s="27">
        <v>2.4031286164000001</v>
      </c>
      <c r="AN84" s="80" t="s">
        <v>136</v>
      </c>
      <c r="AO84" s="80">
        <v>0</v>
      </c>
      <c r="AP84" s="80" t="s">
        <v>136</v>
      </c>
      <c r="AQ84" s="80">
        <v>0</v>
      </c>
      <c r="AR84" s="80" t="s">
        <v>136</v>
      </c>
      <c r="AS84" s="80">
        <v>0</v>
      </c>
      <c r="AT84" s="27">
        <v>199.30716774999999</v>
      </c>
      <c r="AU84" s="27">
        <v>4.8264165425999996</v>
      </c>
      <c r="AV84" s="27">
        <v>263.10182257000002</v>
      </c>
      <c r="AW84" s="27">
        <v>1.2818914103000001</v>
      </c>
      <c r="AX84" s="27">
        <v>104.96578854000001</v>
      </c>
      <c r="AY84" s="27">
        <v>0.78279812680000005</v>
      </c>
      <c r="AZ84" s="27">
        <v>22.642749341999998</v>
      </c>
      <c r="BA84" s="27">
        <v>0.15763235989999999</v>
      </c>
      <c r="BB84" s="80">
        <f t="shared" si="11"/>
        <v>135.49328468800002</v>
      </c>
      <c r="BC84" s="80">
        <f t="shared" si="12"/>
        <v>0.34146092360000002</v>
      </c>
      <c r="BD84" s="27">
        <v>4.5659377284999998</v>
      </c>
      <c r="BE84" s="27">
        <v>6.2094690000000002E-4</v>
      </c>
      <c r="BF84" s="27">
        <v>1323.0542975999999</v>
      </c>
      <c r="BG84" s="27">
        <v>5.2486753439999996</v>
      </c>
      <c r="BH84" s="27">
        <v>0.22264872490000001</v>
      </c>
      <c r="BI84" s="27">
        <v>8.6632131000000008E-3</v>
      </c>
      <c r="BJ84" s="27">
        <v>220.50258217999999</v>
      </c>
      <c r="BK84" s="27">
        <v>6.1096035915</v>
      </c>
      <c r="BL84" s="27">
        <v>726.19454954000003</v>
      </c>
      <c r="BM84" s="27">
        <v>3.9776924608000002</v>
      </c>
      <c r="BN84" s="27">
        <v>138.48496548</v>
      </c>
      <c r="BO84" s="27">
        <v>0.45054433589999998</v>
      </c>
      <c r="BP84" s="27">
        <v>126.45339291000001</v>
      </c>
      <c r="BQ84" s="27">
        <v>4.1399734600000002E-2</v>
      </c>
      <c r="BR84" s="27">
        <v>0</v>
      </c>
      <c r="BS84" s="92">
        <v>0</v>
      </c>
      <c r="BT84" s="80" t="s">
        <v>136</v>
      </c>
      <c r="BU84" s="80">
        <v>0</v>
      </c>
      <c r="BV84" s="27">
        <v>5.0115660443000003</v>
      </c>
      <c r="BW84" s="27">
        <v>3.2231786700000001E-2</v>
      </c>
      <c r="BX84" s="27">
        <v>64.347620922999994</v>
      </c>
      <c r="BY84" s="27">
        <v>0.47436758769999998</v>
      </c>
      <c r="BZ84" s="80" t="s">
        <v>136</v>
      </c>
      <c r="CA84" s="80">
        <v>0</v>
      </c>
      <c r="CB84" s="80" t="s">
        <v>136</v>
      </c>
      <c r="CC84" s="80">
        <v>0</v>
      </c>
      <c r="CD84" s="27">
        <v>131.26982792000001</v>
      </c>
      <c r="CE84" s="27">
        <v>9.29506945E-2</v>
      </c>
      <c r="CF84" s="27">
        <v>80.636634111999996</v>
      </c>
      <c r="CG84" s="27">
        <v>0.1827755429</v>
      </c>
      <c r="CH84" s="80" t="s">
        <v>136</v>
      </c>
      <c r="CI84" s="80">
        <v>0</v>
      </c>
      <c r="CJ84" s="80" t="s">
        <v>136</v>
      </c>
      <c r="CK84" s="80">
        <v>0</v>
      </c>
      <c r="CL84" s="80" t="s">
        <v>136</v>
      </c>
      <c r="CM84" s="80">
        <v>0</v>
      </c>
      <c r="CN84" s="80" t="s">
        <v>136</v>
      </c>
      <c r="CO84" s="80">
        <v>0</v>
      </c>
      <c r="CP84" s="27">
        <v>2.2319746664000002</v>
      </c>
      <c r="CQ84" s="27">
        <v>1.5452082000000001E-2</v>
      </c>
      <c r="CR84" s="27">
        <v>2.0314213059999999</v>
      </c>
      <c r="CS84" s="27">
        <v>1.85261639E-2</v>
      </c>
      <c r="CT84" s="27">
        <v>40.087014717999999</v>
      </c>
      <c r="CU84" s="27">
        <v>0.27019059670000001</v>
      </c>
      <c r="CV84" s="27">
        <v>115.51943611</v>
      </c>
      <c r="CW84" s="27">
        <v>2.3701033879</v>
      </c>
      <c r="CX84" s="80" t="s">
        <v>136</v>
      </c>
      <c r="CY84" s="80">
        <v>0</v>
      </c>
      <c r="CZ84" s="80" t="s">
        <v>136</v>
      </c>
      <c r="DA84" s="80">
        <v>0</v>
      </c>
      <c r="DB84" s="27">
        <v>83.219809658000003</v>
      </c>
      <c r="DC84" s="27">
        <v>1.1548561472000001</v>
      </c>
      <c r="DD84" s="27">
        <v>116.0873581</v>
      </c>
      <c r="DE84" s="27">
        <v>3.6715603954999998</v>
      </c>
      <c r="DF84" s="27">
        <v>637.44435914999997</v>
      </c>
      <c r="DG84" s="27">
        <v>2.4669604348999998</v>
      </c>
      <c r="DH84" s="27">
        <v>685.60993844999996</v>
      </c>
      <c r="DI84" s="27">
        <v>2.7817149091000002</v>
      </c>
      <c r="DJ84" s="95">
        <v>4.7575043999999997E-2</v>
      </c>
      <c r="DK84" s="96">
        <v>8.6490817400000003E-2</v>
      </c>
      <c r="DL84" s="96">
        <v>0.1114316801</v>
      </c>
      <c r="DM84" s="96">
        <v>0.12716958480000001</v>
      </c>
      <c r="DN84" s="96">
        <v>0.13823376600000001</v>
      </c>
      <c r="DO84" s="96">
        <v>0.1468456944</v>
      </c>
      <c r="DP84" s="96">
        <v>0.1537438149</v>
      </c>
      <c r="DQ84" s="96">
        <v>0.1594704774</v>
      </c>
      <c r="DR84" s="96">
        <v>0.164313248</v>
      </c>
      <c r="DS84" s="97">
        <v>0.16850839749999999</v>
      </c>
      <c r="DT84" s="93">
        <v>144.98190754999999</v>
      </c>
      <c r="DU84" s="80">
        <v>0.981592201</v>
      </c>
      <c r="DV84" s="80">
        <v>90.191502919000001</v>
      </c>
      <c r="DW84" s="80">
        <v>0.61970125580000002</v>
      </c>
      <c r="DX84" s="80">
        <v>56.801349756999997</v>
      </c>
      <c r="DY84" s="80">
        <v>0.39421742780000002</v>
      </c>
      <c r="DZ84" s="80">
        <v>36.478444027999998</v>
      </c>
      <c r="EA84" s="80">
        <v>0.25542500670000001</v>
      </c>
      <c r="EB84" s="80">
        <v>24.092492661000001</v>
      </c>
      <c r="EC84" s="80">
        <v>0.17043326989999999</v>
      </c>
      <c r="ED84" s="80">
        <v>16.420302942999999</v>
      </c>
      <c r="EE84" s="80">
        <v>0.1177331658</v>
      </c>
      <c r="EF84" s="80">
        <v>11.535379547</v>
      </c>
      <c r="EG84" s="80">
        <v>8.4236783400000001E-2</v>
      </c>
      <c r="EH84" s="80">
        <v>8.3363471133000004</v>
      </c>
      <c r="EI84" s="80">
        <v>6.23690654E-2</v>
      </c>
      <c r="EJ84" s="80">
        <v>6.1781946249999997</v>
      </c>
      <c r="EK84" s="80">
        <v>4.7614580300000001E-2</v>
      </c>
      <c r="EL84" s="80">
        <v>4.6870968269000004</v>
      </c>
      <c r="EM84" s="94">
        <v>3.7379623200000003E-2</v>
      </c>
      <c r="EN84" s="80"/>
      <c r="EO84" s="80"/>
      <c r="EP84" s="80"/>
      <c r="EQ84" s="80"/>
      <c r="ER84" s="80"/>
      <c r="ES84" s="80"/>
      <c r="ET84" s="80"/>
      <c r="EU84" s="80"/>
      <c r="EV84" s="80"/>
      <c r="EW84" s="94"/>
    </row>
    <row r="85" spans="1:153" x14ac:dyDescent="0.2">
      <c r="A85" s="79">
        <v>500000</v>
      </c>
      <c r="B85" s="27">
        <v>478</v>
      </c>
      <c r="C85" s="79">
        <v>6040.6454922000003</v>
      </c>
      <c r="D85" s="27">
        <v>443571.48762999999</v>
      </c>
      <c r="E85" s="27">
        <v>351.13660176000002</v>
      </c>
      <c r="F85" s="27">
        <v>0.18015875949999999</v>
      </c>
      <c r="G85" s="79">
        <v>1190.11447</v>
      </c>
      <c r="H85" s="27">
        <v>5.9546431099999998E-2</v>
      </c>
      <c r="I85" s="27">
        <v>233.99612528</v>
      </c>
      <c r="J85" s="27">
        <v>1.5416610893</v>
      </c>
      <c r="K85" s="27">
        <f t="shared" si="13"/>
        <v>151.78181956077472</v>
      </c>
      <c r="L85" s="27">
        <v>207.27964183</v>
      </c>
      <c r="M85" s="27">
        <v>1.1549418056</v>
      </c>
      <c r="N85" s="27">
        <v>69.374171895000003</v>
      </c>
      <c r="O85" s="27">
        <v>0.50667795849999997</v>
      </c>
      <c r="P85" s="80" t="s">
        <v>136</v>
      </c>
      <c r="Q85" s="80">
        <v>0</v>
      </c>
      <c r="R85" s="27">
        <v>212.76562017000001</v>
      </c>
      <c r="S85" s="27">
        <v>0.27659765990000001</v>
      </c>
      <c r="T85" s="80" t="s">
        <v>136</v>
      </c>
      <c r="U85" s="80">
        <v>0</v>
      </c>
      <c r="V85" s="80" t="s">
        <v>136</v>
      </c>
      <c r="W85" s="80">
        <v>0</v>
      </c>
      <c r="X85" s="27">
        <v>4.3145972750999997</v>
      </c>
      <c r="Y85" s="27">
        <v>3.4215242700000002E-2</v>
      </c>
      <c r="Z85" s="27">
        <v>155.78090007</v>
      </c>
      <c r="AA85" s="27">
        <v>2.6412491143999999</v>
      </c>
      <c r="AB85" s="80" t="s">
        <v>136</v>
      </c>
      <c r="AC85" s="80">
        <v>0</v>
      </c>
      <c r="AD85" s="27">
        <v>2.8801679999999998E-3</v>
      </c>
      <c r="AE85" s="27">
        <v>1.11247E-5</v>
      </c>
      <c r="AF85" s="80" t="s">
        <v>136</v>
      </c>
      <c r="AG85" s="80">
        <v>0</v>
      </c>
      <c r="AH85" s="80" t="s">
        <v>136</v>
      </c>
      <c r="AI85" s="80">
        <v>0</v>
      </c>
      <c r="AJ85" s="27">
        <f t="shared" si="9"/>
        <v>2.8801679999999998E-3</v>
      </c>
      <c r="AK85" s="27">
        <f t="shared" si="10"/>
        <v>1.11247E-5</v>
      </c>
      <c r="AL85" s="27">
        <v>211.20004766</v>
      </c>
      <c r="AM85" s="27">
        <v>2.4043581612999998</v>
      </c>
      <c r="AN85" s="80" t="s">
        <v>136</v>
      </c>
      <c r="AO85" s="80">
        <v>0</v>
      </c>
      <c r="AP85" s="80" t="s">
        <v>136</v>
      </c>
      <c r="AQ85" s="80">
        <v>0</v>
      </c>
      <c r="AR85" s="80" t="s">
        <v>136</v>
      </c>
      <c r="AS85" s="80">
        <v>0</v>
      </c>
      <c r="AT85" s="27">
        <v>200.24569031999999</v>
      </c>
      <c r="AU85" s="27">
        <v>4.8395468224</v>
      </c>
      <c r="AV85" s="27">
        <v>264.03361596000002</v>
      </c>
      <c r="AW85" s="27">
        <v>1.2838133767</v>
      </c>
      <c r="AX85" s="27">
        <v>105.19907399</v>
      </c>
      <c r="AY85" s="27">
        <v>0.78387189859999995</v>
      </c>
      <c r="AZ85" s="27">
        <v>22.662553462999998</v>
      </c>
      <c r="BA85" s="27">
        <v>0.15768289639999999</v>
      </c>
      <c r="BB85" s="80">
        <f t="shared" si="11"/>
        <v>136.17198850700004</v>
      </c>
      <c r="BC85" s="80">
        <f t="shared" si="12"/>
        <v>0.34225858170000001</v>
      </c>
      <c r="BD85" s="27">
        <v>4.7202627673000004</v>
      </c>
      <c r="BE85" s="27">
        <v>6.3499960000000001E-4</v>
      </c>
      <c r="BF85" s="27">
        <v>1339.1939006</v>
      </c>
      <c r="BG85" s="27">
        <v>5.2736057455000003</v>
      </c>
      <c r="BH85" s="27">
        <v>0.22727913890000001</v>
      </c>
      <c r="BI85" s="27">
        <v>8.9358308000000008E-3</v>
      </c>
      <c r="BJ85" s="27">
        <v>220.69021905</v>
      </c>
      <c r="BK85" s="27">
        <v>6.1119653890999999</v>
      </c>
      <c r="BL85" s="27">
        <v>727.13716608000004</v>
      </c>
      <c r="BM85" s="27">
        <v>3.9795191096</v>
      </c>
      <c r="BN85" s="27">
        <v>138.86323851</v>
      </c>
      <c r="BO85" s="27">
        <v>0.4506825558</v>
      </c>
      <c r="BP85" s="27">
        <v>127.64128427</v>
      </c>
      <c r="BQ85" s="27">
        <v>4.1611877899999997E-2</v>
      </c>
      <c r="BR85" s="27">
        <v>0</v>
      </c>
      <c r="BS85" s="92">
        <v>0</v>
      </c>
      <c r="BT85" s="80" t="s">
        <v>136</v>
      </c>
      <c r="BU85" s="80">
        <v>0</v>
      </c>
      <c r="BV85" s="27">
        <v>5.0145676208000003</v>
      </c>
      <c r="BW85" s="27">
        <v>3.2244166400000003E-2</v>
      </c>
      <c r="BX85" s="27">
        <v>64.359604274000006</v>
      </c>
      <c r="BY85" s="27">
        <v>0.47443379209999997</v>
      </c>
      <c r="BZ85" s="80" t="s">
        <v>136</v>
      </c>
      <c r="CA85" s="80">
        <v>0</v>
      </c>
      <c r="CB85" s="80" t="s">
        <v>136</v>
      </c>
      <c r="CC85" s="80">
        <v>0</v>
      </c>
      <c r="CD85" s="27">
        <v>131.87167923999999</v>
      </c>
      <c r="CE85" s="27">
        <v>9.3285721200000005E-2</v>
      </c>
      <c r="CF85" s="27">
        <v>80.893940932999996</v>
      </c>
      <c r="CG85" s="27">
        <v>0.18331193870000001</v>
      </c>
      <c r="CH85" s="80" t="s">
        <v>136</v>
      </c>
      <c r="CI85" s="80">
        <v>0</v>
      </c>
      <c r="CJ85" s="80" t="s">
        <v>136</v>
      </c>
      <c r="CK85" s="80">
        <v>0</v>
      </c>
      <c r="CL85" s="80" t="s">
        <v>136</v>
      </c>
      <c r="CM85" s="80">
        <v>0</v>
      </c>
      <c r="CN85" s="80" t="s">
        <v>136</v>
      </c>
      <c r="CO85" s="80">
        <v>0</v>
      </c>
      <c r="CP85" s="27">
        <v>2.2823533455999998</v>
      </c>
      <c r="CQ85" s="27">
        <v>1.5683058600000001E-2</v>
      </c>
      <c r="CR85" s="27">
        <v>2.0322439295999999</v>
      </c>
      <c r="CS85" s="27">
        <v>1.8532184100000001E-2</v>
      </c>
      <c r="CT85" s="27">
        <v>40.240006712000003</v>
      </c>
      <c r="CU85" s="27">
        <v>0.27093809749999997</v>
      </c>
      <c r="CV85" s="27">
        <v>115.54089336</v>
      </c>
      <c r="CW85" s="27">
        <v>2.3703110169000001</v>
      </c>
      <c r="CX85" s="80" t="s">
        <v>136</v>
      </c>
      <c r="CY85" s="80">
        <v>0</v>
      </c>
      <c r="CZ85" s="80" t="s">
        <v>136</v>
      </c>
      <c r="DA85" s="80">
        <v>0</v>
      </c>
      <c r="DB85" s="27">
        <v>83.936161553999995</v>
      </c>
      <c r="DC85" s="27">
        <v>1.1621831588</v>
      </c>
      <c r="DD85" s="27">
        <v>116.30952877</v>
      </c>
      <c r="DE85" s="27">
        <v>3.6773636636</v>
      </c>
      <c r="DF85" s="27">
        <v>648.83904192</v>
      </c>
      <c r="DG85" s="27">
        <v>2.4847546826000002</v>
      </c>
      <c r="DH85" s="27">
        <v>690.35485872000004</v>
      </c>
      <c r="DI85" s="27">
        <v>2.7888510629000001</v>
      </c>
      <c r="DJ85" s="95">
        <v>4.76739448E-2</v>
      </c>
      <c r="DK85" s="96">
        <v>8.6689356699999998E-2</v>
      </c>
      <c r="DL85" s="96">
        <v>0.1117295743</v>
      </c>
      <c r="DM85" s="96">
        <v>0.1275656604</v>
      </c>
      <c r="DN85" s="96">
        <v>0.13872668160000001</v>
      </c>
      <c r="DO85" s="96">
        <v>0.14743510230000001</v>
      </c>
      <c r="DP85" s="96">
        <v>0.15442842870000001</v>
      </c>
      <c r="DQ85" s="96">
        <v>0.16024970059999999</v>
      </c>
      <c r="DR85" s="96">
        <v>0.1651853996</v>
      </c>
      <c r="DS85" s="97">
        <v>0.1694729431</v>
      </c>
      <c r="DT85" s="93">
        <v>145.06728362000001</v>
      </c>
      <c r="DU85" s="80">
        <v>0.98184073949999995</v>
      </c>
      <c r="DV85" s="80">
        <v>90.268197653000001</v>
      </c>
      <c r="DW85" s="80">
        <v>0.61992791989999996</v>
      </c>
      <c r="DX85" s="80">
        <v>56.868856020000003</v>
      </c>
      <c r="DY85" s="80">
        <v>0.39441819439999998</v>
      </c>
      <c r="DZ85" s="80">
        <v>36.537077437000001</v>
      </c>
      <c r="EA85" s="80">
        <v>0.25560055910000001</v>
      </c>
      <c r="EB85" s="80">
        <v>24.144242380000001</v>
      </c>
      <c r="EC85" s="80">
        <v>0.170585717</v>
      </c>
      <c r="ED85" s="80">
        <v>16.465410932000001</v>
      </c>
      <c r="EE85" s="80">
        <v>0.1178634402</v>
      </c>
      <c r="EF85" s="80">
        <v>11.574350553</v>
      </c>
      <c r="EG85" s="80">
        <v>8.4348062299999998E-2</v>
      </c>
      <c r="EH85" s="80">
        <v>8.3700898329999998</v>
      </c>
      <c r="EI85" s="80">
        <v>6.24645297E-2</v>
      </c>
      <c r="EJ85" s="80">
        <v>6.2074036302</v>
      </c>
      <c r="EK85" s="80">
        <v>4.7698521200000003E-2</v>
      </c>
      <c r="EL85" s="80">
        <v>4.7118855296</v>
      </c>
      <c r="EM85" s="94">
        <v>3.7452720199999998E-2</v>
      </c>
      <c r="EN85" s="80"/>
      <c r="EO85" s="80"/>
      <c r="EP85" s="80"/>
      <c r="EQ85" s="80"/>
      <c r="ER85" s="80"/>
      <c r="ES85" s="80"/>
      <c r="ET85" s="80"/>
      <c r="EU85" s="80"/>
      <c r="EV85" s="80"/>
      <c r="EW85" s="94"/>
    </row>
    <row r="86" spans="1:153" x14ac:dyDescent="0.2">
      <c r="A86" s="79">
        <v>1000000</v>
      </c>
      <c r="B86" s="27">
        <v>598</v>
      </c>
      <c r="C86" s="79">
        <v>6075.9955989</v>
      </c>
      <c r="D86" s="27">
        <v>648500.43969000003</v>
      </c>
      <c r="E86" s="27">
        <v>351.79545115000002</v>
      </c>
      <c r="F86" s="27">
        <v>0.18029897140000001</v>
      </c>
      <c r="G86" s="79">
        <v>1249.0572724000001</v>
      </c>
      <c r="H86" s="27">
        <v>6.0158562899999997E-2</v>
      </c>
      <c r="I86" s="27">
        <v>234.12776224999999</v>
      </c>
      <c r="J86" s="27">
        <v>1.5419379177000001</v>
      </c>
      <c r="K86" s="27">
        <f t="shared" si="13"/>
        <v>151.83994087079188</v>
      </c>
      <c r="L86" s="27">
        <v>207.74026445999999</v>
      </c>
      <c r="M86" s="27">
        <v>1.1559750598</v>
      </c>
      <c r="N86" s="27">
        <v>69.398155055999993</v>
      </c>
      <c r="O86" s="27">
        <v>0.50677366609999996</v>
      </c>
      <c r="P86" s="80" t="s">
        <v>136</v>
      </c>
      <c r="Q86" s="80">
        <v>0</v>
      </c>
      <c r="R86" s="27">
        <v>213.72471716999999</v>
      </c>
      <c r="S86" s="27">
        <v>0.27752773809999998</v>
      </c>
      <c r="T86" s="80" t="s">
        <v>136</v>
      </c>
      <c r="U86" s="80">
        <v>0</v>
      </c>
      <c r="V86" s="80" t="s">
        <v>136</v>
      </c>
      <c r="W86" s="80">
        <v>0</v>
      </c>
      <c r="X86" s="27">
        <v>4.3714070330999997</v>
      </c>
      <c r="Y86" s="27">
        <v>3.4510077700000003E-2</v>
      </c>
      <c r="Z86" s="27">
        <v>156.12768801999999</v>
      </c>
      <c r="AA86" s="27">
        <v>2.6426743489</v>
      </c>
      <c r="AB86" s="80" t="s">
        <v>136</v>
      </c>
      <c r="AC86" s="80">
        <v>0</v>
      </c>
      <c r="AD86" s="27">
        <v>2.8791884000000001E-3</v>
      </c>
      <c r="AE86" s="27">
        <v>1.11208E-5</v>
      </c>
      <c r="AF86" s="80" t="s">
        <v>136</v>
      </c>
      <c r="AG86" s="80">
        <v>0</v>
      </c>
      <c r="AH86" s="80" t="s">
        <v>136</v>
      </c>
      <c r="AI86" s="80">
        <v>0</v>
      </c>
      <c r="AJ86" s="27">
        <f t="shared" si="9"/>
        <v>2.8791884000000001E-3</v>
      </c>
      <c r="AK86" s="27">
        <f t="shared" si="10"/>
        <v>1.11208E-5</v>
      </c>
      <c r="AL86" s="27">
        <v>211.33086584</v>
      </c>
      <c r="AM86" s="27">
        <v>2.4060867791999998</v>
      </c>
      <c r="AN86" s="80" t="s">
        <v>136</v>
      </c>
      <c r="AO86" s="80">
        <v>0</v>
      </c>
      <c r="AP86" s="80" t="s">
        <v>136</v>
      </c>
      <c r="AQ86" s="80">
        <v>0</v>
      </c>
      <c r="AR86" s="80" t="s">
        <v>136</v>
      </c>
      <c r="AS86" s="80">
        <v>0</v>
      </c>
      <c r="AT86" s="27">
        <v>201.71134806000001</v>
      </c>
      <c r="AU86" s="27">
        <v>4.8565943153999998</v>
      </c>
      <c r="AV86" s="27">
        <v>265.16069467</v>
      </c>
      <c r="AW86" s="27">
        <v>1.2862360434</v>
      </c>
      <c r="AX86" s="27">
        <v>105.44028742</v>
      </c>
      <c r="AY86" s="27">
        <v>0.78529586409999996</v>
      </c>
      <c r="AZ86" s="27">
        <v>22.676365513</v>
      </c>
      <c r="BA86" s="27">
        <v>0.1577646365</v>
      </c>
      <c r="BB86" s="80">
        <f t="shared" si="11"/>
        <v>137.04404173699999</v>
      </c>
      <c r="BC86" s="80">
        <f t="shared" si="12"/>
        <v>0.34317554280000007</v>
      </c>
      <c r="BD86" s="27">
        <v>5.1543103922000002</v>
      </c>
      <c r="BE86" s="27">
        <v>6.745516E-4</v>
      </c>
      <c r="BF86" s="27">
        <v>1365.2921805000001</v>
      </c>
      <c r="BG86" s="27">
        <v>5.3051130712000001</v>
      </c>
      <c r="BH86" s="27">
        <v>0.2359682018</v>
      </c>
      <c r="BI86" s="27">
        <v>9.7826452000000005E-3</v>
      </c>
      <c r="BJ86" s="27">
        <v>220.90595105</v>
      </c>
      <c r="BK86" s="27">
        <v>6.114625964</v>
      </c>
      <c r="BL86" s="27">
        <v>728.20367867000004</v>
      </c>
      <c r="BM86" s="27">
        <v>3.9816274534999998</v>
      </c>
      <c r="BN86" s="27">
        <v>139.02277698</v>
      </c>
      <c r="BO86" s="27">
        <v>0.45083395450000002</v>
      </c>
      <c r="BP86" s="27">
        <v>129.48988356000001</v>
      </c>
      <c r="BQ86" s="27">
        <v>4.1815005099999997E-2</v>
      </c>
      <c r="BR86" s="27">
        <v>0</v>
      </c>
      <c r="BS86" s="92">
        <v>0</v>
      </c>
      <c r="BT86" s="80" t="s">
        <v>136</v>
      </c>
      <c r="BU86" s="80">
        <v>0</v>
      </c>
      <c r="BV86" s="27">
        <v>5.0247156939000002</v>
      </c>
      <c r="BW86" s="27">
        <v>3.2262541899999997E-2</v>
      </c>
      <c r="BX86" s="27">
        <v>64.373439361999999</v>
      </c>
      <c r="BY86" s="27">
        <v>0.47451112429999998</v>
      </c>
      <c r="BZ86" s="80" t="s">
        <v>136</v>
      </c>
      <c r="CA86" s="80">
        <v>0</v>
      </c>
      <c r="CB86" s="80" t="s">
        <v>136</v>
      </c>
      <c r="CC86" s="80">
        <v>0</v>
      </c>
      <c r="CD86" s="27">
        <v>132.60208498</v>
      </c>
      <c r="CE86" s="27">
        <v>9.3634347000000007E-2</v>
      </c>
      <c r="CF86" s="27">
        <v>81.122632183999997</v>
      </c>
      <c r="CG86" s="27">
        <v>0.1838933911</v>
      </c>
      <c r="CH86" s="80" t="s">
        <v>136</v>
      </c>
      <c r="CI86" s="80">
        <v>0</v>
      </c>
      <c r="CJ86" s="80" t="s">
        <v>136</v>
      </c>
      <c r="CK86" s="80">
        <v>0</v>
      </c>
      <c r="CL86" s="80" t="s">
        <v>136</v>
      </c>
      <c r="CM86" s="80">
        <v>0</v>
      </c>
      <c r="CN86" s="80" t="s">
        <v>136</v>
      </c>
      <c r="CO86" s="80">
        <v>0</v>
      </c>
      <c r="CP86" s="27">
        <v>2.3362911396000001</v>
      </c>
      <c r="CQ86" s="27">
        <v>1.5957133299999999E-2</v>
      </c>
      <c r="CR86" s="27">
        <v>2.0351158935</v>
      </c>
      <c r="CS86" s="27">
        <v>1.85529444E-2</v>
      </c>
      <c r="CT86" s="27">
        <v>40.540514932999997</v>
      </c>
      <c r="CU86" s="27">
        <v>0.27199345959999999</v>
      </c>
      <c r="CV86" s="27">
        <v>115.58717308999999</v>
      </c>
      <c r="CW86" s="27">
        <v>2.3706808893</v>
      </c>
      <c r="CX86" s="80" t="s">
        <v>136</v>
      </c>
      <c r="CY86" s="80">
        <v>0</v>
      </c>
      <c r="CZ86" s="80" t="s">
        <v>136</v>
      </c>
      <c r="DA86" s="80">
        <v>0</v>
      </c>
      <c r="DB86" s="27">
        <v>85.139591304000007</v>
      </c>
      <c r="DC86" s="27">
        <v>1.1718311101000001</v>
      </c>
      <c r="DD86" s="27">
        <v>116.57175675000001</v>
      </c>
      <c r="DE86" s="27">
        <v>3.6847632052999999</v>
      </c>
      <c r="DF86" s="27">
        <v>666.53009582000004</v>
      </c>
      <c r="DG86" s="27">
        <v>2.5063647117999999</v>
      </c>
      <c r="DH86" s="27">
        <v>698.76208465000002</v>
      </c>
      <c r="DI86" s="27">
        <v>2.7987483594000002</v>
      </c>
      <c r="DJ86" s="95">
        <v>4.7794375100000001E-2</v>
      </c>
      <c r="DK86" s="96">
        <v>8.6930517200000001E-2</v>
      </c>
      <c r="DL86" s="96">
        <v>0.11209138389999999</v>
      </c>
      <c r="DM86" s="96">
        <v>0.12804782009999999</v>
      </c>
      <c r="DN86" s="96">
        <v>0.13932858270000001</v>
      </c>
      <c r="DO86" s="96">
        <v>0.1481563763</v>
      </c>
      <c r="DP86" s="96">
        <v>0.1552672266</v>
      </c>
      <c r="DQ86" s="96">
        <v>0.16120477699999999</v>
      </c>
      <c r="DR86" s="96">
        <v>0.16625376889999999</v>
      </c>
      <c r="DS86" s="97">
        <v>0.17065441789999999</v>
      </c>
      <c r="DT86" s="93">
        <v>145.18717022999999</v>
      </c>
      <c r="DU86" s="80">
        <v>0.98210464490000005</v>
      </c>
      <c r="DV86" s="80">
        <v>90.375936753999994</v>
      </c>
      <c r="DW86" s="80">
        <v>0.62017327489999996</v>
      </c>
      <c r="DX86" s="80">
        <v>56.964003517000002</v>
      </c>
      <c r="DY86" s="80">
        <v>0.39464120450000001</v>
      </c>
      <c r="DZ86" s="80">
        <v>36.619467593000003</v>
      </c>
      <c r="EA86" s="80">
        <v>0.25579856090000003</v>
      </c>
      <c r="EB86" s="80">
        <v>24.214162713</v>
      </c>
      <c r="EC86" s="80">
        <v>0.17075963829999999</v>
      </c>
      <c r="ED86" s="80">
        <v>16.523998023000001</v>
      </c>
      <c r="EE86" s="80">
        <v>0.11801526010000001</v>
      </c>
      <c r="EF86" s="80">
        <v>11.627171058</v>
      </c>
      <c r="EG86" s="80">
        <v>8.4481261500000002E-2</v>
      </c>
      <c r="EH86" s="80">
        <v>8.4174094575999998</v>
      </c>
      <c r="EI86" s="80">
        <v>6.2580181600000007E-2</v>
      </c>
      <c r="EJ86" s="80">
        <v>6.2503954102000003</v>
      </c>
      <c r="EK86" s="80">
        <v>4.7799466700000001E-2</v>
      </c>
      <c r="EL86" s="80">
        <v>4.7509244075000003</v>
      </c>
      <c r="EM86" s="94">
        <v>3.7540726900000002E-2</v>
      </c>
      <c r="EN86" s="80"/>
      <c r="EO86" s="80"/>
      <c r="EP86" s="80"/>
      <c r="EQ86" s="80"/>
      <c r="ER86" s="80"/>
      <c r="ES86" s="80"/>
      <c r="ET86" s="80"/>
      <c r="EU86" s="80"/>
      <c r="EV86" s="80"/>
      <c r="EW86" s="94"/>
    </row>
    <row r="87" spans="1:153" x14ac:dyDescent="0.2">
      <c r="A87" s="79">
        <v>2000000</v>
      </c>
      <c r="B87" s="27">
        <v>105</v>
      </c>
      <c r="C87" s="79">
        <v>6086.6595631</v>
      </c>
      <c r="D87" s="27">
        <v>1343127.7834000001</v>
      </c>
      <c r="E87" s="27">
        <v>351.88451487999998</v>
      </c>
      <c r="F87" s="27">
        <v>0.1803158695</v>
      </c>
      <c r="G87" s="79">
        <v>1273.2992108999999</v>
      </c>
      <c r="H87" s="27">
        <v>6.0281855199999998E-2</v>
      </c>
      <c r="I87" s="27">
        <v>234.13193633</v>
      </c>
      <c r="J87" s="27">
        <v>1.5419497758</v>
      </c>
      <c r="K87" s="27">
        <f t="shared" si="13"/>
        <v>151.84148018603707</v>
      </c>
      <c r="L87" s="27">
        <v>207.79515196</v>
      </c>
      <c r="M87" s="27">
        <v>1.1561698643</v>
      </c>
      <c r="N87" s="27">
        <v>69.400965532000001</v>
      </c>
      <c r="O87" s="27">
        <v>0.50678946430000005</v>
      </c>
      <c r="P87" s="80" t="s">
        <v>136</v>
      </c>
      <c r="Q87" s="80">
        <v>0</v>
      </c>
      <c r="R87" s="27">
        <v>213.78454371000001</v>
      </c>
      <c r="S87" s="27">
        <v>0.2776161875</v>
      </c>
      <c r="T87" s="80" t="s">
        <v>136</v>
      </c>
      <c r="U87" s="80">
        <v>0</v>
      </c>
      <c r="V87" s="80" t="s">
        <v>136</v>
      </c>
      <c r="W87" s="80">
        <v>0</v>
      </c>
      <c r="X87" s="27">
        <v>4.3780330379999999</v>
      </c>
      <c r="Y87" s="27">
        <v>3.4556911799999999E-2</v>
      </c>
      <c r="Z87" s="27">
        <v>156.15202539000001</v>
      </c>
      <c r="AA87" s="27">
        <v>2.6429496225000002</v>
      </c>
      <c r="AB87" s="80" t="s">
        <v>136</v>
      </c>
      <c r="AC87" s="80">
        <v>0</v>
      </c>
      <c r="AD87" s="27">
        <v>2.8788746999999998E-3</v>
      </c>
      <c r="AE87" s="27">
        <v>1.1119599999999999E-5</v>
      </c>
      <c r="AF87" s="80" t="s">
        <v>136</v>
      </c>
      <c r="AG87" s="80">
        <v>0</v>
      </c>
      <c r="AH87" s="80" t="s">
        <v>136</v>
      </c>
      <c r="AI87" s="80">
        <v>0</v>
      </c>
      <c r="AJ87" s="27">
        <f t="shared" si="9"/>
        <v>2.8788746999999998E-3</v>
      </c>
      <c r="AK87" s="27">
        <f t="shared" si="10"/>
        <v>1.1119599999999999E-5</v>
      </c>
      <c r="AL87" s="27">
        <v>211.35044346000001</v>
      </c>
      <c r="AM87" s="27">
        <v>2.4064752669999998</v>
      </c>
      <c r="AN87" s="80" t="s">
        <v>136</v>
      </c>
      <c r="AO87" s="80">
        <v>0</v>
      </c>
      <c r="AP87" s="80" t="s">
        <v>136</v>
      </c>
      <c r="AQ87" s="80">
        <v>0</v>
      </c>
      <c r="AR87" s="80" t="s">
        <v>136</v>
      </c>
      <c r="AS87" s="80">
        <v>0</v>
      </c>
      <c r="AT87" s="27">
        <v>202.14812818999999</v>
      </c>
      <c r="AU87" s="27">
        <v>4.8611352739999996</v>
      </c>
      <c r="AV87" s="27">
        <v>265.24276090000001</v>
      </c>
      <c r="AW87" s="27">
        <v>1.2866367939000001</v>
      </c>
      <c r="AX87" s="27">
        <v>105.4593734</v>
      </c>
      <c r="AY87" s="27">
        <v>0.78558093070000001</v>
      </c>
      <c r="AZ87" s="27">
        <v>22.678612308000002</v>
      </c>
      <c r="BA87" s="27">
        <v>0.15778468270000001</v>
      </c>
      <c r="BB87" s="80">
        <f t="shared" si="11"/>
        <v>137.10477519200001</v>
      </c>
      <c r="BC87" s="80">
        <f t="shared" si="12"/>
        <v>0.34327118050000005</v>
      </c>
      <c r="BD87" s="27">
        <v>5.2151279721000003</v>
      </c>
      <c r="BE87" s="27">
        <v>6.7955960000000003E-4</v>
      </c>
      <c r="BF87" s="27">
        <v>1371.6654963000001</v>
      </c>
      <c r="BG87" s="27">
        <v>5.3097978529000001</v>
      </c>
      <c r="BH87" s="27">
        <v>0.23896127070000001</v>
      </c>
      <c r="BI87" s="27">
        <v>9.8713058000000006E-3</v>
      </c>
      <c r="BJ87" s="27">
        <v>220.93270827000001</v>
      </c>
      <c r="BK87" s="27">
        <v>6.1149870429000002</v>
      </c>
      <c r="BL87" s="27">
        <v>728.37840034999999</v>
      </c>
      <c r="BM87" s="27">
        <v>3.9819217748</v>
      </c>
      <c r="BN87" s="27">
        <v>139.06207254</v>
      </c>
      <c r="BO87" s="27">
        <v>0.4508792304</v>
      </c>
      <c r="BP87" s="27">
        <v>129.66128538000001</v>
      </c>
      <c r="BQ87" s="27">
        <v>4.18452531E-2</v>
      </c>
      <c r="BR87" s="27">
        <v>0</v>
      </c>
      <c r="BS87" s="92">
        <v>0</v>
      </c>
      <c r="BT87" s="80" t="s">
        <v>136</v>
      </c>
      <c r="BU87" s="80">
        <v>0</v>
      </c>
      <c r="BV87" s="27">
        <v>5.0246179578000003</v>
      </c>
      <c r="BW87" s="27">
        <v>3.22619039E-2</v>
      </c>
      <c r="BX87" s="27">
        <v>64.376347573999993</v>
      </c>
      <c r="BY87" s="27">
        <v>0.47452756039999999</v>
      </c>
      <c r="BZ87" s="80" t="s">
        <v>136</v>
      </c>
      <c r="CA87" s="80">
        <v>0</v>
      </c>
      <c r="CB87" s="80" t="s">
        <v>136</v>
      </c>
      <c r="CC87" s="80">
        <v>0</v>
      </c>
      <c r="CD87" s="27">
        <v>132.64863338000001</v>
      </c>
      <c r="CE87" s="27">
        <v>9.3659542700000001E-2</v>
      </c>
      <c r="CF87" s="27">
        <v>81.135910327999994</v>
      </c>
      <c r="CG87" s="27">
        <v>0.1839566447</v>
      </c>
      <c r="CH87" s="80" t="s">
        <v>136</v>
      </c>
      <c r="CI87" s="80">
        <v>0</v>
      </c>
      <c r="CJ87" s="80" t="s">
        <v>136</v>
      </c>
      <c r="CK87" s="80">
        <v>0</v>
      </c>
      <c r="CL87" s="80" t="s">
        <v>136</v>
      </c>
      <c r="CM87" s="80">
        <v>0</v>
      </c>
      <c r="CN87" s="80" t="s">
        <v>136</v>
      </c>
      <c r="CO87" s="80">
        <v>0</v>
      </c>
      <c r="CP87" s="27">
        <v>2.3361937795999999</v>
      </c>
      <c r="CQ87" s="27">
        <v>1.5956542300000001E-2</v>
      </c>
      <c r="CR87" s="27">
        <v>2.0418392584</v>
      </c>
      <c r="CS87" s="27">
        <v>1.8600369499999998E-2</v>
      </c>
      <c r="CT87" s="27">
        <v>40.556753673999999</v>
      </c>
      <c r="CU87" s="27">
        <v>0.27214006349999997</v>
      </c>
      <c r="CV87" s="27">
        <v>115.59527172</v>
      </c>
      <c r="CW87" s="27">
        <v>2.370809559</v>
      </c>
      <c r="CX87" s="80" t="s">
        <v>136</v>
      </c>
      <c r="CY87" s="80">
        <v>0</v>
      </c>
      <c r="CZ87" s="80" t="s">
        <v>136</v>
      </c>
      <c r="DA87" s="80">
        <v>0</v>
      </c>
      <c r="DB87" s="27">
        <v>85.524357308000006</v>
      </c>
      <c r="DC87" s="27">
        <v>1.1745549137</v>
      </c>
      <c r="DD87" s="27">
        <v>116.62377088</v>
      </c>
      <c r="DE87" s="27">
        <v>3.6865803602999998</v>
      </c>
      <c r="DF87" s="27">
        <v>669.43333560999997</v>
      </c>
      <c r="DG87" s="27">
        <v>2.5093022485000001</v>
      </c>
      <c r="DH87" s="27">
        <v>702.23216072000002</v>
      </c>
      <c r="DI87" s="27">
        <v>2.8004956044</v>
      </c>
      <c r="DJ87" s="95">
        <v>4.7814978100000002E-2</v>
      </c>
      <c r="DK87" s="96">
        <v>8.6971537900000007E-2</v>
      </c>
      <c r="DL87" s="96">
        <v>0.1121532994</v>
      </c>
      <c r="DM87" s="96">
        <v>0.1281308954</v>
      </c>
      <c r="DN87" s="96">
        <v>0.13943264129999999</v>
      </c>
      <c r="DO87" s="96">
        <v>0.1482814784</v>
      </c>
      <c r="DP87" s="96">
        <v>0.15541315119999999</v>
      </c>
      <c r="DQ87" s="96">
        <v>0.16137155419999999</v>
      </c>
      <c r="DR87" s="96">
        <v>0.16644142179999999</v>
      </c>
      <c r="DS87" s="97">
        <v>0.1708629639</v>
      </c>
      <c r="DT87" s="93">
        <v>145.19108808999999</v>
      </c>
      <c r="DU87" s="80">
        <v>0.98211812529999998</v>
      </c>
      <c r="DV87" s="80">
        <v>90.379374408000004</v>
      </c>
      <c r="DW87" s="80">
        <v>0.62018641590000001</v>
      </c>
      <c r="DX87" s="80">
        <v>56.966654783000003</v>
      </c>
      <c r="DY87" s="80">
        <v>0.39465206489999999</v>
      </c>
      <c r="DZ87" s="80">
        <v>36.621223550000003</v>
      </c>
      <c r="EA87" s="80">
        <v>0.25580622089999999</v>
      </c>
      <c r="EB87" s="80">
        <v>24.215117567</v>
      </c>
      <c r="EC87" s="80">
        <v>0.1707649497</v>
      </c>
      <c r="ED87" s="80">
        <v>16.524609678000001</v>
      </c>
      <c r="EE87" s="80">
        <v>0.11801873509999999</v>
      </c>
      <c r="EF87" s="80">
        <v>11.627386783</v>
      </c>
      <c r="EG87" s="80">
        <v>8.4482533900000004E-2</v>
      </c>
      <c r="EH87" s="80">
        <v>8.4174101411999995</v>
      </c>
      <c r="EI87" s="80">
        <v>6.2580078900000002E-2</v>
      </c>
      <c r="EJ87" s="80">
        <v>6.2502976189000004</v>
      </c>
      <c r="EK87" s="80">
        <v>4.7798747900000001E-2</v>
      </c>
      <c r="EL87" s="80">
        <v>4.7508161227999999</v>
      </c>
      <c r="EM87" s="94">
        <v>3.7539940799999998E-2</v>
      </c>
      <c r="EN87" s="80"/>
      <c r="EO87" s="80"/>
      <c r="EP87" s="80"/>
      <c r="EQ87" s="80"/>
      <c r="ER87" s="80"/>
      <c r="ES87" s="80"/>
      <c r="ET87" s="80"/>
      <c r="EU87" s="80"/>
      <c r="EV87" s="80"/>
      <c r="EW87" s="94"/>
    </row>
    <row r="88" spans="1:153" x14ac:dyDescent="0.2">
      <c r="A88" s="82" t="s">
        <v>11</v>
      </c>
      <c r="B88" s="83">
        <v>12</v>
      </c>
      <c r="C88" s="82">
        <v>6088.3571006000002</v>
      </c>
      <c r="D88" s="83">
        <v>2694283.6702999999</v>
      </c>
      <c r="E88" s="83">
        <v>351.89149116999999</v>
      </c>
      <c r="F88" s="83">
        <v>0.18031721100000001</v>
      </c>
      <c r="G88" s="82">
        <v>1279.1367118999999</v>
      </c>
      <c r="H88" s="83">
        <v>6.03018876E-2</v>
      </c>
      <c r="I88" s="83">
        <v>234.13301465999999</v>
      </c>
      <c r="J88" s="83">
        <v>1.541954676</v>
      </c>
      <c r="K88" s="27">
        <f t="shared" si="13"/>
        <v>151.84169697345888</v>
      </c>
      <c r="L88" s="83">
        <v>207.79953061000001</v>
      </c>
      <c r="M88" s="83">
        <v>1.1561919536</v>
      </c>
      <c r="N88" s="83">
        <v>69.401129112999996</v>
      </c>
      <c r="O88" s="83">
        <v>0.50679229270000004</v>
      </c>
      <c r="P88" s="98" t="s">
        <v>136</v>
      </c>
      <c r="Q88" s="98">
        <v>0</v>
      </c>
      <c r="R88" s="83">
        <v>213.78719344999999</v>
      </c>
      <c r="S88" s="83">
        <v>0.27762327489999999</v>
      </c>
      <c r="T88" s="98" t="s">
        <v>136</v>
      </c>
      <c r="U88" s="98">
        <v>0</v>
      </c>
      <c r="V88" s="98" t="s">
        <v>136</v>
      </c>
      <c r="W88" s="98">
        <v>0</v>
      </c>
      <c r="X88" s="83">
        <v>4.3779995295000003</v>
      </c>
      <c r="Y88" s="83">
        <v>3.4556634599999997E-2</v>
      </c>
      <c r="Z88" s="83">
        <v>156.15245400000001</v>
      </c>
      <c r="AA88" s="83">
        <v>2.6429544429999998</v>
      </c>
      <c r="AB88" s="98" t="s">
        <v>136</v>
      </c>
      <c r="AC88" s="98">
        <v>0</v>
      </c>
      <c r="AD88" s="83">
        <v>2.8788555000000002E-3</v>
      </c>
      <c r="AE88" s="83">
        <v>1.1119499999999999E-5</v>
      </c>
      <c r="AF88" s="98" t="s">
        <v>136</v>
      </c>
      <c r="AG88" s="98">
        <v>0</v>
      </c>
      <c r="AH88" s="98" t="s">
        <v>136</v>
      </c>
      <c r="AI88" s="98">
        <v>0</v>
      </c>
      <c r="AJ88" s="83">
        <f t="shared" si="9"/>
        <v>2.8788555000000002E-3</v>
      </c>
      <c r="AK88" s="83">
        <f t="shared" si="10"/>
        <v>1.1119499999999999E-5</v>
      </c>
      <c r="AL88" s="83">
        <v>211.35724213</v>
      </c>
      <c r="AM88" s="83">
        <v>2.4065313729</v>
      </c>
      <c r="AN88" s="98" t="s">
        <v>136</v>
      </c>
      <c r="AO88" s="98">
        <v>0</v>
      </c>
      <c r="AP88" s="98" t="s">
        <v>136</v>
      </c>
      <c r="AQ88" s="98">
        <v>0</v>
      </c>
      <c r="AR88" s="98" t="s">
        <v>136</v>
      </c>
      <c r="AS88" s="98">
        <v>0</v>
      </c>
      <c r="AT88" s="83">
        <v>202.20361761999999</v>
      </c>
      <c r="AU88" s="83">
        <v>4.8615169076999996</v>
      </c>
      <c r="AV88" s="83">
        <v>265.25160583000002</v>
      </c>
      <c r="AW88" s="83">
        <v>1.2867050084</v>
      </c>
      <c r="AX88" s="83">
        <v>105.46326354</v>
      </c>
      <c r="AY88" s="83">
        <v>0.7856390151</v>
      </c>
      <c r="AZ88" s="83">
        <v>22.678834346999999</v>
      </c>
      <c r="BA88" s="83">
        <v>0.1577858442</v>
      </c>
      <c r="BB88" s="98">
        <f t="shared" si="11"/>
        <v>137.10950794300001</v>
      </c>
      <c r="BC88" s="98">
        <f t="shared" si="12"/>
        <v>0.34328014910000004</v>
      </c>
      <c r="BD88" s="83">
        <v>5.2151133688</v>
      </c>
      <c r="BE88" s="83">
        <v>6.7955770000000003E-4</v>
      </c>
      <c r="BF88" s="83">
        <v>1372.1471197999999</v>
      </c>
      <c r="BG88" s="83">
        <v>5.3103392618000003</v>
      </c>
      <c r="BH88" s="83">
        <v>0.23955938569999999</v>
      </c>
      <c r="BI88" s="83">
        <v>9.8712778999999994E-3</v>
      </c>
      <c r="BJ88" s="83">
        <v>220.93355783999999</v>
      </c>
      <c r="BK88" s="83">
        <v>6.1150089150999998</v>
      </c>
      <c r="BL88" s="83">
        <v>728.39492080000002</v>
      </c>
      <c r="BM88" s="83">
        <v>3.9819880202000002</v>
      </c>
      <c r="BN88" s="83">
        <v>139.06206842</v>
      </c>
      <c r="BO88" s="83">
        <v>0.45088150420000001</v>
      </c>
      <c r="BP88" s="83">
        <v>130.04945151999999</v>
      </c>
      <c r="BQ88" s="83">
        <v>4.1853124899999997E-2</v>
      </c>
      <c r="BR88" s="83">
        <v>0</v>
      </c>
      <c r="BS88" s="99">
        <v>0</v>
      </c>
      <c r="BT88" s="98" t="s">
        <v>136</v>
      </c>
      <c r="BU88" s="98">
        <v>0</v>
      </c>
      <c r="BV88" s="83">
        <v>5.0246071227</v>
      </c>
      <c r="BW88" s="83">
        <v>3.2261826200000003E-2</v>
      </c>
      <c r="BX88" s="83">
        <v>64.376521991000004</v>
      </c>
      <c r="BY88" s="83">
        <v>0.47453046650000003</v>
      </c>
      <c r="BZ88" s="98" t="s">
        <v>136</v>
      </c>
      <c r="CA88" s="98">
        <v>0</v>
      </c>
      <c r="CB88" s="98" t="s">
        <v>136</v>
      </c>
      <c r="CC88" s="98">
        <v>0</v>
      </c>
      <c r="CD88" s="83">
        <v>132.65044141000001</v>
      </c>
      <c r="CE88" s="83">
        <v>9.3659617799999997E-2</v>
      </c>
      <c r="CF88" s="83">
        <v>81.136752043000001</v>
      </c>
      <c r="CG88" s="83">
        <v>0.18396365710000001</v>
      </c>
      <c r="CH88" s="98" t="s">
        <v>136</v>
      </c>
      <c r="CI88" s="98">
        <v>0</v>
      </c>
      <c r="CJ88" s="98" t="s">
        <v>136</v>
      </c>
      <c r="CK88" s="98">
        <v>0</v>
      </c>
      <c r="CL88" s="98" t="s">
        <v>136</v>
      </c>
      <c r="CM88" s="98">
        <v>0</v>
      </c>
      <c r="CN88" s="98" t="s">
        <v>136</v>
      </c>
      <c r="CO88" s="98">
        <v>0</v>
      </c>
      <c r="CP88" s="83">
        <v>2.3361792636000001</v>
      </c>
      <c r="CQ88" s="83">
        <v>1.5956437300000001E-2</v>
      </c>
      <c r="CR88" s="83">
        <v>2.0418202659000002</v>
      </c>
      <c r="CS88" s="83">
        <v>1.8600197299999999E-2</v>
      </c>
      <c r="CT88" s="83">
        <v>40.556730526000003</v>
      </c>
      <c r="CU88" s="83">
        <v>0.2721407757</v>
      </c>
      <c r="CV88" s="83">
        <v>115.59572348</v>
      </c>
      <c r="CW88" s="83">
        <v>2.3708136673000002</v>
      </c>
      <c r="CX88" s="98" t="s">
        <v>136</v>
      </c>
      <c r="CY88" s="98">
        <v>0</v>
      </c>
      <c r="CZ88" s="98" t="s">
        <v>136</v>
      </c>
      <c r="DA88" s="98">
        <v>0</v>
      </c>
      <c r="DB88" s="83">
        <v>85.575777211000002</v>
      </c>
      <c r="DC88" s="83">
        <v>1.1748693812</v>
      </c>
      <c r="DD88" s="83">
        <v>116.62784041</v>
      </c>
      <c r="DE88" s="83">
        <v>3.6866475265999998</v>
      </c>
      <c r="DF88" s="83">
        <v>669.50961902999995</v>
      </c>
      <c r="DG88" s="83">
        <v>2.5095989985</v>
      </c>
      <c r="DH88" s="83">
        <v>702.63750078999999</v>
      </c>
      <c r="DI88" s="83">
        <v>2.8007402631999998</v>
      </c>
      <c r="DJ88" s="100">
        <v>4.7817427000000003E-2</v>
      </c>
      <c r="DK88" s="101">
        <v>8.6976458000000006E-2</v>
      </c>
      <c r="DL88" s="101">
        <v>0.1121605712</v>
      </c>
      <c r="DM88" s="101">
        <v>0.12814053959999999</v>
      </c>
      <c r="DN88" s="101">
        <v>0.13944451469999999</v>
      </c>
      <c r="DO88" s="101">
        <v>0.1482955866</v>
      </c>
      <c r="DP88" s="101">
        <v>0.15542949850000001</v>
      </c>
      <c r="DQ88" s="101">
        <v>0.1613901435</v>
      </c>
      <c r="DR88" s="101">
        <v>0.16646225540000001</v>
      </c>
      <c r="DS88" s="102">
        <v>0.1708860435</v>
      </c>
      <c r="DT88" s="103">
        <v>145.19201566000001</v>
      </c>
      <c r="DU88" s="98">
        <v>0.98212223919999997</v>
      </c>
      <c r="DV88" s="98">
        <v>90.380155694999999</v>
      </c>
      <c r="DW88" s="98">
        <v>0.62018995229999996</v>
      </c>
      <c r="DX88" s="98">
        <v>56.967263021999997</v>
      </c>
      <c r="DY88" s="98">
        <v>0.39465488570000001</v>
      </c>
      <c r="DZ88" s="98">
        <v>36.621624216000001</v>
      </c>
      <c r="EA88" s="98">
        <v>0.25580809609999999</v>
      </c>
      <c r="EB88" s="98">
        <v>24.215359131</v>
      </c>
      <c r="EC88" s="98">
        <v>0.17076603369999999</v>
      </c>
      <c r="ED88" s="98">
        <v>16.524774009000001</v>
      </c>
      <c r="EE88" s="98">
        <v>0.11801938889999999</v>
      </c>
      <c r="EF88" s="98">
        <v>11.627534677</v>
      </c>
      <c r="EG88" s="98">
        <v>8.44831412E-2</v>
      </c>
      <c r="EH88" s="98">
        <v>8.4175369682000003</v>
      </c>
      <c r="EI88" s="98">
        <v>6.2580607199999999E-2</v>
      </c>
      <c r="EJ88" s="98">
        <v>6.2504004651000002</v>
      </c>
      <c r="EK88" s="98">
        <v>4.7799176700000001E-2</v>
      </c>
      <c r="EL88" s="98">
        <v>4.7508931103999998</v>
      </c>
      <c r="EM88" s="104">
        <v>3.7540257100000002E-2</v>
      </c>
      <c r="EN88" s="98"/>
      <c r="EO88" s="98"/>
      <c r="EP88" s="98"/>
      <c r="EQ88" s="98"/>
      <c r="ER88" s="98"/>
      <c r="ES88" s="98"/>
      <c r="ET88" s="98"/>
      <c r="EU88" s="98"/>
      <c r="EV88" s="98"/>
      <c r="EW88" s="10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 enableFormatConditionsCalculation="0"/>
  <dimension ref="A1:EL88"/>
  <sheetViews>
    <sheetView workbookViewId="0">
      <pane xSplit="4" ySplit="4" topLeftCell="E8" activePane="bottomRight" state="frozen"/>
      <selection activeCell="I95" sqref="I95"/>
      <selection pane="topRight" activeCell="I95" sqref="I95"/>
      <selection pane="bottomLeft" activeCell="I95" sqref="I95"/>
      <selection pane="bottomRight" activeCell="J72" sqref="J72"/>
    </sheetView>
  </sheetViews>
  <sheetFormatPr baseColWidth="10" defaultColWidth="8.83203125" defaultRowHeight="15" x14ac:dyDescent="0.2"/>
  <cols>
    <col min="1" max="3" width="12.5" style="81" customWidth="1"/>
    <col min="4" max="4" width="15.1640625" style="81" customWidth="1"/>
    <col min="5" max="10" width="12.5" style="81" customWidth="1"/>
    <col min="11" max="11" width="12.1640625" style="81" customWidth="1"/>
    <col min="12" max="13" width="12.5" style="81" customWidth="1"/>
    <col min="14" max="14" width="13.83203125" style="81" bestFit="1" customWidth="1"/>
    <col min="15" max="16" width="12.5" style="81" hidden="1" customWidth="1"/>
    <col min="17" max="18" width="12.5" style="81" customWidth="1"/>
    <col min="19" max="22" width="12.5" style="81" hidden="1" customWidth="1"/>
    <col min="23" max="26" width="12.5" style="81" customWidth="1"/>
    <col min="27" max="28" width="12.5" style="81" hidden="1" customWidth="1"/>
    <col min="29" max="30" width="12.5" style="81" customWidth="1"/>
    <col min="31" max="34" width="12.5" style="81" hidden="1" customWidth="1"/>
    <col min="35" max="35" width="12.5" style="81" customWidth="1"/>
    <col min="36" max="38" width="12.1640625" style="81" customWidth="1"/>
    <col min="39" max="44" width="12.1640625" style="81" hidden="1" customWidth="1"/>
    <col min="45" max="55" width="12.1640625" style="81" customWidth="1"/>
    <col min="56" max="64" width="12.5" style="81" customWidth="1"/>
    <col min="65" max="68" width="12.83203125" style="81" customWidth="1"/>
    <col min="69" max="72" width="12.83203125" style="81" hidden="1" customWidth="1"/>
    <col min="73" max="74" width="12.83203125" style="81" customWidth="1"/>
    <col min="75" max="76" width="13" style="81" customWidth="1"/>
    <col min="77" max="80" width="13" style="81" hidden="1" customWidth="1"/>
    <col min="81" max="84" width="13" style="81" customWidth="1"/>
    <col min="85" max="92" width="13" style="81" hidden="1" customWidth="1"/>
    <col min="93" max="100" width="13" style="81" customWidth="1"/>
    <col min="101" max="104" width="13" style="81" hidden="1" customWidth="1"/>
    <col min="105" max="112" width="13" style="81" customWidth="1"/>
    <col min="113" max="16384" width="8.83203125" style="81"/>
  </cols>
  <sheetData>
    <row r="1" spans="1:142" x14ac:dyDescent="0.2">
      <c r="A1" s="86" t="s">
        <v>148</v>
      </c>
    </row>
    <row r="2" spans="1:142" x14ac:dyDescent="0.2">
      <c r="A2" s="86" t="s">
        <v>19</v>
      </c>
    </row>
    <row r="3" spans="1:142" x14ac:dyDescent="0.2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>
        <v>30</v>
      </c>
      <c r="AN3" s="86">
        <v>30</v>
      </c>
      <c r="AO3" s="86">
        <v>30</v>
      </c>
      <c r="AP3" s="86">
        <v>30</v>
      </c>
      <c r="AQ3" s="86">
        <v>30</v>
      </c>
      <c r="AR3" s="86">
        <v>30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</row>
    <row r="4" spans="1:142" s="91" customFormat="1" ht="45" customHeight="1" x14ac:dyDescent="0.2">
      <c r="A4" s="87" t="s">
        <v>10</v>
      </c>
      <c r="B4" s="88" t="s">
        <v>20</v>
      </c>
      <c r="C4" s="87" t="s">
        <v>21</v>
      </c>
      <c r="D4" s="88" t="s">
        <v>12</v>
      </c>
      <c r="E4" s="87" t="s">
        <v>28</v>
      </c>
      <c r="F4" s="88" t="s">
        <v>29</v>
      </c>
      <c r="G4" s="87" t="s">
        <v>30</v>
      </c>
      <c r="H4" s="88" t="s">
        <v>31</v>
      </c>
      <c r="I4" s="88" t="s">
        <v>32</v>
      </c>
      <c r="J4" s="88" t="s">
        <v>33</v>
      </c>
      <c r="K4" s="88" t="s">
        <v>34</v>
      </c>
      <c r="L4" s="88" t="s">
        <v>35</v>
      </c>
      <c r="M4" s="88" t="s">
        <v>36</v>
      </c>
      <c r="N4" s="88" t="s">
        <v>37</v>
      </c>
      <c r="O4" s="88" t="s">
        <v>38</v>
      </c>
      <c r="P4" s="88" t="s">
        <v>38</v>
      </c>
      <c r="Q4" s="88" t="s">
        <v>39</v>
      </c>
      <c r="R4" s="88" t="s">
        <v>40</v>
      </c>
      <c r="S4" s="88" t="s">
        <v>38</v>
      </c>
      <c r="T4" s="88" t="s">
        <v>38</v>
      </c>
      <c r="U4" s="88" t="s">
        <v>38</v>
      </c>
      <c r="V4" s="88" t="s">
        <v>38</v>
      </c>
      <c r="W4" s="88" t="s">
        <v>41</v>
      </c>
      <c r="X4" s="88" t="s">
        <v>42</v>
      </c>
      <c r="Y4" s="88" t="s">
        <v>43</v>
      </c>
      <c r="Z4" s="88" t="s">
        <v>44</v>
      </c>
      <c r="AA4" s="88" t="s">
        <v>38</v>
      </c>
      <c r="AB4" s="88" t="s">
        <v>38</v>
      </c>
      <c r="AC4" s="88" t="s">
        <v>45</v>
      </c>
      <c r="AD4" s="88" t="s">
        <v>46</v>
      </c>
      <c r="AE4" s="88" t="s">
        <v>38</v>
      </c>
      <c r="AF4" s="88" t="s">
        <v>38</v>
      </c>
      <c r="AG4" s="88" t="s">
        <v>38</v>
      </c>
      <c r="AH4" s="88" t="s">
        <v>38</v>
      </c>
      <c r="AI4" s="88" t="s">
        <v>47</v>
      </c>
      <c r="AJ4" s="88" t="s">
        <v>48</v>
      </c>
      <c r="AK4" s="88" t="s">
        <v>49</v>
      </c>
      <c r="AL4" s="88" t="s">
        <v>50</v>
      </c>
      <c r="AM4" s="88" t="s">
        <v>38</v>
      </c>
      <c r="AN4" s="88" t="s">
        <v>38</v>
      </c>
      <c r="AO4" s="88" t="s">
        <v>38</v>
      </c>
      <c r="AP4" s="88" t="s">
        <v>38</v>
      </c>
      <c r="AQ4" s="88" t="s">
        <v>38</v>
      </c>
      <c r="AR4" s="88" t="s">
        <v>38</v>
      </c>
      <c r="AS4" s="88" t="s">
        <v>51</v>
      </c>
      <c r="AT4" s="88" t="s">
        <v>52</v>
      </c>
      <c r="AU4" s="88" t="s">
        <v>53</v>
      </c>
      <c r="AV4" s="88" t="s">
        <v>54</v>
      </c>
      <c r="AW4" s="88" t="s">
        <v>55</v>
      </c>
      <c r="AX4" s="88" t="s">
        <v>56</v>
      </c>
      <c r="AY4" s="88" t="s">
        <v>57</v>
      </c>
      <c r="AZ4" s="88" t="s">
        <v>58</v>
      </c>
      <c r="BA4" s="88" t="s">
        <v>59</v>
      </c>
      <c r="BB4" s="88" t="s">
        <v>60</v>
      </c>
      <c r="BC4" s="88" t="s">
        <v>61</v>
      </c>
      <c r="BD4" s="88" t="s">
        <v>62</v>
      </c>
      <c r="BE4" s="88" t="s">
        <v>63</v>
      </c>
      <c r="BF4" s="88" t="s">
        <v>64</v>
      </c>
      <c r="BG4" s="87" t="s">
        <v>65</v>
      </c>
      <c r="BH4" s="89" t="s">
        <v>66</v>
      </c>
      <c r="BI4" s="88" t="s">
        <v>67</v>
      </c>
      <c r="BJ4" s="88" t="s">
        <v>68</v>
      </c>
      <c r="BK4" s="88" t="s">
        <v>69</v>
      </c>
      <c r="BL4" s="88" t="s">
        <v>70</v>
      </c>
      <c r="BM4" s="88" t="s">
        <v>71</v>
      </c>
      <c r="BN4" s="88" t="s">
        <v>72</v>
      </c>
      <c r="BO4" s="88" t="s">
        <v>73</v>
      </c>
      <c r="BP4" s="88" t="s">
        <v>74</v>
      </c>
      <c r="BQ4" s="88" t="s">
        <v>75</v>
      </c>
      <c r="BR4" s="88" t="s">
        <v>76</v>
      </c>
      <c r="BS4" s="88" t="s">
        <v>63</v>
      </c>
      <c r="BT4" s="88" t="s">
        <v>77</v>
      </c>
      <c r="BU4" s="87" t="s">
        <v>78</v>
      </c>
      <c r="BV4" s="88" t="s">
        <v>79</v>
      </c>
      <c r="BW4" s="88" t="s">
        <v>80</v>
      </c>
      <c r="BX4" s="88" t="s">
        <v>81</v>
      </c>
      <c r="BY4" s="90" t="s">
        <v>82</v>
      </c>
      <c r="BZ4" s="88" t="s">
        <v>83</v>
      </c>
      <c r="CA4" s="90" t="s">
        <v>84</v>
      </c>
      <c r="CB4" s="88" t="s">
        <v>85</v>
      </c>
      <c r="CC4" s="88" t="s">
        <v>86</v>
      </c>
      <c r="CD4" s="88" t="s">
        <v>87</v>
      </c>
      <c r="CE4" s="88" t="s">
        <v>88</v>
      </c>
      <c r="CF4" s="89" t="s">
        <v>89</v>
      </c>
      <c r="CG4" s="88" t="s">
        <v>38</v>
      </c>
      <c r="CH4" s="88" t="s">
        <v>38</v>
      </c>
      <c r="CI4" s="88" t="s">
        <v>38</v>
      </c>
      <c r="CJ4" s="88" t="s">
        <v>38</v>
      </c>
      <c r="CK4" s="88" t="s">
        <v>38</v>
      </c>
      <c r="CL4" s="88" t="s">
        <v>38</v>
      </c>
      <c r="CM4" s="88" t="s">
        <v>38</v>
      </c>
      <c r="CN4" s="88" t="s">
        <v>38</v>
      </c>
      <c r="CO4" s="87" t="s">
        <v>90</v>
      </c>
      <c r="CP4" s="88" t="s">
        <v>91</v>
      </c>
      <c r="CQ4" s="88" t="s">
        <v>92</v>
      </c>
      <c r="CR4" s="88" t="s">
        <v>93</v>
      </c>
      <c r="CS4" s="88" t="s">
        <v>94</v>
      </c>
      <c r="CT4" s="88" t="s">
        <v>95</v>
      </c>
      <c r="CU4" s="88" t="s">
        <v>96</v>
      </c>
      <c r="CV4" s="89" t="s">
        <v>97</v>
      </c>
      <c r="CW4" s="87" t="s">
        <v>38</v>
      </c>
      <c r="CX4" s="88" t="s">
        <v>38</v>
      </c>
      <c r="CY4" s="88" t="s">
        <v>38</v>
      </c>
      <c r="CZ4" s="89" t="s">
        <v>38</v>
      </c>
      <c r="DA4" s="87" t="s">
        <v>98</v>
      </c>
      <c r="DB4" s="88" t="s">
        <v>99</v>
      </c>
      <c r="DC4" s="88" t="s">
        <v>100</v>
      </c>
      <c r="DD4" s="88" t="s">
        <v>101</v>
      </c>
      <c r="DE4" s="88" t="s">
        <v>102</v>
      </c>
      <c r="DF4" s="88" t="s">
        <v>103</v>
      </c>
      <c r="DG4" s="88" t="s">
        <v>104</v>
      </c>
      <c r="DH4" s="89" t="s">
        <v>105</v>
      </c>
      <c r="DI4" s="87" t="s">
        <v>106</v>
      </c>
      <c r="DJ4" s="88" t="s">
        <v>107</v>
      </c>
      <c r="DK4" s="88" t="s">
        <v>108</v>
      </c>
      <c r="DL4" s="88" t="s">
        <v>109</v>
      </c>
      <c r="DM4" s="88" t="s">
        <v>110</v>
      </c>
      <c r="DN4" s="88" t="s">
        <v>111</v>
      </c>
      <c r="DO4" s="88" t="s">
        <v>112</v>
      </c>
      <c r="DP4" s="88" t="s">
        <v>113</v>
      </c>
      <c r="DQ4" s="88" t="s">
        <v>114</v>
      </c>
      <c r="DR4" s="89" t="s">
        <v>115</v>
      </c>
      <c r="DS4" s="87" t="s">
        <v>116</v>
      </c>
      <c r="DT4" s="88" t="s">
        <v>117</v>
      </c>
      <c r="DU4" s="88" t="s">
        <v>118</v>
      </c>
      <c r="DV4" s="88" t="s">
        <v>119</v>
      </c>
      <c r="DW4" s="88" t="s">
        <v>120</v>
      </c>
      <c r="DX4" s="88" t="s">
        <v>121</v>
      </c>
      <c r="DY4" s="88" t="s">
        <v>122</v>
      </c>
      <c r="DZ4" s="88" t="s">
        <v>123</v>
      </c>
      <c r="EA4" s="88" t="s">
        <v>124</v>
      </c>
      <c r="EB4" s="88" t="s">
        <v>125</v>
      </c>
      <c r="EC4" s="88" t="s">
        <v>126</v>
      </c>
      <c r="ED4" s="88" t="s">
        <v>127</v>
      </c>
      <c r="EE4" s="88" t="s">
        <v>128</v>
      </c>
      <c r="EF4" s="88" t="s">
        <v>129</v>
      </c>
      <c r="EG4" s="88" t="s">
        <v>130</v>
      </c>
      <c r="EH4" s="88" t="s">
        <v>131</v>
      </c>
      <c r="EI4" s="88" t="s">
        <v>132</v>
      </c>
      <c r="EJ4" s="88" t="s">
        <v>133</v>
      </c>
      <c r="EK4" s="88" t="s">
        <v>134</v>
      </c>
      <c r="EL4" s="89" t="s">
        <v>135</v>
      </c>
    </row>
    <row r="5" spans="1:142" x14ac:dyDescent="0.2">
      <c r="A5" s="79">
        <v>0</v>
      </c>
      <c r="B5" s="27">
        <v>56423</v>
      </c>
      <c r="C5" s="79">
        <v>0</v>
      </c>
      <c r="D5" s="27">
        <v>0</v>
      </c>
      <c r="E5" s="27">
        <v>0</v>
      </c>
      <c r="F5" s="27">
        <v>0</v>
      </c>
      <c r="G5" s="79">
        <v>0</v>
      </c>
      <c r="H5" s="27">
        <v>1.4124000000000001E-5</v>
      </c>
      <c r="I5" s="27">
        <v>0</v>
      </c>
      <c r="J5" s="27">
        <v>1.8102400000000001E-5</v>
      </c>
      <c r="K5" s="27">
        <v>0</v>
      </c>
      <c r="L5" s="27">
        <v>0</v>
      </c>
      <c r="M5" s="27">
        <v>0</v>
      </c>
      <c r="N5" s="27">
        <v>0</v>
      </c>
      <c r="O5" s="80" t="s">
        <v>136</v>
      </c>
      <c r="P5" s="80">
        <v>0</v>
      </c>
      <c r="Q5" s="27">
        <v>0</v>
      </c>
      <c r="R5" s="27">
        <v>0</v>
      </c>
      <c r="S5" s="80" t="s">
        <v>136</v>
      </c>
      <c r="T5" s="80">
        <v>0</v>
      </c>
      <c r="U5" s="80" t="s">
        <v>136</v>
      </c>
      <c r="V5" s="80">
        <v>0</v>
      </c>
      <c r="W5" s="27">
        <v>0</v>
      </c>
      <c r="X5" s="27">
        <v>0</v>
      </c>
      <c r="Y5" s="27">
        <v>0</v>
      </c>
      <c r="Z5" s="27">
        <v>0</v>
      </c>
      <c r="AA5" s="80" t="s">
        <v>136</v>
      </c>
      <c r="AB5" s="80">
        <v>0</v>
      </c>
      <c r="AC5" s="27">
        <v>0</v>
      </c>
      <c r="AD5" s="27">
        <v>0</v>
      </c>
      <c r="AE5" s="80" t="s">
        <v>136</v>
      </c>
      <c r="AF5" s="80">
        <v>0</v>
      </c>
      <c r="AG5" s="80" t="s">
        <v>136</v>
      </c>
      <c r="AH5" s="80">
        <v>0</v>
      </c>
      <c r="AI5" s="27">
        <f t="shared" ref="AI5:AI36" si="0">AC5</f>
        <v>0</v>
      </c>
      <c r="AJ5" s="27">
        <f t="shared" ref="AJ5:AJ36" si="1">AD5</f>
        <v>0</v>
      </c>
      <c r="AK5" s="27">
        <v>0</v>
      </c>
      <c r="AL5" s="27">
        <v>0</v>
      </c>
      <c r="AM5" s="80" t="s">
        <v>136</v>
      </c>
      <c r="AN5" s="80">
        <v>0</v>
      </c>
      <c r="AO5" s="80" t="s">
        <v>136</v>
      </c>
      <c r="AP5" s="80">
        <v>0</v>
      </c>
      <c r="AQ5" s="80" t="s">
        <v>136</v>
      </c>
      <c r="AR5" s="80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  <c r="BA5" s="80">
        <v>0</v>
      </c>
      <c r="BB5" s="80">
        <v>0</v>
      </c>
      <c r="BC5" s="27">
        <v>0</v>
      </c>
      <c r="BD5" s="80">
        <v>0</v>
      </c>
      <c r="BE5" s="27">
        <v>0</v>
      </c>
      <c r="BF5" s="27">
        <v>2.1521600000000001E-5</v>
      </c>
      <c r="BG5" s="27">
        <v>7.0620199999999999E-5</v>
      </c>
      <c r="BH5" s="80">
        <v>0</v>
      </c>
      <c r="BI5" s="27">
        <v>0</v>
      </c>
      <c r="BJ5" s="27">
        <v>2.4369300000000001E-5</v>
      </c>
      <c r="BK5" s="27">
        <v>0</v>
      </c>
      <c r="BL5" s="27">
        <v>0</v>
      </c>
      <c r="BM5" s="27">
        <v>0</v>
      </c>
      <c r="BN5" s="27">
        <v>0</v>
      </c>
      <c r="BO5" s="27">
        <v>0</v>
      </c>
      <c r="BP5" s="27">
        <v>0</v>
      </c>
      <c r="BQ5" s="27">
        <v>0</v>
      </c>
      <c r="BR5" s="92">
        <v>0</v>
      </c>
      <c r="BS5" s="80" t="s">
        <v>136</v>
      </c>
      <c r="BT5" s="80">
        <v>0</v>
      </c>
      <c r="BU5" s="27">
        <v>0</v>
      </c>
      <c r="BV5" s="27">
        <v>0</v>
      </c>
      <c r="BW5" s="27">
        <v>0</v>
      </c>
      <c r="BX5" s="27">
        <v>0</v>
      </c>
      <c r="BY5" s="80" t="s">
        <v>136</v>
      </c>
      <c r="BZ5" s="80">
        <v>0</v>
      </c>
      <c r="CA5" s="80" t="s">
        <v>136</v>
      </c>
      <c r="CB5" s="80">
        <v>0</v>
      </c>
      <c r="CC5" s="27">
        <v>0</v>
      </c>
      <c r="CD5" s="27">
        <v>0</v>
      </c>
      <c r="CE5" s="27">
        <v>0</v>
      </c>
      <c r="CF5" s="27">
        <v>0</v>
      </c>
      <c r="CG5" s="80" t="s">
        <v>136</v>
      </c>
      <c r="CH5" s="80">
        <v>0</v>
      </c>
      <c r="CI5" s="80" t="s">
        <v>136</v>
      </c>
      <c r="CJ5" s="80">
        <v>0</v>
      </c>
      <c r="CK5" s="80" t="s">
        <v>136</v>
      </c>
      <c r="CL5" s="80">
        <v>0</v>
      </c>
      <c r="CM5" s="80" t="s">
        <v>136</v>
      </c>
      <c r="CN5" s="80">
        <v>0</v>
      </c>
      <c r="CO5" s="27">
        <v>0</v>
      </c>
      <c r="CP5" s="27">
        <v>0</v>
      </c>
      <c r="CQ5" s="27">
        <v>0</v>
      </c>
      <c r="CR5" s="27">
        <v>0</v>
      </c>
      <c r="CS5" s="27">
        <v>0</v>
      </c>
      <c r="CT5" s="27">
        <v>0</v>
      </c>
      <c r="CU5" s="27">
        <v>0</v>
      </c>
      <c r="CV5" s="27">
        <v>0</v>
      </c>
      <c r="CW5" s="93" t="s">
        <v>136</v>
      </c>
      <c r="CX5" s="80">
        <v>0</v>
      </c>
      <c r="CY5" s="80" t="s">
        <v>136</v>
      </c>
      <c r="CZ5" s="94">
        <v>0</v>
      </c>
      <c r="DA5" s="27">
        <v>0</v>
      </c>
      <c r="DB5" s="27">
        <v>0</v>
      </c>
      <c r="DC5" s="27">
        <v>0</v>
      </c>
      <c r="DD5" s="27">
        <v>0</v>
      </c>
      <c r="DE5" s="27">
        <v>0</v>
      </c>
      <c r="DF5" s="27">
        <v>2.1521600000000001E-5</v>
      </c>
      <c r="DG5" s="27">
        <v>0</v>
      </c>
      <c r="DH5" s="27">
        <v>0</v>
      </c>
      <c r="DI5" s="95">
        <v>1.4124000000000001E-5</v>
      </c>
      <c r="DJ5" s="96">
        <v>2.8248100000000001E-5</v>
      </c>
      <c r="DK5" s="96">
        <v>4.23721E-5</v>
      </c>
      <c r="DL5" s="96">
        <v>5.6496200000000003E-5</v>
      </c>
      <c r="DM5" s="96">
        <v>7.0620199999999999E-5</v>
      </c>
      <c r="DN5" s="96">
        <v>7.0620199999999999E-5</v>
      </c>
      <c r="DO5" s="96">
        <v>7.0620199999999999E-5</v>
      </c>
      <c r="DP5" s="96">
        <v>7.0620199999999999E-5</v>
      </c>
      <c r="DQ5" s="96">
        <v>7.0620199999999999E-5</v>
      </c>
      <c r="DR5" s="97">
        <v>7.0620199999999999E-5</v>
      </c>
      <c r="DS5" s="93">
        <v>0</v>
      </c>
      <c r="DT5" s="80">
        <v>0</v>
      </c>
      <c r="DU5" s="80">
        <v>0</v>
      </c>
      <c r="DV5" s="80">
        <v>0</v>
      </c>
      <c r="DW5" s="80">
        <v>0</v>
      </c>
      <c r="DX5" s="80">
        <v>0</v>
      </c>
      <c r="DY5" s="80">
        <v>0</v>
      </c>
      <c r="DZ5" s="80">
        <v>0</v>
      </c>
      <c r="EA5" s="80">
        <v>0</v>
      </c>
      <c r="EB5" s="80">
        <v>0</v>
      </c>
      <c r="EC5" s="80">
        <v>0</v>
      </c>
      <c r="ED5" s="80">
        <v>0</v>
      </c>
      <c r="EE5" s="80">
        <v>0</v>
      </c>
      <c r="EF5" s="80">
        <v>0</v>
      </c>
      <c r="EG5" s="80">
        <v>0</v>
      </c>
      <c r="EH5" s="80">
        <v>0</v>
      </c>
      <c r="EI5" s="80">
        <v>0</v>
      </c>
      <c r="EJ5" s="80">
        <v>0</v>
      </c>
      <c r="EK5" s="80">
        <v>0</v>
      </c>
      <c r="EL5" s="94">
        <v>0</v>
      </c>
    </row>
    <row r="6" spans="1:142" x14ac:dyDescent="0.2">
      <c r="A6" s="79">
        <v>100</v>
      </c>
      <c r="B6" s="27">
        <v>12402</v>
      </c>
      <c r="C6" s="79">
        <v>84.420284828999996</v>
      </c>
      <c r="D6" s="27">
        <v>47.089636204999998</v>
      </c>
      <c r="E6" s="27">
        <v>6.8303479000000004E-3</v>
      </c>
      <c r="F6" s="27">
        <v>1.534754E-4</v>
      </c>
      <c r="G6" s="79">
        <v>1.0439927999999999E-3</v>
      </c>
      <c r="H6" s="27">
        <v>2.4694599999999999E-5</v>
      </c>
      <c r="I6" s="27">
        <v>0.91963410489999997</v>
      </c>
      <c r="J6" s="27">
        <v>1.2181486199999999E-2</v>
      </c>
      <c r="K6" s="27">
        <v>0.25994514749999997</v>
      </c>
      <c r="L6" s="27">
        <v>3.2339703000000002E-3</v>
      </c>
      <c r="M6" s="27">
        <v>4.4682829600000001E-2</v>
      </c>
      <c r="N6" s="27">
        <v>6.1625190000000004E-4</v>
      </c>
      <c r="O6" s="80" t="s">
        <v>136</v>
      </c>
      <c r="P6" s="80">
        <v>0</v>
      </c>
      <c r="Q6" s="27">
        <v>2.9453197999999999E-3</v>
      </c>
      <c r="R6" s="27">
        <v>5.3477399999999997E-5</v>
      </c>
      <c r="S6" s="80" t="s">
        <v>136</v>
      </c>
      <c r="T6" s="80">
        <v>0</v>
      </c>
      <c r="U6" s="80" t="s">
        <v>136</v>
      </c>
      <c r="V6" s="80">
        <v>0</v>
      </c>
      <c r="W6" s="27">
        <v>0</v>
      </c>
      <c r="X6" s="27">
        <v>0</v>
      </c>
      <c r="Y6" s="27">
        <v>4.8358639100000003E-2</v>
      </c>
      <c r="Z6" s="27">
        <v>1.4528312E-3</v>
      </c>
      <c r="AA6" s="80" t="s">
        <v>136</v>
      </c>
      <c r="AB6" s="80">
        <v>0</v>
      </c>
      <c r="AC6" s="27">
        <v>0</v>
      </c>
      <c r="AD6" s="27">
        <v>0</v>
      </c>
      <c r="AE6" s="80" t="s">
        <v>136</v>
      </c>
      <c r="AF6" s="80">
        <v>0</v>
      </c>
      <c r="AG6" s="80" t="s">
        <v>136</v>
      </c>
      <c r="AH6" s="80">
        <v>0</v>
      </c>
      <c r="AI6" s="27">
        <f t="shared" si="0"/>
        <v>0</v>
      </c>
      <c r="AJ6" s="27">
        <f t="shared" si="1"/>
        <v>0</v>
      </c>
      <c r="AK6" s="27">
        <v>1.2678103748</v>
      </c>
      <c r="AL6" s="27">
        <v>2.8147466100000001E-2</v>
      </c>
      <c r="AM6" s="80" t="s">
        <v>136</v>
      </c>
      <c r="AN6" s="80">
        <v>0</v>
      </c>
      <c r="AO6" s="80" t="s">
        <v>136</v>
      </c>
      <c r="AP6" s="80">
        <v>0</v>
      </c>
      <c r="AQ6" s="80" t="s">
        <v>136</v>
      </c>
      <c r="AR6" s="80">
        <v>0</v>
      </c>
      <c r="AS6" s="27">
        <v>0.23302491659999999</v>
      </c>
      <c r="AT6" s="27">
        <v>1.6360590899999999E-2</v>
      </c>
      <c r="AU6" s="27">
        <v>8.2066161900000004E-2</v>
      </c>
      <c r="AV6" s="27">
        <v>2.1801741E-3</v>
      </c>
      <c r="AW6" s="27">
        <v>6.6350315100000001E-2</v>
      </c>
      <c r="AX6" s="27">
        <v>1.8913342E-3</v>
      </c>
      <c r="AY6" s="27">
        <v>1.09306114E-2</v>
      </c>
      <c r="AZ6" s="27">
        <v>1.9823599999999999E-4</v>
      </c>
      <c r="BA6" s="80">
        <f t="shared" ref="BA6:BA37" si="2">AU6-(AW6+AY6)</f>
        <v>4.7852354000000041E-3</v>
      </c>
      <c r="BB6" s="80">
        <f t="shared" ref="BB6:BB37" si="3">AV6-(AX6+AZ6)</f>
        <v>9.0603900000000171E-5</v>
      </c>
      <c r="BC6" s="27">
        <v>0</v>
      </c>
      <c r="BD6" s="80">
        <v>0</v>
      </c>
      <c r="BE6" s="27">
        <v>1.5924309954</v>
      </c>
      <c r="BF6" s="27">
        <v>5.2964966000000002E-2</v>
      </c>
      <c r="BG6" s="79">
        <v>8.4763499999999996E-5</v>
      </c>
      <c r="BH6" s="80">
        <v>0</v>
      </c>
      <c r="BI6" s="27">
        <v>3.7506891991</v>
      </c>
      <c r="BJ6" s="27">
        <v>0.25725188659999998</v>
      </c>
      <c r="BK6" s="27">
        <v>0.1915486293</v>
      </c>
      <c r="BL6" s="27">
        <v>4.2546349000000001E-3</v>
      </c>
      <c r="BM6" s="27">
        <v>0.17197591030000001</v>
      </c>
      <c r="BN6" s="27">
        <v>3.8903700999999998E-3</v>
      </c>
      <c r="BO6" s="27">
        <v>0</v>
      </c>
      <c r="BP6" s="27">
        <v>0</v>
      </c>
      <c r="BQ6" s="27">
        <v>0</v>
      </c>
      <c r="BR6" s="92">
        <v>0</v>
      </c>
      <c r="BS6" s="80" t="s">
        <v>136</v>
      </c>
      <c r="BT6" s="80">
        <v>0</v>
      </c>
      <c r="BU6" s="79">
        <v>0</v>
      </c>
      <c r="BV6" s="27">
        <v>0</v>
      </c>
      <c r="BW6" s="27">
        <v>4.4682829600000001E-2</v>
      </c>
      <c r="BX6" s="27">
        <v>6.1625190000000004E-4</v>
      </c>
      <c r="BY6" s="80" t="s">
        <v>136</v>
      </c>
      <c r="BZ6" s="80">
        <v>0</v>
      </c>
      <c r="CA6" s="80" t="s">
        <v>136</v>
      </c>
      <c r="CB6" s="80">
        <v>0</v>
      </c>
      <c r="CC6" s="27">
        <v>0</v>
      </c>
      <c r="CD6" s="27">
        <v>2.2423099999999999E-5</v>
      </c>
      <c r="CE6" s="27">
        <v>2.9453197999999999E-3</v>
      </c>
      <c r="CF6" s="92">
        <v>3.1054299999999998E-5</v>
      </c>
      <c r="CG6" s="80" t="s">
        <v>136</v>
      </c>
      <c r="CH6" s="80">
        <v>0</v>
      </c>
      <c r="CI6" s="80" t="s">
        <v>136</v>
      </c>
      <c r="CJ6" s="80">
        <v>0</v>
      </c>
      <c r="CK6" s="80" t="s">
        <v>136</v>
      </c>
      <c r="CL6" s="80">
        <v>0</v>
      </c>
      <c r="CM6" s="80" t="s">
        <v>136</v>
      </c>
      <c r="CN6" s="80">
        <v>0</v>
      </c>
      <c r="CO6" s="79">
        <v>0</v>
      </c>
      <c r="CP6" s="27">
        <v>0</v>
      </c>
      <c r="CQ6" s="27">
        <v>0</v>
      </c>
      <c r="CR6" s="27">
        <v>0</v>
      </c>
      <c r="CS6" s="27">
        <v>0</v>
      </c>
      <c r="CT6" s="27">
        <v>0</v>
      </c>
      <c r="CU6" s="27">
        <v>4.8358639100000003E-2</v>
      </c>
      <c r="CV6" s="92">
        <v>1.4528312E-3</v>
      </c>
      <c r="CW6" s="80" t="s">
        <v>136</v>
      </c>
      <c r="CX6" s="80">
        <v>0</v>
      </c>
      <c r="CY6" s="80" t="s">
        <v>136</v>
      </c>
      <c r="CZ6" s="80">
        <v>0</v>
      </c>
      <c r="DA6" s="79">
        <v>3.3294453000000002E-2</v>
      </c>
      <c r="DB6" s="27">
        <v>1.0856526000000001E-3</v>
      </c>
      <c r="DC6" s="27">
        <v>0.19973046359999999</v>
      </c>
      <c r="DD6" s="27">
        <v>1.52749384E-2</v>
      </c>
      <c r="DE6" s="27">
        <v>2.8414015899999999E-2</v>
      </c>
      <c r="DF6" s="27">
        <v>3.5694291999999999E-3</v>
      </c>
      <c r="DG6" s="27">
        <v>1.5640169796000001</v>
      </c>
      <c r="DH6" s="92">
        <v>4.9395536800000001E-2</v>
      </c>
      <c r="DI6" s="95">
        <v>2.4694599999999999E-5</v>
      </c>
      <c r="DJ6" s="96">
        <v>4.9389299999999998E-5</v>
      </c>
      <c r="DK6" s="96">
        <v>6.1180700000000002E-5</v>
      </c>
      <c r="DL6" s="96">
        <v>7.2972099999999999E-5</v>
      </c>
      <c r="DM6" s="96">
        <v>8.4763499999999996E-5</v>
      </c>
      <c r="DN6" s="96">
        <v>8.4763499999999996E-5</v>
      </c>
      <c r="DO6" s="96">
        <v>8.4763499999999996E-5</v>
      </c>
      <c r="DP6" s="96">
        <v>8.4763499999999996E-5</v>
      </c>
      <c r="DQ6" s="96">
        <v>8.4763499999999996E-5</v>
      </c>
      <c r="DR6" s="97">
        <v>8.4763499999999996E-5</v>
      </c>
      <c r="DS6" s="93">
        <v>1.0360188100000001E-2</v>
      </c>
      <c r="DT6" s="80">
        <v>3.9835880000000003E-4</v>
      </c>
      <c r="DU6" s="80">
        <v>1.7338025E-3</v>
      </c>
      <c r="DV6" s="80">
        <v>7.4546699999999996E-5</v>
      </c>
      <c r="DW6" s="80">
        <v>3.65979E-4</v>
      </c>
      <c r="DX6" s="80">
        <v>1.6721199999999998E-5</v>
      </c>
      <c r="DY6" s="80">
        <v>0</v>
      </c>
      <c r="DZ6" s="80">
        <v>0</v>
      </c>
      <c r="EA6" s="80">
        <v>0</v>
      </c>
      <c r="EB6" s="80">
        <v>0</v>
      </c>
      <c r="EC6" s="80">
        <v>0</v>
      </c>
      <c r="ED6" s="80">
        <v>0</v>
      </c>
      <c r="EE6" s="80">
        <v>0</v>
      </c>
      <c r="EF6" s="80">
        <v>0</v>
      </c>
      <c r="EG6" s="80">
        <v>0</v>
      </c>
      <c r="EH6" s="80">
        <v>0</v>
      </c>
      <c r="EI6" s="80">
        <v>0</v>
      </c>
      <c r="EJ6" s="80">
        <v>0</v>
      </c>
      <c r="EK6" s="80">
        <v>0</v>
      </c>
      <c r="EL6" s="94">
        <v>0</v>
      </c>
    </row>
    <row r="7" spans="1:142" x14ac:dyDescent="0.2">
      <c r="A7" s="79">
        <v>200</v>
      </c>
      <c r="B7" s="27">
        <v>17498</v>
      </c>
      <c r="C7" s="79">
        <v>165.58439575</v>
      </c>
      <c r="D7" s="27">
        <v>151.13764803000001</v>
      </c>
      <c r="E7" s="27">
        <v>9.9440580599999995E-2</v>
      </c>
      <c r="F7" s="27">
        <v>7.3475289999999996E-4</v>
      </c>
      <c r="G7" s="79">
        <v>7.3221210000000002E-4</v>
      </c>
      <c r="H7" s="27">
        <v>1.8809099999999999E-5</v>
      </c>
      <c r="I7" s="27">
        <v>10.824596506000001</v>
      </c>
      <c r="J7" s="27">
        <v>9.5064731599999994E-2</v>
      </c>
      <c r="K7" s="27">
        <v>2.7704249247999999</v>
      </c>
      <c r="L7" s="27">
        <v>2.37736622E-2</v>
      </c>
      <c r="M7" s="27">
        <v>0.40970113520000001</v>
      </c>
      <c r="N7" s="27">
        <v>4.1453213999999997E-3</v>
      </c>
      <c r="O7" s="80" t="s">
        <v>136</v>
      </c>
      <c r="P7" s="80">
        <v>0</v>
      </c>
      <c r="Q7" s="27">
        <v>1.4215032900000001E-2</v>
      </c>
      <c r="R7" s="27">
        <v>1.2269970000000001E-4</v>
      </c>
      <c r="S7" s="80" t="s">
        <v>136</v>
      </c>
      <c r="T7" s="80">
        <v>0</v>
      </c>
      <c r="U7" s="80" t="s">
        <v>136</v>
      </c>
      <c r="V7" s="80">
        <v>0</v>
      </c>
      <c r="W7" s="27">
        <v>0</v>
      </c>
      <c r="X7" s="27">
        <v>0</v>
      </c>
      <c r="Y7" s="27">
        <v>0.2820546317</v>
      </c>
      <c r="Z7" s="27">
        <v>7.7105738000000004E-3</v>
      </c>
      <c r="AA7" s="80" t="s">
        <v>136</v>
      </c>
      <c r="AB7" s="80">
        <v>0</v>
      </c>
      <c r="AC7" s="27">
        <v>0</v>
      </c>
      <c r="AD7" s="27">
        <v>0</v>
      </c>
      <c r="AE7" s="80" t="s">
        <v>136</v>
      </c>
      <c r="AF7" s="80">
        <v>0</v>
      </c>
      <c r="AG7" s="80" t="s">
        <v>136</v>
      </c>
      <c r="AH7" s="80">
        <v>0</v>
      </c>
      <c r="AI7" s="27">
        <f t="shared" si="0"/>
        <v>0</v>
      </c>
      <c r="AJ7" s="27">
        <f t="shared" si="1"/>
        <v>0</v>
      </c>
      <c r="AK7" s="27">
        <v>4.6844964070000001</v>
      </c>
      <c r="AL7" s="27">
        <v>8.0861816899999994E-2</v>
      </c>
      <c r="AM7" s="80" t="s">
        <v>136</v>
      </c>
      <c r="AN7" s="80">
        <v>0</v>
      </c>
      <c r="AO7" s="80" t="s">
        <v>136</v>
      </c>
      <c r="AP7" s="80">
        <v>0</v>
      </c>
      <c r="AQ7" s="80" t="s">
        <v>136</v>
      </c>
      <c r="AR7" s="80">
        <v>0</v>
      </c>
      <c r="AS7" s="27">
        <v>1.3207266930999999</v>
      </c>
      <c r="AT7" s="27">
        <v>7.9155794900000007E-2</v>
      </c>
      <c r="AU7" s="27">
        <v>0.48741017390000002</v>
      </c>
      <c r="AV7" s="27">
        <v>9.9948828999999999E-3</v>
      </c>
      <c r="AW7" s="27">
        <v>0.29178405299999999</v>
      </c>
      <c r="AX7" s="27">
        <v>6.6815420000000004E-3</v>
      </c>
      <c r="AY7" s="27">
        <v>0.1375205276</v>
      </c>
      <c r="AZ7" s="27">
        <v>2.5457570000000001E-3</v>
      </c>
      <c r="BA7" s="80">
        <f t="shared" si="2"/>
        <v>5.8105593300000036E-2</v>
      </c>
      <c r="BB7" s="80">
        <f t="shared" si="3"/>
        <v>7.6758389999999864E-4</v>
      </c>
      <c r="BC7" s="27">
        <v>0</v>
      </c>
      <c r="BD7" s="80">
        <v>0</v>
      </c>
      <c r="BE7" s="27">
        <v>5.7784386580999998</v>
      </c>
      <c r="BF7" s="27">
        <v>0.11370682779999999</v>
      </c>
      <c r="BG7" s="79">
        <v>6.6896299999999998E-5</v>
      </c>
      <c r="BH7" s="80">
        <v>0</v>
      </c>
      <c r="BI7" s="27">
        <v>7.9116915003999999</v>
      </c>
      <c r="BJ7" s="27">
        <v>0.4646304101</v>
      </c>
      <c r="BK7" s="27">
        <v>1.1030291265000001</v>
      </c>
      <c r="BL7" s="27">
        <v>1.38493442E-2</v>
      </c>
      <c r="BM7" s="27">
        <v>0.51544527289999997</v>
      </c>
      <c r="BN7" s="27">
        <v>7.5330416000000001E-3</v>
      </c>
      <c r="BO7" s="27">
        <v>4.0400039999999998E-4</v>
      </c>
      <c r="BP7" s="27">
        <v>5.5597437E-6</v>
      </c>
      <c r="BQ7" s="27">
        <v>0</v>
      </c>
      <c r="BR7" s="92">
        <v>0</v>
      </c>
      <c r="BS7" s="80" t="s">
        <v>136</v>
      </c>
      <c r="BT7" s="80">
        <v>0</v>
      </c>
      <c r="BU7" s="79">
        <v>9.4074463000000004E-3</v>
      </c>
      <c r="BV7" s="27">
        <v>1.3860080000000001E-4</v>
      </c>
      <c r="BW7" s="27">
        <v>0.40029368900000001</v>
      </c>
      <c r="BX7" s="27">
        <v>4.0067206000000003E-3</v>
      </c>
      <c r="BY7" s="80" t="s">
        <v>136</v>
      </c>
      <c r="BZ7" s="80">
        <v>0</v>
      </c>
      <c r="CA7" s="80" t="s">
        <v>136</v>
      </c>
      <c r="CB7" s="80">
        <v>0</v>
      </c>
      <c r="CC7" s="27">
        <v>0</v>
      </c>
      <c r="CD7" s="27">
        <v>1.8799300000000001E-5</v>
      </c>
      <c r="CE7" s="27">
        <v>1.4215032900000001E-2</v>
      </c>
      <c r="CF7" s="92">
        <v>1.0390040000000001E-4</v>
      </c>
      <c r="CG7" s="80" t="s">
        <v>136</v>
      </c>
      <c r="CH7" s="80">
        <v>0</v>
      </c>
      <c r="CI7" s="80" t="s">
        <v>136</v>
      </c>
      <c r="CJ7" s="80">
        <v>0</v>
      </c>
      <c r="CK7" s="80" t="s">
        <v>136</v>
      </c>
      <c r="CL7" s="80">
        <v>0</v>
      </c>
      <c r="CM7" s="80" t="s">
        <v>136</v>
      </c>
      <c r="CN7" s="80">
        <v>0</v>
      </c>
      <c r="CO7" s="79">
        <v>0</v>
      </c>
      <c r="CP7" s="27">
        <v>0</v>
      </c>
      <c r="CQ7" s="27">
        <v>0</v>
      </c>
      <c r="CR7" s="27">
        <v>0</v>
      </c>
      <c r="CS7" s="27">
        <v>0</v>
      </c>
      <c r="CT7" s="27">
        <v>0</v>
      </c>
      <c r="CU7" s="27">
        <v>0.2820546317</v>
      </c>
      <c r="CV7" s="92">
        <v>7.7105738000000004E-3</v>
      </c>
      <c r="CW7" s="80" t="s">
        <v>136</v>
      </c>
      <c r="CX7" s="80">
        <v>0</v>
      </c>
      <c r="CY7" s="80" t="s">
        <v>136</v>
      </c>
      <c r="CZ7" s="80">
        <v>0</v>
      </c>
      <c r="DA7" s="79">
        <v>0.1505167553</v>
      </c>
      <c r="DB7" s="27">
        <v>4.3541155000000002E-3</v>
      </c>
      <c r="DC7" s="27">
        <v>1.1702099377999999</v>
      </c>
      <c r="DD7" s="27">
        <v>7.4801679400000001E-2</v>
      </c>
      <c r="DE7" s="27">
        <v>0.1034592763</v>
      </c>
      <c r="DF7" s="27">
        <v>1.0433975999999999E-2</v>
      </c>
      <c r="DG7" s="27">
        <v>5.6749793818000001</v>
      </c>
      <c r="DH7" s="92">
        <v>0.1032728518</v>
      </c>
      <c r="DI7" s="95">
        <v>1.8809099999999999E-5</v>
      </c>
      <c r="DJ7" s="96">
        <v>3.7618199999999998E-5</v>
      </c>
      <c r="DK7" s="96">
        <v>4.7377599999999999E-5</v>
      </c>
      <c r="DL7" s="96">
        <v>5.7136899999999998E-5</v>
      </c>
      <c r="DM7" s="96">
        <v>6.6896299999999998E-5</v>
      </c>
      <c r="DN7" s="96">
        <v>6.6896299999999998E-5</v>
      </c>
      <c r="DO7" s="96">
        <v>6.6896299999999998E-5</v>
      </c>
      <c r="DP7" s="96">
        <v>6.6896299999999998E-5</v>
      </c>
      <c r="DQ7" s="96">
        <v>6.6896299999999998E-5</v>
      </c>
      <c r="DR7" s="97">
        <v>6.6896299999999998E-5</v>
      </c>
      <c r="DS7" s="93">
        <v>0.1636136856</v>
      </c>
      <c r="DT7" s="80">
        <v>2.6425146000000001E-3</v>
      </c>
      <c r="DU7" s="80">
        <v>7.4406973999999997E-3</v>
      </c>
      <c r="DV7" s="80">
        <v>2.6148099999999999E-4</v>
      </c>
      <c r="DW7" s="80">
        <v>1.2717202999999999E-3</v>
      </c>
      <c r="DX7" s="80">
        <v>4.9655399999999999E-5</v>
      </c>
      <c r="DY7" s="80">
        <v>4.1766859999999999E-4</v>
      </c>
      <c r="DZ7" s="80">
        <v>1.7949699999999999E-5</v>
      </c>
      <c r="EA7" s="80">
        <v>1.325772E-4</v>
      </c>
      <c r="EB7" s="80">
        <v>6.1949788000000002E-6</v>
      </c>
      <c r="EC7" s="80">
        <v>0</v>
      </c>
      <c r="ED7" s="80">
        <v>0</v>
      </c>
      <c r="EE7" s="80">
        <v>0</v>
      </c>
      <c r="EF7" s="80">
        <v>0</v>
      </c>
      <c r="EG7" s="80">
        <v>0</v>
      </c>
      <c r="EH7" s="80">
        <v>0</v>
      </c>
      <c r="EI7" s="80">
        <v>0</v>
      </c>
      <c r="EJ7" s="80">
        <v>0</v>
      </c>
      <c r="EK7" s="80">
        <v>0</v>
      </c>
      <c r="EL7" s="94">
        <v>0</v>
      </c>
    </row>
    <row r="8" spans="1:142" x14ac:dyDescent="0.2">
      <c r="A8" s="79">
        <v>300</v>
      </c>
      <c r="B8" s="27">
        <v>16697</v>
      </c>
      <c r="C8" s="79">
        <v>242.98779164999999</v>
      </c>
      <c r="D8" s="27">
        <v>248.66010456000001</v>
      </c>
      <c r="E8" s="27">
        <v>0.41145047330000001</v>
      </c>
      <c r="F8" s="27">
        <v>2.0518943E-3</v>
      </c>
      <c r="G8" s="79">
        <v>5.6732620000000001E-4</v>
      </c>
      <c r="H8" s="27">
        <v>2.70608E-5</v>
      </c>
      <c r="I8" s="27">
        <v>22.011908365</v>
      </c>
      <c r="J8" s="27">
        <v>0.1731271801</v>
      </c>
      <c r="K8" s="27">
        <v>5.9666520646999999</v>
      </c>
      <c r="L8" s="27">
        <v>4.4862808699999999E-2</v>
      </c>
      <c r="M8" s="27">
        <v>0.77360027210000004</v>
      </c>
      <c r="N8" s="27">
        <v>7.4276727000000004E-3</v>
      </c>
      <c r="O8" s="80" t="s">
        <v>136</v>
      </c>
      <c r="P8" s="80">
        <v>0</v>
      </c>
      <c r="Q8" s="27">
        <v>2.70806247E-2</v>
      </c>
      <c r="R8" s="27">
        <v>2.2609130000000001E-4</v>
      </c>
      <c r="S8" s="80" t="s">
        <v>136</v>
      </c>
      <c r="T8" s="80">
        <v>0</v>
      </c>
      <c r="U8" s="80" t="s">
        <v>136</v>
      </c>
      <c r="V8" s="80">
        <v>0</v>
      </c>
      <c r="W8" s="27">
        <v>0</v>
      </c>
      <c r="X8" s="27">
        <v>0</v>
      </c>
      <c r="Y8" s="27">
        <v>0.68923054360000002</v>
      </c>
      <c r="Z8" s="27">
        <v>1.83912655E-2</v>
      </c>
      <c r="AA8" s="80" t="s">
        <v>136</v>
      </c>
      <c r="AB8" s="80">
        <v>0</v>
      </c>
      <c r="AC8" s="27">
        <v>0</v>
      </c>
      <c r="AD8" s="27">
        <v>0</v>
      </c>
      <c r="AE8" s="80" t="s">
        <v>136</v>
      </c>
      <c r="AF8" s="80">
        <v>0</v>
      </c>
      <c r="AG8" s="80" t="s">
        <v>136</v>
      </c>
      <c r="AH8" s="80">
        <v>0</v>
      </c>
      <c r="AI8" s="27">
        <f t="shared" si="0"/>
        <v>0</v>
      </c>
      <c r="AJ8" s="27">
        <f t="shared" si="1"/>
        <v>0</v>
      </c>
      <c r="AK8" s="27">
        <v>8.4009498394000008</v>
      </c>
      <c r="AL8" s="27">
        <v>0.15048038599999999</v>
      </c>
      <c r="AM8" s="80" t="s">
        <v>136</v>
      </c>
      <c r="AN8" s="80">
        <v>0</v>
      </c>
      <c r="AO8" s="80" t="s">
        <v>136</v>
      </c>
      <c r="AP8" s="80">
        <v>0</v>
      </c>
      <c r="AQ8" s="80" t="s">
        <v>136</v>
      </c>
      <c r="AR8" s="80">
        <v>0</v>
      </c>
      <c r="AS8" s="27">
        <v>3.1152206570000001</v>
      </c>
      <c r="AT8" s="27">
        <v>0.1768726857</v>
      </c>
      <c r="AU8" s="27">
        <v>1.3910416079000001</v>
      </c>
      <c r="AV8" s="27">
        <v>2.4600515E-2</v>
      </c>
      <c r="AW8" s="27">
        <v>0.74704665969999995</v>
      </c>
      <c r="AX8" s="27">
        <v>1.52483975E-2</v>
      </c>
      <c r="AY8" s="27">
        <v>0.45213315040000002</v>
      </c>
      <c r="AZ8" s="27">
        <v>7.3465598999999998E-3</v>
      </c>
      <c r="BA8" s="80">
        <f t="shared" si="2"/>
        <v>0.19186179780000012</v>
      </c>
      <c r="BB8" s="80">
        <f t="shared" si="3"/>
        <v>2.0055575999999992E-3</v>
      </c>
      <c r="BC8" s="27">
        <v>0</v>
      </c>
      <c r="BD8" s="80">
        <v>0</v>
      </c>
      <c r="BE8" s="27">
        <v>10.672788582000001</v>
      </c>
      <c r="BF8" s="27">
        <v>0.1809782499</v>
      </c>
      <c r="BG8" s="79">
        <v>6.8013800000000003E-5</v>
      </c>
      <c r="BH8" s="80">
        <v>0</v>
      </c>
      <c r="BI8" s="27">
        <v>12.682753218</v>
      </c>
      <c r="BJ8" s="27">
        <v>0.68047721059999999</v>
      </c>
      <c r="BK8" s="27">
        <v>2.6163313348999999</v>
      </c>
      <c r="BL8" s="27">
        <v>2.6695175599999999E-2</v>
      </c>
      <c r="BM8" s="27">
        <v>1.1063479817999999</v>
      </c>
      <c r="BN8" s="27">
        <v>1.28041237E-2</v>
      </c>
      <c r="BO8" s="27">
        <v>5.8861848000000003E-3</v>
      </c>
      <c r="BP8" s="27">
        <v>6.7869999999999999E-5</v>
      </c>
      <c r="BQ8" s="27">
        <v>0</v>
      </c>
      <c r="BR8" s="92">
        <v>0</v>
      </c>
      <c r="BS8" s="80" t="s">
        <v>136</v>
      </c>
      <c r="BT8" s="80">
        <v>0</v>
      </c>
      <c r="BU8" s="79">
        <v>9.8736503999999996E-3</v>
      </c>
      <c r="BV8" s="27">
        <v>1.5373089999999999E-4</v>
      </c>
      <c r="BW8" s="27">
        <v>0.76372662170000005</v>
      </c>
      <c r="BX8" s="27">
        <v>7.2739416999999997E-3</v>
      </c>
      <c r="BY8" s="80" t="s">
        <v>136</v>
      </c>
      <c r="BZ8" s="80">
        <v>0</v>
      </c>
      <c r="CA8" s="80" t="s">
        <v>136</v>
      </c>
      <c r="CB8" s="80">
        <v>0</v>
      </c>
      <c r="CC8" s="27">
        <v>0</v>
      </c>
      <c r="CD8" s="27">
        <v>1.65598E-5</v>
      </c>
      <c r="CE8" s="27">
        <v>2.70806247E-2</v>
      </c>
      <c r="CF8" s="92">
        <v>2.095315E-4</v>
      </c>
      <c r="CG8" s="80" t="s">
        <v>136</v>
      </c>
      <c r="CH8" s="80">
        <v>0</v>
      </c>
      <c r="CI8" s="80" t="s">
        <v>136</v>
      </c>
      <c r="CJ8" s="80">
        <v>0</v>
      </c>
      <c r="CK8" s="80" t="s">
        <v>136</v>
      </c>
      <c r="CL8" s="80">
        <v>0</v>
      </c>
      <c r="CM8" s="80" t="s">
        <v>136</v>
      </c>
      <c r="CN8" s="80">
        <v>0</v>
      </c>
      <c r="CO8" s="79">
        <v>0</v>
      </c>
      <c r="CP8" s="27">
        <v>0</v>
      </c>
      <c r="CQ8" s="27">
        <v>0</v>
      </c>
      <c r="CR8" s="27">
        <v>0</v>
      </c>
      <c r="CS8" s="27">
        <v>1.0431824000000001E-3</v>
      </c>
      <c r="CT8" s="27">
        <v>3.9011699999999998E-5</v>
      </c>
      <c r="CU8" s="27">
        <v>0.68818736120000001</v>
      </c>
      <c r="CV8" s="92">
        <v>1.8352253799999999E-2</v>
      </c>
      <c r="CW8" s="80" t="s">
        <v>136</v>
      </c>
      <c r="CX8" s="80">
        <v>0</v>
      </c>
      <c r="CY8" s="80" t="s">
        <v>136</v>
      </c>
      <c r="CZ8" s="80">
        <v>0</v>
      </c>
      <c r="DA8" s="79">
        <v>0.33245078709999998</v>
      </c>
      <c r="DB8" s="27">
        <v>9.3287740999999993E-3</v>
      </c>
      <c r="DC8" s="27">
        <v>2.7827698699000001</v>
      </c>
      <c r="DD8" s="27">
        <v>0.16754391160000001</v>
      </c>
      <c r="DE8" s="27">
        <v>0.26483179220000003</v>
      </c>
      <c r="DF8" s="27">
        <v>2.16430476E-2</v>
      </c>
      <c r="DG8" s="27">
        <v>10.40795679</v>
      </c>
      <c r="DH8" s="92">
        <v>0.15933520239999999</v>
      </c>
      <c r="DI8" s="95">
        <v>2.70608E-5</v>
      </c>
      <c r="DJ8" s="96">
        <v>4.2557900000000001E-5</v>
      </c>
      <c r="DK8" s="96">
        <v>5.1043199999999999E-5</v>
      </c>
      <c r="DL8" s="96">
        <v>5.9528499999999998E-5</v>
      </c>
      <c r="DM8" s="96">
        <v>6.8013800000000003E-5</v>
      </c>
      <c r="DN8" s="96">
        <v>6.8013800000000003E-5</v>
      </c>
      <c r="DO8" s="96">
        <v>6.8013800000000003E-5</v>
      </c>
      <c r="DP8" s="96">
        <v>6.8013800000000003E-5</v>
      </c>
      <c r="DQ8" s="96">
        <v>6.8013800000000003E-5</v>
      </c>
      <c r="DR8" s="97">
        <v>6.8013800000000003E-5</v>
      </c>
      <c r="DS8" s="93">
        <v>1.5943810164000001</v>
      </c>
      <c r="DT8" s="80">
        <v>1.6461007699999999E-2</v>
      </c>
      <c r="DU8" s="80">
        <v>4.1808661599999998E-2</v>
      </c>
      <c r="DV8" s="80">
        <v>7.4249199999999998E-4</v>
      </c>
      <c r="DW8" s="80">
        <v>2.6494220999999998E-3</v>
      </c>
      <c r="DX8" s="80">
        <v>8.3901900000000004E-5</v>
      </c>
      <c r="DY8" s="80">
        <v>3.3207739999999999E-4</v>
      </c>
      <c r="DZ8" s="80">
        <v>1.42514E-5</v>
      </c>
      <c r="EA8" s="80">
        <v>1.0443860000000001E-4</v>
      </c>
      <c r="EB8" s="80">
        <v>4.8801369999999996E-6</v>
      </c>
      <c r="EC8" s="80">
        <v>0</v>
      </c>
      <c r="ED8" s="80">
        <v>0</v>
      </c>
      <c r="EE8" s="80">
        <v>0</v>
      </c>
      <c r="EF8" s="80">
        <v>0</v>
      </c>
      <c r="EG8" s="80">
        <v>0</v>
      </c>
      <c r="EH8" s="80">
        <v>0</v>
      </c>
      <c r="EI8" s="80">
        <v>0</v>
      </c>
      <c r="EJ8" s="80">
        <v>0</v>
      </c>
      <c r="EK8" s="80">
        <v>0</v>
      </c>
      <c r="EL8" s="94">
        <v>0</v>
      </c>
    </row>
    <row r="9" spans="1:142" x14ac:dyDescent="0.2">
      <c r="A9" s="79">
        <v>400</v>
      </c>
      <c r="B9" s="27">
        <v>15107</v>
      </c>
      <c r="C9" s="79">
        <v>317.10612429000003</v>
      </c>
      <c r="D9" s="27">
        <v>349.29363812999998</v>
      </c>
      <c r="E9" s="27">
        <v>1.0020532995</v>
      </c>
      <c r="F9" s="27">
        <v>3.9541152999999999E-3</v>
      </c>
      <c r="G9" s="79">
        <v>4.5661939999999999E-4</v>
      </c>
      <c r="H9" s="27">
        <v>2.3409199999999999E-5</v>
      </c>
      <c r="I9" s="27">
        <v>32.693269524000002</v>
      </c>
      <c r="J9" s="27">
        <v>0.2457963681</v>
      </c>
      <c r="K9" s="27">
        <v>8.9449358105000005</v>
      </c>
      <c r="L9" s="27">
        <v>6.3814633400000001E-2</v>
      </c>
      <c r="M9" s="27">
        <v>1.3279172059</v>
      </c>
      <c r="N9" s="27">
        <v>1.30160303E-2</v>
      </c>
      <c r="O9" s="80" t="s">
        <v>136</v>
      </c>
      <c r="P9" s="80">
        <v>0</v>
      </c>
      <c r="Q9" s="27">
        <v>3.8841952399999997E-2</v>
      </c>
      <c r="R9" s="27">
        <v>3.6069280000000002E-4</v>
      </c>
      <c r="S9" s="80" t="s">
        <v>136</v>
      </c>
      <c r="T9" s="80">
        <v>0</v>
      </c>
      <c r="U9" s="80" t="s">
        <v>136</v>
      </c>
      <c r="V9" s="80">
        <v>0</v>
      </c>
      <c r="W9" s="27">
        <v>0</v>
      </c>
      <c r="X9" s="27">
        <v>0</v>
      </c>
      <c r="Y9" s="27">
        <v>1.0696286039</v>
      </c>
      <c r="Z9" s="27">
        <v>2.8227777200000002E-2</v>
      </c>
      <c r="AA9" s="80" t="s">
        <v>136</v>
      </c>
      <c r="AB9" s="80">
        <v>0</v>
      </c>
      <c r="AC9" s="27">
        <v>0</v>
      </c>
      <c r="AD9" s="27">
        <v>0</v>
      </c>
      <c r="AE9" s="80" t="s">
        <v>136</v>
      </c>
      <c r="AF9" s="80">
        <v>0</v>
      </c>
      <c r="AG9" s="80" t="s">
        <v>136</v>
      </c>
      <c r="AH9" s="80">
        <v>0</v>
      </c>
      <c r="AI9" s="27">
        <f t="shared" si="0"/>
        <v>0</v>
      </c>
      <c r="AJ9" s="27">
        <f t="shared" si="1"/>
        <v>0</v>
      </c>
      <c r="AK9" s="27">
        <v>12.558205205</v>
      </c>
      <c r="AL9" s="27">
        <v>0.2278337674</v>
      </c>
      <c r="AM9" s="80" t="s">
        <v>136</v>
      </c>
      <c r="AN9" s="80">
        <v>0</v>
      </c>
      <c r="AO9" s="80" t="s">
        <v>136</v>
      </c>
      <c r="AP9" s="80">
        <v>0</v>
      </c>
      <c r="AQ9" s="80" t="s">
        <v>136</v>
      </c>
      <c r="AR9" s="80">
        <v>0</v>
      </c>
      <c r="AS9" s="27">
        <v>5.3935924389999998</v>
      </c>
      <c r="AT9" s="27">
        <v>0.29258012179999998</v>
      </c>
      <c r="AU9" s="27">
        <v>2.5445480303000001</v>
      </c>
      <c r="AV9" s="27">
        <v>4.0466400999999999E-2</v>
      </c>
      <c r="AW9" s="27">
        <v>1.2806759582</v>
      </c>
      <c r="AX9" s="27">
        <v>2.4120972500000001E-2</v>
      </c>
      <c r="AY9" s="27">
        <v>0.77332778059999996</v>
      </c>
      <c r="AZ9" s="27">
        <v>1.2144423099999999E-2</v>
      </c>
      <c r="BA9" s="80">
        <f t="shared" si="2"/>
        <v>0.49054429150000001</v>
      </c>
      <c r="BB9" s="80">
        <f t="shared" si="3"/>
        <v>4.2010053999999991E-3</v>
      </c>
      <c r="BC9" s="27">
        <v>0</v>
      </c>
      <c r="BD9" s="80">
        <v>0</v>
      </c>
      <c r="BE9" s="27">
        <v>15.284984908</v>
      </c>
      <c r="BF9" s="27">
        <v>0.24657643639999999</v>
      </c>
      <c r="BG9" s="79">
        <v>5.9675700000000002E-5</v>
      </c>
      <c r="BH9" s="80">
        <v>0</v>
      </c>
      <c r="BI9" s="27">
        <v>17.667884569999998</v>
      </c>
      <c r="BJ9" s="27">
        <v>0.9001850146</v>
      </c>
      <c r="BK9" s="27">
        <v>4.3166890012000003</v>
      </c>
      <c r="BL9" s="27">
        <v>4.0928716099999998E-2</v>
      </c>
      <c r="BM9" s="27">
        <v>1.8023974282999999</v>
      </c>
      <c r="BN9" s="27">
        <v>1.8428385700000001E-2</v>
      </c>
      <c r="BO9" s="27">
        <v>8.0300197E-3</v>
      </c>
      <c r="BP9" s="27">
        <v>7.8149699999999995E-5</v>
      </c>
      <c r="BQ9" s="27">
        <v>0</v>
      </c>
      <c r="BR9" s="92">
        <v>0</v>
      </c>
      <c r="BS9" s="80" t="s">
        <v>136</v>
      </c>
      <c r="BT9" s="80">
        <v>0</v>
      </c>
      <c r="BU9" s="79">
        <v>1.10299179E-2</v>
      </c>
      <c r="BV9" s="27">
        <v>1.7409399999999999E-4</v>
      </c>
      <c r="BW9" s="27">
        <v>1.3168872879</v>
      </c>
      <c r="BX9" s="27">
        <v>1.2841936300000001E-2</v>
      </c>
      <c r="BY9" s="80" t="s">
        <v>136</v>
      </c>
      <c r="BZ9" s="80">
        <v>0</v>
      </c>
      <c r="CA9" s="80" t="s">
        <v>136</v>
      </c>
      <c r="CB9" s="80">
        <v>0</v>
      </c>
      <c r="CC9" s="27">
        <v>6.5459723999999999E-3</v>
      </c>
      <c r="CD9" s="27">
        <v>9.2033499999999999E-5</v>
      </c>
      <c r="CE9" s="27">
        <v>3.2295980000000002E-2</v>
      </c>
      <c r="CF9" s="92">
        <v>2.686594E-4</v>
      </c>
      <c r="CG9" s="80" t="s">
        <v>136</v>
      </c>
      <c r="CH9" s="80">
        <v>0</v>
      </c>
      <c r="CI9" s="80" t="s">
        <v>136</v>
      </c>
      <c r="CJ9" s="80">
        <v>0</v>
      </c>
      <c r="CK9" s="80" t="s">
        <v>136</v>
      </c>
      <c r="CL9" s="80">
        <v>0</v>
      </c>
      <c r="CM9" s="80" t="s">
        <v>136</v>
      </c>
      <c r="CN9" s="80">
        <v>0</v>
      </c>
      <c r="CO9" s="79">
        <v>0</v>
      </c>
      <c r="CP9" s="27">
        <v>0</v>
      </c>
      <c r="CQ9" s="27">
        <v>0</v>
      </c>
      <c r="CR9" s="27">
        <v>0</v>
      </c>
      <c r="CS9" s="27">
        <v>6.3508465999999996E-3</v>
      </c>
      <c r="CT9" s="27">
        <v>1.5444140000000001E-4</v>
      </c>
      <c r="CU9" s="27">
        <v>1.0632777573000001</v>
      </c>
      <c r="CV9" s="92">
        <v>2.8073335800000002E-2</v>
      </c>
      <c r="CW9" s="80" t="s">
        <v>136</v>
      </c>
      <c r="CX9" s="80">
        <v>0</v>
      </c>
      <c r="CY9" s="80" t="s">
        <v>136</v>
      </c>
      <c r="CZ9" s="80">
        <v>0</v>
      </c>
      <c r="DA9" s="79">
        <v>0.61236011899999998</v>
      </c>
      <c r="DB9" s="27">
        <v>1.66888907E-2</v>
      </c>
      <c r="DC9" s="27">
        <v>4.78123232</v>
      </c>
      <c r="DD9" s="27">
        <v>0.27589123110000002</v>
      </c>
      <c r="DE9" s="27">
        <v>0.4553239999</v>
      </c>
      <c r="DF9" s="27">
        <v>3.6648737100000002E-2</v>
      </c>
      <c r="DG9" s="27">
        <v>14.829660908999999</v>
      </c>
      <c r="DH9" s="92">
        <v>0.20992769929999999</v>
      </c>
      <c r="DI9" s="95">
        <v>2.3409199999999999E-5</v>
      </c>
      <c r="DJ9" s="96">
        <v>3.6708500000000003E-5</v>
      </c>
      <c r="DK9" s="96">
        <v>4.4364299999999998E-5</v>
      </c>
      <c r="DL9" s="96">
        <v>5.202E-5</v>
      </c>
      <c r="DM9" s="96">
        <v>5.9675700000000002E-5</v>
      </c>
      <c r="DN9" s="96">
        <v>5.9675700000000002E-5</v>
      </c>
      <c r="DO9" s="96">
        <v>5.9675700000000002E-5</v>
      </c>
      <c r="DP9" s="96">
        <v>5.9675700000000002E-5</v>
      </c>
      <c r="DQ9" s="96">
        <v>5.9675700000000002E-5</v>
      </c>
      <c r="DR9" s="97">
        <v>5.9675700000000002E-5</v>
      </c>
      <c r="DS9" s="93">
        <v>4.3683743575999996</v>
      </c>
      <c r="DT9" s="80">
        <v>3.9716196600000003E-2</v>
      </c>
      <c r="DU9" s="80">
        <v>0.28874508780000002</v>
      </c>
      <c r="DV9" s="80">
        <v>3.3958961999999999E-3</v>
      </c>
      <c r="DW9" s="80">
        <v>1.33586591E-2</v>
      </c>
      <c r="DX9" s="80">
        <v>2.5792840000000002E-4</v>
      </c>
      <c r="DY9" s="80">
        <v>1.5712114E-3</v>
      </c>
      <c r="DZ9" s="80">
        <v>4.46867E-5</v>
      </c>
      <c r="EA9" s="80">
        <v>6.7165669999999999E-4</v>
      </c>
      <c r="EB9" s="80">
        <v>1.8510000000000001E-5</v>
      </c>
      <c r="EC9" s="80">
        <v>1.4519899999999999E-4</v>
      </c>
      <c r="ED9" s="80">
        <v>3.8334091E-6</v>
      </c>
      <c r="EE9" s="80">
        <v>0</v>
      </c>
      <c r="EF9" s="80">
        <v>0</v>
      </c>
      <c r="EG9" s="80">
        <v>0</v>
      </c>
      <c r="EH9" s="80">
        <v>0</v>
      </c>
      <c r="EI9" s="80">
        <v>0</v>
      </c>
      <c r="EJ9" s="80">
        <v>0</v>
      </c>
      <c r="EK9" s="80">
        <v>0</v>
      </c>
      <c r="EL9" s="94">
        <v>0</v>
      </c>
    </row>
    <row r="10" spans="1:142" x14ac:dyDescent="0.2">
      <c r="A10" s="79">
        <v>500</v>
      </c>
      <c r="B10" s="27">
        <v>13809</v>
      </c>
      <c r="C10" s="79">
        <v>388.26814893</v>
      </c>
      <c r="D10" s="27">
        <v>449.29162219</v>
      </c>
      <c r="E10" s="27">
        <v>1.8536180325</v>
      </c>
      <c r="F10" s="27">
        <v>6.1780749000000003E-3</v>
      </c>
      <c r="G10" s="79">
        <v>2.6101248E-3</v>
      </c>
      <c r="H10" s="27">
        <v>3.2588500000000001E-5</v>
      </c>
      <c r="I10" s="27">
        <v>42.954066044999998</v>
      </c>
      <c r="J10" s="27">
        <v>0.31270099099999998</v>
      </c>
      <c r="K10" s="27">
        <v>11.902562584</v>
      </c>
      <c r="L10" s="27">
        <v>8.2006367499999996E-2</v>
      </c>
      <c r="M10" s="27">
        <v>1.8388302506</v>
      </c>
      <c r="N10" s="27">
        <v>1.78682613E-2</v>
      </c>
      <c r="O10" s="80" t="s">
        <v>136</v>
      </c>
      <c r="P10" s="80">
        <v>0</v>
      </c>
      <c r="Q10" s="27">
        <v>6.9466304199999995E-2</v>
      </c>
      <c r="R10" s="27">
        <v>5.1726799999999998E-4</v>
      </c>
      <c r="S10" s="80" t="s">
        <v>136</v>
      </c>
      <c r="T10" s="80">
        <v>0</v>
      </c>
      <c r="U10" s="80" t="s">
        <v>136</v>
      </c>
      <c r="V10" s="80">
        <v>0</v>
      </c>
      <c r="W10" s="27">
        <v>1.7489668999999999E-3</v>
      </c>
      <c r="X10" s="27">
        <v>1.7327099999999999E-5</v>
      </c>
      <c r="Y10" s="27">
        <v>1.5254408407</v>
      </c>
      <c r="Z10" s="27">
        <v>3.9860562099999997E-2</v>
      </c>
      <c r="AA10" s="80" t="s">
        <v>136</v>
      </c>
      <c r="AB10" s="80">
        <v>0</v>
      </c>
      <c r="AC10" s="27">
        <v>0</v>
      </c>
      <c r="AD10" s="27">
        <v>0</v>
      </c>
      <c r="AE10" s="80" t="s">
        <v>136</v>
      </c>
      <c r="AF10" s="80">
        <v>0</v>
      </c>
      <c r="AG10" s="80" t="s">
        <v>136</v>
      </c>
      <c r="AH10" s="80">
        <v>0</v>
      </c>
      <c r="AI10" s="27">
        <f t="shared" si="0"/>
        <v>0</v>
      </c>
      <c r="AJ10" s="27">
        <f t="shared" si="1"/>
        <v>0</v>
      </c>
      <c r="AK10" s="27">
        <v>16.702266396999999</v>
      </c>
      <c r="AL10" s="27">
        <v>0.30422294779999998</v>
      </c>
      <c r="AM10" s="80" t="s">
        <v>136</v>
      </c>
      <c r="AN10" s="80">
        <v>0</v>
      </c>
      <c r="AO10" s="80" t="s">
        <v>136</v>
      </c>
      <c r="AP10" s="80">
        <v>0</v>
      </c>
      <c r="AQ10" s="80" t="s">
        <v>136</v>
      </c>
      <c r="AR10" s="80">
        <v>0</v>
      </c>
      <c r="AS10" s="27">
        <v>7.9172102475999999</v>
      </c>
      <c r="AT10" s="27">
        <v>0.41079793190000002</v>
      </c>
      <c r="AU10" s="27">
        <v>3.6466899076999999</v>
      </c>
      <c r="AV10" s="27">
        <v>5.47871557E-2</v>
      </c>
      <c r="AW10" s="27">
        <v>1.7898743645999999</v>
      </c>
      <c r="AX10" s="27">
        <v>3.2066765800000001E-2</v>
      </c>
      <c r="AY10" s="27">
        <v>1.0935285287000001</v>
      </c>
      <c r="AZ10" s="27">
        <v>1.6642311600000001E-2</v>
      </c>
      <c r="BA10" s="80">
        <f t="shared" si="2"/>
        <v>0.76328701439999991</v>
      </c>
      <c r="BB10" s="80">
        <f t="shared" si="3"/>
        <v>6.0780782999999977E-3</v>
      </c>
      <c r="BC10" s="27">
        <v>0</v>
      </c>
      <c r="BD10" s="80">
        <v>0</v>
      </c>
      <c r="BE10" s="27">
        <v>19.781958371000002</v>
      </c>
      <c r="BF10" s="27">
        <v>0.30886244309999999</v>
      </c>
      <c r="BG10" s="79">
        <v>7.2604100000000005E-5</v>
      </c>
      <c r="BH10" s="80">
        <v>0</v>
      </c>
      <c r="BI10" s="27">
        <v>22.889469516999998</v>
      </c>
      <c r="BJ10" s="27">
        <v>1.1150112913000001</v>
      </c>
      <c r="BK10" s="27">
        <v>6.3523723378000003</v>
      </c>
      <c r="BL10" s="27">
        <v>5.6833198600000003E-2</v>
      </c>
      <c r="BM10" s="27">
        <v>2.5497970696999999</v>
      </c>
      <c r="BN10" s="27">
        <v>2.3883162900000001E-2</v>
      </c>
      <c r="BO10" s="27">
        <v>9.8488779000000005E-3</v>
      </c>
      <c r="BP10" s="27">
        <v>1.0418170000000001E-4</v>
      </c>
      <c r="BQ10" s="27">
        <v>0</v>
      </c>
      <c r="BR10" s="92">
        <v>0</v>
      </c>
      <c r="BS10" s="80" t="s">
        <v>136</v>
      </c>
      <c r="BT10" s="80">
        <v>0</v>
      </c>
      <c r="BU10" s="79">
        <v>1.5157597199999999E-2</v>
      </c>
      <c r="BV10" s="27">
        <v>2.3592350000000001E-4</v>
      </c>
      <c r="BW10" s="27">
        <v>1.8236726533000001</v>
      </c>
      <c r="BX10" s="27">
        <v>1.76323379E-2</v>
      </c>
      <c r="BY10" s="80" t="s">
        <v>136</v>
      </c>
      <c r="BZ10" s="80">
        <v>0</v>
      </c>
      <c r="CA10" s="80" t="s">
        <v>136</v>
      </c>
      <c r="CB10" s="80">
        <v>0</v>
      </c>
      <c r="CC10" s="27">
        <v>1.20436898E-2</v>
      </c>
      <c r="CD10" s="27">
        <v>1.177226E-4</v>
      </c>
      <c r="CE10" s="27">
        <v>5.7422614400000002E-2</v>
      </c>
      <c r="CF10" s="92">
        <v>3.9954539999999998E-4</v>
      </c>
      <c r="CG10" s="80" t="s">
        <v>136</v>
      </c>
      <c r="CH10" s="80">
        <v>0</v>
      </c>
      <c r="CI10" s="80" t="s">
        <v>136</v>
      </c>
      <c r="CJ10" s="80">
        <v>0</v>
      </c>
      <c r="CK10" s="80" t="s">
        <v>136</v>
      </c>
      <c r="CL10" s="80">
        <v>0</v>
      </c>
      <c r="CM10" s="80" t="s">
        <v>136</v>
      </c>
      <c r="CN10" s="80">
        <v>0</v>
      </c>
      <c r="CO10" s="79">
        <v>0</v>
      </c>
      <c r="CP10" s="27">
        <v>0</v>
      </c>
      <c r="CQ10" s="27">
        <v>1.7489668999999999E-3</v>
      </c>
      <c r="CR10" s="27">
        <v>1.7327099999999999E-5</v>
      </c>
      <c r="CS10" s="27">
        <v>1.9907097200000001E-2</v>
      </c>
      <c r="CT10" s="27">
        <v>3.6714149999999998E-4</v>
      </c>
      <c r="CU10" s="27">
        <v>1.5055337435</v>
      </c>
      <c r="CV10" s="92">
        <v>3.9493420600000002E-2</v>
      </c>
      <c r="CW10" s="80" t="s">
        <v>136</v>
      </c>
      <c r="CX10" s="80">
        <v>0</v>
      </c>
      <c r="CY10" s="80" t="s">
        <v>136</v>
      </c>
      <c r="CZ10" s="80">
        <v>0</v>
      </c>
      <c r="DA10" s="79">
        <v>1.0049780936999999</v>
      </c>
      <c r="DB10" s="27">
        <v>2.5393912000000001E-2</v>
      </c>
      <c r="DC10" s="27">
        <v>6.9122321537999998</v>
      </c>
      <c r="DD10" s="27">
        <v>0.38540401990000001</v>
      </c>
      <c r="DE10" s="27">
        <v>0.68671713499999998</v>
      </c>
      <c r="DF10" s="27">
        <v>5.1523588699999998E-2</v>
      </c>
      <c r="DG10" s="27">
        <v>19.095241236</v>
      </c>
      <c r="DH10" s="92">
        <v>0.25733885439999998</v>
      </c>
      <c r="DI10" s="95">
        <v>3.2588500000000001E-5</v>
      </c>
      <c r="DJ10" s="96">
        <v>5.1434699999999997E-5</v>
      </c>
      <c r="DK10" s="96">
        <v>5.84912E-5</v>
      </c>
      <c r="DL10" s="96">
        <v>6.5547600000000002E-5</v>
      </c>
      <c r="DM10" s="96">
        <v>7.2604100000000005E-5</v>
      </c>
      <c r="DN10" s="96">
        <v>7.2604100000000005E-5</v>
      </c>
      <c r="DO10" s="96">
        <v>7.2604100000000005E-5</v>
      </c>
      <c r="DP10" s="96">
        <v>7.2604100000000005E-5</v>
      </c>
      <c r="DQ10" s="96">
        <v>7.2604100000000005E-5</v>
      </c>
      <c r="DR10" s="97">
        <v>7.2604100000000005E-5</v>
      </c>
      <c r="DS10" s="93">
        <v>7.8211663306999997</v>
      </c>
      <c r="DT10" s="80">
        <v>6.6861672600000005E-2</v>
      </c>
      <c r="DU10" s="80">
        <v>0.96281877019999995</v>
      </c>
      <c r="DV10" s="80">
        <v>9.6617704000000002E-3</v>
      </c>
      <c r="DW10" s="80">
        <v>7.5950768000000002E-2</v>
      </c>
      <c r="DX10" s="80">
        <v>9.5640440000000003E-4</v>
      </c>
      <c r="DY10" s="80">
        <v>6.2728389000000001E-3</v>
      </c>
      <c r="DZ10" s="80">
        <v>1.1686780000000001E-4</v>
      </c>
      <c r="EA10" s="80">
        <v>1.4571695999999999E-3</v>
      </c>
      <c r="EB10" s="80">
        <v>3.4596299999999999E-5</v>
      </c>
      <c r="EC10" s="80">
        <v>1.2816920000000001E-4</v>
      </c>
      <c r="ED10" s="80">
        <v>3.3838036E-6</v>
      </c>
      <c r="EE10" s="80">
        <v>0</v>
      </c>
      <c r="EF10" s="80">
        <v>0</v>
      </c>
      <c r="EG10" s="80">
        <v>0</v>
      </c>
      <c r="EH10" s="80">
        <v>0</v>
      </c>
      <c r="EI10" s="80">
        <v>0</v>
      </c>
      <c r="EJ10" s="80">
        <v>0</v>
      </c>
      <c r="EK10" s="80">
        <v>0</v>
      </c>
      <c r="EL10" s="94">
        <v>0</v>
      </c>
    </row>
    <row r="11" spans="1:142" x14ac:dyDescent="0.2">
      <c r="A11" s="79">
        <v>600</v>
      </c>
      <c r="B11" s="27">
        <v>12816</v>
      </c>
      <c r="C11" s="79">
        <v>456.78407901000003</v>
      </c>
      <c r="D11" s="27">
        <v>549.09284333000005</v>
      </c>
      <c r="E11" s="27">
        <v>3.0274022372</v>
      </c>
      <c r="F11" s="27">
        <v>8.7830896999999998E-3</v>
      </c>
      <c r="G11" s="79">
        <v>5.0249001999999997E-3</v>
      </c>
      <c r="H11" s="27">
        <v>3.6571600000000001E-5</v>
      </c>
      <c r="I11" s="27">
        <v>52.597441003999997</v>
      </c>
      <c r="J11" s="27">
        <v>0.37396075299999998</v>
      </c>
      <c r="K11" s="27">
        <v>14.582426557</v>
      </c>
      <c r="L11" s="27">
        <v>9.8464127400000004E-2</v>
      </c>
      <c r="M11" s="27">
        <v>2.3906264757</v>
      </c>
      <c r="N11" s="27">
        <v>2.2710195200000002E-2</v>
      </c>
      <c r="O11" s="80" t="s">
        <v>136</v>
      </c>
      <c r="P11" s="80">
        <v>0</v>
      </c>
      <c r="Q11" s="27">
        <v>0.13926654429999999</v>
      </c>
      <c r="R11" s="27">
        <v>7.959973E-4</v>
      </c>
      <c r="S11" s="80" t="s">
        <v>136</v>
      </c>
      <c r="T11" s="80">
        <v>0</v>
      </c>
      <c r="U11" s="80" t="s">
        <v>136</v>
      </c>
      <c r="V11" s="80">
        <v>0</v>
      </c>
      <c r="W11" s="27">
        <v>4.1658043000000001E-3</v>
      </c>
      <c r="X11" s="27">
        <v>4.3246099999999999E-5</v>
      </c>
      <c r="Y11" s="27">
        <v>2.0562189679</v>
      </c>
      <c r="Z11" s="27">
        <v>5.3399166999999997E-2</v>
      </c>
      <c r="AA11" s="80" t="s">
        <v>136</v>
      </c>
      <c r="AB11" s="80">
        <v>0</v>
      </c>
      <c r="AC11" s="27">
        <v>0</v>
      </c>
      <c r="AD11" s="27">
        <v>0</v>
      </c>
      <c r="AE11" s="80" t="s">
        <v>136</v>
      </c>
      <c r="AF11" s="80">
        <v>0</v>
      </c>
      <c r="AG11" s="80" t="s">
        <v>136</v>
      </c>
      <c r="AH11" s="80">
        <v>0</v>
      </c>
      <c r="AI11" s="27">
        <f t="shared" si="0"/>
        <v>0</v>
      </c>
      <c r="AJ11" s="27">
        <f t="shared" si="1"/>
        <v>0</v>
      </c>
      <c r="AK11" s="27">
        <v>21.332536852</v>
      </c>
      <c r="AL11" s="27">
        <v>0.3850479215</v>
      </c>
      <c r="AM11" s="80" t="s">
        <v>136</v>
      </c>
      <c r="AN11" s="80">
        <v>0</v>
      </c>
      <c r="AO11" s="80" t="s">
        <v>136</v>
      </c>
      <c r="AP11" s="80">
        <v>0</v>
      </c>
      <c r="AQ11" s="80" t="s">
        <v>136</v>
      </c>
      <c r="AR11" s="80">
        <v>0</v>
      </c>
      <c r="AS11" s="27">
        <v>10.553433947</v>
      </c>
      <c r="AT11" s="27">
        <v>0.52616396720000003</v>
      </c>
      <c r="AU11" s="27">
        <v>4.8838231661</v>
      </c>
      <c r="AV11" s="27">
        <v>6.9560533100000002E-2</v>
      </c>
      <c r="AW11" s="27">
        <v>2.337623647</v>
      </c>
      <c r="AX11" s="27">
        <v>4.0285942499999998E-2</v>
      </c>
      <c r="AY11" s="27">
        <v>1.4288284032</v>
      </c>
      <c r="AZ11" s="27">
        <v>2.0973951599999999E-2</v>
      </c>
      <c r="BA11" s="80">
        <f t="shared" si="2"/>
        <v>1.1173711159000002</v>
      </c>
      <c r="BB11" s="80">
        <f t="shared" si="3"/>
        <v>8.3006390000000055E-3</v>
      </c>
      <c r="BC11" s="27">
        <v>0</v>
      </c>
      <c r="BD11" s="80">
        <v>0</v>
      </c>
      <c r="BE11" s="27">
        <v>24.235498564</v>
      </c>
      <c r="BF11" s="27">
        <v>0.37241003090000002</v>
      </c>
      <c r="BG11" s="79">
        <v>8.0801899999999996E-5</v>
      </c>
      <c r="BH11" s="80">
        <v>0</v>
      </c>
      <c r="BI11" s="27">
        <v>28.067993223999999</v>
      </c>
      <c r="BJ11" s="27">
        <v>1.3194042581000001</v>
      </c>
      <c r="BK11" s="27">
        <v>8.6392652359</v>
      </c>
      <c r="BL11" s="27">
        <v>7.4624059699999995E-2</v>
      </c>
      <c r="BM11" s="27">
        <v>3.3666333809000002</v>
      </c>
      <c r="BN11" s="27">
        <v>2.93393731E-2</v>
      </c>
      <c r="BO11" s="27">
        <v>1.03112775E-2</v>
      </c>
      <c r="BP11" s="27">
        <v>1.0325199999999999E-4</v>
      </c>
      <c r="BQ11" s="27">
        <v>0</v>
      </c>
      <c r="BR11" s="92">
        <v>0</v>
      </c>
      <c r="BS11" s="80" t="s">
        <v>136</v>
      </c>
      <c r="BT11" s="80">
        <v>0</v>
      </c>
      <c r="BU11" s="79">
        <v>2.21988597E-2</v>
      </c>
      <c r="BV11" s="27">
        <v>3.944385E-4</v>
      </c>
      <c r="BW11" s="27">
        <v>2.368427616</v>
      </c>
      <c r="BX11" s="27">
        <v>2.23157566E-2</v>
      </c>
      <c r="BY11" s="80" t="s">
        <v>136</v>
      </c>
      <c r="BZ11" s="80">
        <v>0</v>
      </c>
      <c r="CA11" s="80" t="s">
        <v>136</v>
      </c>
      <c r="CB11" s="80">
        <v>0</v>
      </c>
      <c r="CC11" s="27">
        <v>2.17828264E-2</v>
      </c>
      <c r="CD11" s="27">
        <v>1.6608869999999999E-4</v>
      </c>
      <c r="CE11" s="27">
        <v>0.11748371790000001</v>
      </c>
      <c r="CF11" s="92">
        <v>6.2990859999999997E-4</v>
      </c>
      <c r="CG11" s="80" t="s">
        <v>136</v>
      </c>
      <c r="CH11" s="80">
        <v>0</v>
      </c>
      <c r="CI11" s="80" t="s">
        <v>136</v>
      </c>
      <c r="CJ11" s="80">
        <v>0</v>
      </c>
      <c r="CK11" s="80" t="s">
        <v>136</v>
      </c>
      <c r="CL11" s="80">
        <v>0</v>
      </c>
      <c r="CM11" s="80" t="s">
        <v>136</v>
      </c>
      <c r="CN11" s="80">
        <v>0</v>
      </c>
      <c r="CO11" s="79">
        <v>0</v>
      </c>
      <c r="CP11" s="27">
        <v>0</v>
      </c>
      <c r="CQ11" s="27">
        <v>4.1658043000000001E-3</v>
      </c>
      <c r="CR11" s="27">
        <v>4.3246099999999999E-5</v>
      </c>
      <c r="CS11" s="27">
        <v>2.8883840399999999E-2</v>
      </c>
      <c r="CT11" s="27">
        <v>4.9937159999999996E-4</v>
      </c>
      <c r="CU11" s="27">
        <v>2.0273351274999998</v>
      </c>
      <c r="CV11" s="92">
        <v>5.2899795399999998E-2</v>
      </c>
      <c r="CW11" s="80" t="s">
        <v>136</v>
      </c>
      <c r="CX11" s="80">
        <v>0</v>
      </c>
      <c r="CY11" s="80" t="s">
        <v>136</v>
      </c>
      <c r="CZ11" s="80">
        <v>0</v>
      </c>
      <c r="DA11" s="79">
        <v>1.5084489459999999</v>
      </c>
      <c r="DB11" s="27">
        <v>3.5558315799999997E-2</v>
      </c>
      <c r="DC11" s="27">
        <v>9.0449850008000006</v>
      </c>
      <c r="DD11" s="27">
        <v>0.49060565140000001</v>
      </c>
      <c r="DE11" s="27">
        <v>0.97618782800000004</v>
      </c>
      <c r="DF11" s="27">
        <v>6.8925656399999993E-2</v>
      </c>
      <c r="DG11" s="27">
        <v>23.259310736</v>
      </c>
      <c r="DH11" s="92">
        <v>0.3034843746</v>
      </c>
      <c r="DI11" s="95">
        <v>3.6571600000000001E-5</v>
      </c>
      <c r="DJ11" s="96">
        <v>6.0987299999999998E-5</v>
      </c>
      <c r="DK11" s="96">
        <v>6.75922E-5</v>
      </c>
      <c r="DL11" s="96">
        <v>7.4196999999999995E-5</v>
      </c>
      <c r="DM11" s="96">
        <v>8.0801899999999996E-5</v>
      </c>
      <c r="DN11" s="96">
        <v>8.0801899999999996E-5</v>
      </c>
      <c r="DO11" s="96">
        <v>8.0801899999999996E-5</v>
      </c>
      <c r="DP11" s="96">
        <v>8.0801899999999996E-5</v>
      </c>
      <c r="DQ11" s="96">
        <v>8.0801899999999996E-5</v>
      </c>
      <c r="DR11" s="97">
        <v>8.0801899999999996E-5</v>
      </c>
      <c r="DS11" s="93">
        <v>11.69210266</v>
      </c>
      <c r="DT11" s="80">
        <v>9.5405595900000001E-2</v>
      </c>
      <c r="DU11" s="80">
        <v>1.9576003031</v>
      </c>
      <c r="DV11" s="80">
        <v>1.8189035499999999E-2</v>
      </c>
      <c r="DW11" s="80">
        <v>0.23836765030000001</v>
      </c>
      <c r="DX11" s="80">
        <v>2.5631713E-3</v>
      </c>
      <c r="DY11" s="80">
        <v>2.1991862800000001E-2</v>
      </c>
      <c r="DZ11" s="80">
        <v>2.9401839999999998E-4</v>
      </c>
      <c r="EA11" s="80">
        <v>2.1734745000000001E-3</v>
      </c>
      <c r="EB11" s="80">
        <v>4.163E-5</v>
      </c>
      <c r="EC11" s="80">
        <v>1.161215E-4</v>
      </c>
      <c r="ED11" s="80">
        <v>3.0657314000000001E-6</v>
      </c>
      <c r="EE11" s="80">
        <v>0</v>
      </c>
      <c r="EF11" s="80">
        <v>0</v>
      </c>
      <c r="EG11" s="80">
        <v>0</v>
      </c>
      <c r="EH11" s="80">
        <v>0</v>
      </c>
      <c r="EI11" s="80">
        <v>0</v>
      </c>
      <c r="EJ11" s="80">
        <v>0</v>
      </c>
      <c r="EK11" s="80">
        <v>0</v>
      </c>
      <c r="EL11" s="94">
        <v>0</v>
      </c>
    </row>
    <row r="12" spans="1:142" x14ac:dyDescent="0.2">
      <c r="A12" s="79">
        <v>700</v>
      </c>
      <c r="B12" s="27">
        <v>11847</v>
      </c>
      <c r="C12" s="79">
        <v>522.78964582000003</v>
      </c>
      <c r="D12" s="27">
        <v>649.18306278</v>
      </c>
      <c r="E12" s="27">
        <v>4.4054764901999999</v>
      </c>
      <c r="F12" s="27">
        <v>1.1537522200000001E-2</v>
      </c>
      <c r="G12" s="79">
        <v>4.4788092000000003E-3</v>
      </c>
      <c r="H12" s="27">
        <v>3.3491999999999997E-5</v>
      </c>
      <c r="I12" s="27">
        <v>61.487872500999998</v>
      </c>
      <c r="J12" s="27">
        <v>0.4297019091</v>
      </c>
      <c r="K12" s="27">
        <v>17.230230529</v>
      </c>
      <c r="L12" s="27">
        <v>0.1143380351</v>
      </c>
      <c r="M12" s="27">
        <v>2.9151169748000001</v>
      </c>
      <c r="N12" s="27">
        <v>2.7213640800000001E-2</v>
      </c>
      <c r="O12" s="80" t="s">
        <v>136</v>
      </c>
      <c r="P12" s="80">
        <v>0</v>
      </c>
      <c r="Q12" s="27">
        <v>0.21878677229999999</v>
      </c>
      <c r="R12" s="27">
        <v>1.1183821E-3</v>
      </c>
      <c r="S12" s="80" t="s">
        <v>136</v>
      </c>
      <c r="T12" s="80">
        <v>0</v>
      </c>
      <c r="U12" s="80" t="s">
        <v>136</v>
      </c>
      <c r="V12" s="80">
        <v>0</v>
      </c>
      <c r="W12" s="27">
        <v>8.1184175000000008E-3</v>
      </c>
      <c r="X12" s="27">
        <v>8.7844100000000001E-5</v>
      </c>
      <c r="Y12" s="27">
        <v>2.6650176582</v>
      </c>
      <c r="Z12" s="27">
        <v>6.8213919299999995E-2</v>
      </c>
      <c r="AA12" s="80" t="s">
        <v>136</v>
      </c>
      <c r="AB12" s="80">
        <v>0</v>
      </c>
      <c r="AC12" s="27">
        <v>0</v>
      </c>
      <c r="AD12" s="27">
        <v>0</v>
      </c>
      <c r="AE12" s="80" t="s">
        <v>136</v>
      </c>
      <c r="AF12" s="80">
        <v>0</v>
      </c>
      <c r="AG12" s="80" t="s">
        <v>136</v>
      </c>
      <c r="AH12" s="80">
        <v>0</v>
      </c>
      <c r="AI12" s="27">
        <f t="shared" si="0"/>
        <v>0</v>
      </c>
      <c r="AJ12" s="27">
        <f t="shared" si="1"/>
        <v>0</v>
      </c>
      <c r="AK12" s="27">
        <v>26.232331702</v>
      </c>
      <c r="AL12" s="27">
        <v>0.46622227360000001</v>
      </c>
      <c r="AM12" s="80" t="s">
        <v>136</v>
      </c>
      <c r="AN12" s="80">
        <v>0</v>
      </c>
      <c r="AO12" s="80" t="s">
        <v>136</v>
      </c>
      <c r="AP12" s="80">
        <v>0</v>
      </c>
      <c r="AQ12" s="80" t="s">
        <v>136</v>
      </c>
      <c r="AR12" s="80">
        <v>0</v>
      </c>
      <c r="AS12" s="27">
        <v>13.138044706000001</v>
      </c>
      <c r="AT12" s="27">
        <v>0.63614586959999997</v>
      </c>
      <c r="AU12" s="27">
        <v>6.2489405887</v>
      </c>
      <c r="AV12" s="27">
        <v>8.4737002699999994E-2</v>
      </c>
      <c r="AW12" s="27">
        <v>2.9898842131999999</v>
      </c>
      <c r="AX12" s="27">
        <v>4.9283941999999997E-2</v>
      </c>
      <c r="AY12" s="27">
        <v>1.7276400817999999</v>
      </c>
      <c r="AZ12" s="27">
        <v>2.47820965E-2</v>
      </c>
      <c r="BA12" s="80">
        <f t="shared" si="2"/>
        <v>1.5314162937000004</v>
      </c>
      <c r="BB12" s="80">
        <f t="shared" si="3"/>
        <v>1.0670964199999994E-2</v>
      </c>
      <c r="BC12" s="27">
        <v>0</v>
      </c>
      <c r="BD12" s="80">
        <v>0</v>
      </c>
      <c r="BE12" s="27">
        <v>28.416955899000001</v>
      </c>
      <c r="BF12" s="27">
        <v>0.43190010239999999</v>
      </c>
      <c r="BG12" s="79">
        <v>7.4804300000000005E-5</v>
      </c>
      <c r="BH12" s="80">
        <v>0</v>
      </c>
      <c r="BI12" s="27">
        <v>33.603930243999997</v>
      </c>
      <c r="BJ12" s="27">
        <v>1.5275957048</v>
      </c>
      <c r="BK12" s="27">
        <v>11.263565879</v>
      </c>
      <c r="BL12" s="27">
        <v>9.4743492299999996E-2</v>
      </c>
      <c r="BM12" s="27">
        <v>4.3920944217000004</v>
      </c>
      <c r="BN12" s="27">
        <v>3.5926831399999998E-2</v>
      </c>
      <c r="BO12" s="27">
        <v>1.24072338E-2</v>
      </c>
      <c r="BP12" s="27">
        <v>1.4047859999999999E-4</v>
      </c>
      <c r="BQ12" s="27">
        <v>0</v>
      </c>
      <c r="BR12" s="92">
        <v>0</v>
      </c>
      <c r="BS12" s="80" t="s">
        <v>136</v>
      </c>
      <c r="BT12" s="80">
        <v>0</v>
      </c>
      <c r="BU12" s="79">
        <v>3.9265006200000001E-2</v>
      </c>
      <c r="BV12" s="27">
        <v>5.9978690000000003E-4</v>
      </c>
      <c r="BW12" s="27">
        <v>2.8758519686000001</v>
      </c>
      <c r="BX12" s="27">
        <v>2.6613853900000001E-2</v>
      </c>
      <c r="BY12" s="80" t="s">
        <v>136</v>
      </c>
      <c r="BZ12" s="80">
        <v>0</v>
      </c>
      <c r="CA12" s="80" t="s">
        <v>136</v>
      </c>
      <c r="CB12" s="80">
        <v>0</v>
      </c>
      <c r="CC12" s="27">
        <v>3.32906647E-2</v>
      </c>
      <c r="CD12" s="27">
        <v>2.230879E-4</v>
      </c>
      <c r="CE12" s="27">
        <v>0.18549610759999999</v>
      </c>
      <c r="CF12" s="92">
        <v>8.952942E-4</v>
      </c>
      <c r="CG12" s="80" t="s">
        <v>136</v>
      </c>
      <c r="CH12" s="80">
        <v>0</v>
      </c>
      <c r="CI12" s="80" t="s">
        <v>136</v>
      </c>
      <c r="CJ12" s="80">
        <v>0</v>
      </c>
      <c r="CK12" s="80" t="s">
        <v>136</v>
      </c>
      <c r="CL12" s="80">
        <v>0</v>
      </c>
      <c r="CM12" s="80" t="s">
        <v>136</v>
      </c>
      <c r="CN12" s="80">
        <v>0</v>
      </c>
      <c r="CO12" s="79">
        <v>3.8634290999999999E-3</v>
      </c>
      <c r="CP12" s="27">
        <v>4.1587700000000002E-5</v>
      </c>
      <c r="CQ12" s="27">
        <v>4.2549883E-3</v>
      </c>
      <c r="CR12" s="27">
        <v>4.62564E-5</v>
      </c>
      <c r="CS12" s="27">
        <v>5.9872427300000003E-2</v>
      </c>
      <c r="CT12" s="27">
        <v>7.1868469999999995E-4</v>
      </c>
      <c r="CU12" s="27">
        <v>2.6051452307999998</v>
      </c>
      <c r="CV12" s="92">
        <v>6.7495234599999995E-2</v>
      </c>
      <c r="CW12" s="80" t="s">
        <v>136</v>
      </c>
      <c r="CX12" s="80">
        <v>0</v>
      </c>
      <c r="CY12" s="80" t="s">
        <v>136</v>
      </c>
      <c r="CZ12" s="80">
        <v>0</v>
      </c>
      <c r="DA12" s="79">
        <v>2.0094419134999999</v>
      </c>
      <c r="DB12" s="27">
        <v>4.4834331900000003E-2</v>
      </c>
      <c r="DC12" s="27">
        <v>11.128602793000001</v>
      </c>
      <c r="DD12" s="27">
        <v>0.5913115377</v>
      </c>
      <c r="DE12" s="27">
        <v>1.2609263388</v>
      </c>
      <c r="DF12" s="27">
        <v>8.6454498599999999E-2</v>
      </c>
      <c r="DG12" s="27">
        <v>27.156029561</v>
      </c>
      <c r="DH12" s="92">
        <v>0.3454456038</v>
      </c>
      <c r="DI12" s="95">
        <v>3.3491999999999997E-5</v>
      </c>
      <c r="DJ12" s="96">
        <v>5.5986400000000003E-5</v>
      </c>
      <c r="DK12" s="96">
        <v>6.2259000000000001E-5</v>
      </c>
      <c r="DL12" s="96">
        <v>6.8531700000000007E-5</v>
      </c>
      <c r="DM12" s="96">
        <v>7.4804300000000005E-5</v>
      </c>
      <c r="DN12" s="96">
        <v>7.4804300000000005E-5</v>
      </c>
      <c r="DO12" s="96">
        <v>7.4804300000000005E-5</v>
      </c>
      <c r="DP12" s="96">
        <v>7.4804300000000005E-5</v>
      </c>
      <c r="DQ12" s="96">
        <v>7.4804300000000005E-5</v>
      </c>
      <c r="DR12" s="97">
        <v>7.4804300000000005E-5</v>
      </c>
      <c r="DS12" s="93">
        <v>15.649437723</v>
      </c>
      <c r="DT12" s="80">
        <v>0.1237141444</v>
      </c>
      <c r="DU12" s="80">
        <v>3.1728454939000001</v>
      </c>
      <c r="DV12" s="80">
        <v>2.8160650999999998E-2</v>
      </c>
      <c r="DW12" s="80">
        <v>0.50973387000000003</v>
      </c>
      <c r="DX12" s="80">
        <v>5.1688612000000004E-3</v>
      </c>
      <c r="DY12" s="80">
        <v>7.0152490100000006E-2</v>
      </c>
      <c r="DZ12" s="80">
        <v>8.7017240000000003E-4</v>
      </c>
      <c r="EA12" s="80">
        <v>8.9598209000000002E-3</v>
      </c>
      <c r="EB12" s="80">
        <v>1.8352E-4</v>
      </c>
      <c r="EC12" s="80">
        <v>1.8427218999999999E-3</v>
      </c>
      <c r="ED12" s="80">
        <v>7.7119200000000005E-5</v>
      </c>
      <c r="EE12" s="80">
        <v>1.2732643E-3</v>
      </c>
      <c r="EF12" s="80">
        <v>6.2631099999999997E-5</v>
      </c>
      <c r="EG12" s="80">
        <v>1.0663563E-3</v>
      </c>
      <c r="EH12" s="80">
        <v>5.39669E-5</v>
      </c>
      <c r="EI12" s="80">
        <v>9.4651559999999997E-4</v>
      </c>
      <c r="EJ12" s="80">
        <v>4.8286199999999999E-5</v>
      </c>
      <c r="EK12" s="80">
        <v>8.2667489999999999E-4</v>
      </c>
      <c r="EL12" s="94">
        <v>4.2605399999999997E-5</v>
      </c>
    </row>
    <row r="13" spans="1:142" x14ac:dyDescent="0.2">
      <c r="A13" s="79">
        <v>800</v>
      </c>
      <c r="B13" s="27">
        <v>10932</v>
      </c>
      <c r="C13" s="79">
        <v>586.45288266</v>
      </c>
      <c r="D13" s="27">
        <v>749.57965303000003</v>
      </c>
      <c r="E13" s="27">
        <v>5.9231422943999998</v>
      </c>
      <c r="F13" s="27">
        <v>1.4194340200000001E-2</v>
      </c>
      <c r="G13" s="79">
        <v>6.1656912000000001E-3</v>
      </c>
      <c r="H13" s="27">
        <v>3.7459899999999997E-5</v>
      </c>
      <c r="I13" s="27">
        <v>69.571733163999994</v>
      </c>
      <c r="J13" s="27">
        <v>0.4820200033</v>
      </c>
      <c r="K13" s="27">
        <v>19.925742193000001</v>
      </c>
      <c r="L13" s="27">
        <v>0.13088890140000001</v>
      </c>
      <c r="M13" s="27">
        <v>3.3992165107000001</v>
      </c>
      <c r="N13" s="27">
        <v>3.1450485399999999E-2</v>
      </c>
      <c r="O13" s="80" t="s">
        <v>136</v>
      </c>
      <c r="P13" s="80">
        <v>0</v>
      </c>
      <c r="Q13" s="27">
        <v>0.3021663866</v>
      </c>
      <c r="R13" s="27">
        <v>1.3858244E-3</v>
      </c>
      <c r="S13" s="80" t="s">
        <v>136</v>
      </c>
      <c r="T13" s="80">
        <v>0</v>
      </c>
      <c r="U13" s="80" t="s">
        <v>136</v>
      </c>
      <c r="V13" s="80">
        <v>0</v>
      </c>
      <c r="W13" s="27">
        <v>1.2969964299999999E-2</v>
      </c>
      <c r="X13" s="27">
        <v>1.651616E-4</v>
      </c>
      <c r="Y13" s="27">
        <v>3.2598491227999999</v>
      </c>
      <c r="Z13" s="27">
        <v>8.30467498E-2</v>
      </c>
      <c r="AA13" s="80" t="s">
        <v>136</v>
      </c>
      <c r="AB13" s="80">
        <v>0</v>
      </c>
      <c r="AC13" s="27">
        <v>0</v>
      </c>
      <c r="AD13" s="27">
        <v>0</v>
      </c>
      <c r="AE13" s="80" t="s">
        <v>136</v>
      </c>
      <c r="AF13" s="80">
        <v>0</v>
      </c>
      <c r="AG13" s="80" t="s">
        <v>136</v>
      </c>
      <c r="AH13" s="80">
        <v>0</v>
      </c>
      <c r="AI13" s="27">
        <f t="shared" si="0"/>
        <v>0</v>
      </c>
      <c r="AJ13" s="27">
        <f t="shared" si="1"/>
        <v>0</v>
      </c>
      <c r="AK13" s="27">
        <v>31.037759444999999</v>
      </c>
      <c r="AL13" s="27">
        <v>0.54160065410000002</v>
      </c>
      <c r="AM13" s="80" t="s">
        <v>136</v>
      </c>
      <c r="AN13" s="80">
        <v>0</v>
      </c>
      <c r="AO13" s="80" t="s">
        <v>136</v>
      </c>
      <c r="AP13" s="80">
        <v>0</v>
      </c>
      <c r="AQ13" s="80" t="s">
        <v>136</v>
      </c>
      <c r="AR13" s="80">
        <v>0</v>
      </c>
      <c r="AS13" s="27">
        <v>15.742772824999999</v>
      </c>
      <c r="AT13" s="27">
        <v>0.74395772260000004</v>
      </c>
      <c r="AU13" s="27">
        <v>7.7688063263</v>
      </c>
      <c r="AV13" s="27">
        <v>9.9951999099999994E-2</v>
      </c>
      <c r="AW13" s="27">
        <v>3.7298573735999998</v>
      </c>
      <c r="AX13" s="27">
        <v>5.8494004500000002E-2</v>
      </c>
      <c r="AY13" s="27">
        <v>2.0466098375000001</v>
      </c>
      <c r="AZ13" s="27">
        <v>2.8380455200000002E-2</v>
      </c>
      <c r="BA13" s="80">
        <f t="shared" si="2"/>
        <v>1.9923391152000001</v>
      </c>
      <c r="BB13" s="80">
        <f t="shared" si="3"/>
        <v>1.3077539399999991E-2</v>
      </c>
      <c r="BC13" s="27">
        <v>0</v>
      </c>
      <c r="BD13" s="80">
        <v>0</v>
      </c>
      <c r="BE13" s="27">
        <v>32.442835373999998</v>
      </c>
      <c r="BF13" s="27">
        <v>0.48532046550000002</v>
      </c>
      <c r="BG13" s="79">
        <v>7.6540999999999998E-5</v>
      </c>
      <c r="BH13" s="80">
        <v>0</v>
      </c>
      <c r="BI13" s="27">
        <v>39.119326047999998</v>
      </c>
      <c r="BJ13" s="27">
        <v>1.7277054327000001</v>
      </c>
      <c r="BK13" s="27">
        <v>14.056767444</v>
      </c>
      <c r="BL13" s="27">
        <v>0.11638415840000001</v>
      </c>
      <c r="BM13" s="27">
        <v>5.3523826465999997</v>
      </c>
      <c r="BN13" s="27">
        <v>4.2404956399999999E-2</v>
      </c>
      <c r="BO13" s="27">
        <v>1.37174255E-2</v>
      </c>
      <c r="BP13" s="27">
        <v>1.698688E-4</v>
      </c>
      <c r="BQ13" s="27">
        <v>0</v>
      </c>
      <c r="BR13" s="92">
        <v>0</v>
      </c>
      <c r="BS13" s="80" t="s">
        <v>136</v>
      </c>
      <c r="BT13" s="80">
        <v>0</v>
      </c>
      <c r="BU13" s="79">
        <v>4.5990051900000002E-2</v>
      </c>
      <c r="BV13" s="27">
        <v>7.0123899999999999E-4</v>
      </c>
      <c r="BW13" s="27">
        <v>3.3532264587</v>
      </c>
      <c r="BX13" s="27">
        <v>3.0749246399999999E-2</v>
      </c>
      <c r="BY13" s="80" t="s">
        <v>136</v>
      </c>
      <c r="BZ13" s="80">
        <v>0</v>
      </c>
      <c r="CA13" s="80" t="s">
        <v>136</v>
      </c>
      <c r="CB13" s="80">
        <v>0</v>
      </c>
      <c r="CC13" s="27">
        <v>3.7016610700000001E-2</v>
      </c>
      <c r="CD13" s="27">
        <v>2.2752739999999999E-4</v>
      </c>
      <c r="CE13" s="27">
        <v>0.2651497759</v>
      </c>
      <c r="CF13" s="92">
        <v>1.158297E-3</v>
      </c>
      <c r="CG13" s="80" t="s">
        <v>136</v>
      </c>
      <c r="CH13" s="80">
        <v>0</v>
      </c>
      <c r="CI13" s="80" t="s">
        <v>136</v>
      </c>
      <c r="CJ13" s="80">
        <v>0</v>
      </c>
      <c r="CK13" s="80" t="s">
        <v>136</v>
      </c>
      <c r="CL13" s="80">
        <v>0</v>
      </c>
      <c r="CM13" s="80" t="s">
        <v>136</v>
      </c>
      <c r="CN13" s="80">
        <v>0</v>
      </c>
      <c r="CO13" s="79">
        <v>5.769522E-3</v>
      </c>
      <c r="CP13" s="27">
        <v>8.4170600000000004E-5</v>
      </c>
      <c r="CQ13" s="27">
        <v>7.2004423000000001E-3</v>
      </c>
      <c r="CR13" s="27">
        <v>8.0991100000000005E-5</v>
      </c>
      <c r="CS13" s="27">
        <v>6.8339831200000006E-2</v>
      </c>
      <c r="CT13" s="27">
        <v>8.859057E-4</v>
      </c>
      <c r="CU13" s="27">
        <v>3.1915092916000001</v>
      </c>
      <c r="CV13" s="92">
        <v>8.2160844100000005E-2</v>
      </c>
      <c r="CW13" s="80" t="s">
        <v>136</v>
      </c>
      <c r="CX13" s="80">
        <v>0</v>
      </c>
      <c r="CY13" s="80" t="s">
        <v>136</v>
      </c>
      <c r="CZ13" s="80">
        <v>0</v>
      </c>
      <c r="DA13" s="79">
        <v>2.5536708347000001</v>
      </c>
      <c r="DB13" s="27">
        <v>5.5105923699999997E-2</v>
      </c>
      <c r="DC13" s="27">
        <v>13.189101989999999</v>
      </c>
      <c r="DD13" s="27">
        <v>0.68885179900000004</v>
      </c>
      <c r="DE13" s="27">
        <v>1.5755221801999999</v>
      </c>
      <c r="DF13" s="27">
        <v>0.10293310930000001</v>
      </c>
      <c r="DG13" s="27">
        <v>30.867313194000001</v>
      </c>
      <c r="DH13" s="92">
        <v>0.38238735619999997</v>
      </c>
      <c r="DI13" s="95">
        <v>3.7459899999999997E-5</v>
      </c>
      <c r="DJ13" s="96">
        <v>5.8516600000000001E-5</v>
      </c>
      <c r="DK13" s="96">
        <v>6.4524700000000002E-5</v>
      </c>
      <c r="DL13" s="96">
        <v>7.0532900000000004E-5</v>
      </c>
      <c r="DM13" s="96">
        <v>7.6540999999999998E-5</v>
      </c>
      <c r="DN13" s="96">
        <v>7.6540999999999998E-5</v>
      </c>
      <c r="DO13" s="96">
        <v>7.6540999999999998E-5</v>
      </c>
      <c r="DP13" s="96">
        <v>7.6540999999999998E-5</v>
      </c>
      <c r="DQ13" s="96">
        <v>7.6540999999999998E-5</v>
      </c>
      <c r="DR13" s="97">
        <v>7.6540999999999998E-5</v>
      </c>
      <c r="DS13" s="93">
        <v>19.734983882000002</v>
      </c>
      <c r="DT13" s="80">
        <v>0.15294607220000001</v>
      </c>
      <c r="DU13" s="80">
        <v>4.6904134689000001</v>
      </c>
      <c r="DV13" s="80">
        <v>4.0284102000000002E-2</v>
      </c>
      <c r="DW13" s="80">
        <v>0.9365621194</v>
      </c>
      <c r="DX13" s="80">
        <v>9.0366662999999993E-3</v>
      </c>
      <c r="DY13" s="80">
        <v>0.16440229479999999</v>
      </c>
      <c r="DZ13" s="80">
        <v>1.9268199000000001E-3</v>
      </c>
      <c r="EA13" s="80">
        <v>3.1465736100000002E-2</v>
      </c>
      <c r="EB13" s="80">
        <v>5.6220149999999997E-4</v>
      </c>
      <c r="EC13" s="80">
        <v>1.0462528299999999E-2</v>
      </c>
      <c r="ED13" s="80">
        <v>3.0618140000000002E-4</v>
      </c>
      <c r="EE13" s="80">
        <v>6.4555128999999999E-3</v>
      </c>
      <c r="EF13" s="80">
        <v>2.443209E-4</v>
      </c>
      <c r="EG13" s="80">
        <v>5.2459567000000002E-3</v>
      </c>
      <c r="EH13" s="80">
        <v>2.1427649999999999E-4</v>
      </c>
      <c r="EI13" s="80">
        <v>4.6399592999999996E-3</v>
      </c>
      <c r="EJ13" s="80">
        <v>1.963418E-4</v>
      </c>
      <c r="EK13" s="80">
        <v>4.3134391000000001E-3</v>
      </c>
      <c r="EL13" s="94">
        <v>1.8231589999999999E-4</v>
      </c>
    </row>
    <row r="14" spans="1:142" x14ac:dyDescent="0.2">
      <c r="A14" s="79">
        <v>900</v>
      </c>
      <c r="B14" s="27">
        <v>9847</v>
      </c>
      <c r="C14" s="79">
        <v>647.84534682000003</v>
      </c>
      <c r="D14" s="27">
        <v>849.18827595000005</v>
      </c>
      <c r="E14" s="27">
        <v>7.4448843462000003</v>
      </c>
      <c r="F14" s="27">
        <v>1.6775099299999999E-2</v>
      </c>
      <c r="G14" s="79">
        <v>1.28706971E-2</v>
      </c>
      <c r="H14" s="27">
        <v>4.4002899999999998E-5</v>
      </c>
      <c r="I14" s="27">
        <v>76.964527445000002</v>
      </c>
      <c r="J14" s="27">
        <v>0.53007284369999996</v>
      </c>
      <c r="K14" s="27">
        <v>22.481093288</v>
      </c>
      <c r="L14" s="27">
        <v>0.14607331079999999</v>
      </c>
      <c r="M14" s="27">
        <v>3.9571097936999999</v>
      </c>
      <c r="N14" s="27">
        <v>3.63275479E-2</v>
      </c>
      <c r="O14" s="80" t="s">
        <v>136</v>
      </c>
      <c r="P14" s="80">
        <v>0</v>
      </c>
      <c r="Q14" s="27">
        <v>0.4707970688</v>
      </c>
      <c r="R14" s="27">
        <v>1.8277344E-3</v>
      </c>
      <c r="S14" s="80" t="s">
        <v>136</v>
      </c>
      <c r="T14" s="80">
        <v>0</v>
      </c>
      <c r="U14" s="80" t="s">
        <v>136</v>
      </c>
      <c r="V14" s="80">
        <v>0</v>
      </c>
      <c r="W14" s="27">
        <v>1.5265430599999999E-2</v>
      </c>
      <c r="X14" s="27">
        <v>1.9152899999999999E-4</v>
      </c>
      <c r="Y14" s="27">
        <v>3.8537882842000002</v>
      </c>
      <c r="Z14" s="27">
        <v>9.7156938700000001E-2</v>
      </c>
      <c r="AA14" s="80" t="s">
        <v>136</v>
      </c>
      <c r="AB14" s="80">
        <v>0</v>
      </c>
      <c r="AC14" s="27">
        <v>0</v>
      </c>
      <c r="AD14" s="27">
        <v>0</v>
      </c>
      <c r="AE14" s="80" t="s">
        <v>136</v>
      </c>
      <c r="AF14" s="80">
        <v>0</v>
      </c>
      <c r="AG14" s="80" t="s">
        <v>136</v>
      </c>
      <c r="AH14" s="80">
        <v>0</v>
      </c>
      <c r="AI14" s="27">
        <f t="shared" si="0"/>
        <v>0</v>
      </c>
      <c r="AJ14" s="27">
        <f t="shared" si="1"/>
        <v>0</v>
      </c>
      <c r="AK14" s="27">
        <v>35.481148582000003</v>
      </c>
      <c r="AL14" s="27">
        <v>0.61151758320000005</v>
      </c>
      <c r="AM14" s="80" t="s">
        <v>136</v>
      </c>
      <c r="AN14" s="80">
        <v>0</v>
      </c>
      <c r="AO14" s="80" t="s">
        <v>136</v>
      </c>
      <c r="AP14" s="80">
        <v>0</v>
      </c>
      <c r="AQ14" s="80" t="s">
        <v>136</v>
      </c>
      <c r="AR14" s="80">
        <v>0</v>
      </c>
      <c r="AS14" s="27">
        <v>18.243391381999999</v>
      </c>
      <c r="AT14" s="27">
        <v>0.84160244449999999</v>
      </c>
      <c r="AU14" s="27">
        <v>9.3170784101000006</v>
      </c>
      <c r="AV14" s="27">
        <v>0.1159907293</v>
      </c>
      <c r="AW14" s="27">
        <v>4.4447241226000003</v>
      </c>
      <c r="AX14" s="27">
        <v>6.7898253000000006E-2</v>
      </c>
      <c r="AY14" s="27">
        <v>2.3954534397999998</v>
      </c>
      <c r="AZ14" s="27">
        <v>3.2289724200000001E-2</v>
      </c>
      <c r="BA14" s="80">
        <f t="shared" si="2"/>
        <v>2.4769008477000005</v>
      </c>
      <c r="BB14" s="80">
        <f t="shared" si="3"/>
        <v>1.5802752099999998E-2</v>
      </c>
      <c r="BC14" s="27">
        <v>0</v>
      </c>
      <c r="BD14" s="80">
        <v>0</v>
      </c>
      <c r="BE14" s="27">
        <v>36.563749262000002</v>
      </c>
      <c r="BF14" s="27">
        <v>0.54154849650000003</v>
      </c>
      <c r="BG14" s="79">
        <v>9.0219500000000006E-5</v>
      </c>
      <c r="BH14" s="80">
        <v>0</v>
      </c>
      <c r="BI14" s="27">
        <v>44.374004605000003</v>
      </c>
      <c r="BJ14" s="27">
        <v>1.9145624756999999</v>
      </c>
      <c r="BK14" s="27">
        <v>17.077793515</v>
      </c>
      <c r="BL14" s="27">
        <v>0.13919235329999999</v>
      </c>
      <c r="BM14" s="27">
        <v>6.3416340559000002</v>
      </c>
      <c r="BN14" s="27">
        <v>4.8134741600000003E-2</v>
      </c>
      <c r="BO14" s="27">
        <v>1.5888355100000001E-2</v>
      </c>
      <c r="BP14" s="27">
        <v>2.2394870000000001E-4</v>
      </c>
      <c r="BQ14" s="27">
        <v>0</v>
      </c>
      <c r="BR14" s="92">
        <v>0</v>
      </c>
      <c r="BS14" s="80" t="s">
        <v>136</v>
      </c>
      <c r="BT14" s="80">
        <v>0</v>
      </c>
      <c r="BU14" s="79">
        <v>5.6233799700000003E-2</v>
      </c>
      <c r="BV14" s="27">
        <v>9.4303650000000002E-4</v>
      </c>
      <c r="BW14" s="27">
        <v>3.9008759940000002</v>
      </c>
      <c r="BX14" s="27">
        <v>3.5384511399999999E-2</v>
      </c>
      <c r="BY14" s="80" t="s">
        <v>136</v>
      </c>
      <c r="BZ14" s="80">
        <v>0</v>
      </c>
      <c r="CA14" s="80" t="s">
        <v>136</v>
      </c>
      <c r="CB14" s="80">
        <v>0</v>
      </c>
      <c r="CC14" s="27">
        <v>7.2052818800000001E-2</v>
      </c>
      <c r="CD14" s="27">
        <v>2.9613049999999998E-4</v>
      </c>
      <c r="CE14" s="27">
        <v>0.39874425000000002</v>
      </c>
      <c r="CF14" s="92">
        <v>1.5316039E-3</v>
      </c>
      <c r="CG14" s="80" t="s">
        <v>136</v>
      </c>
      <c r="CH14" s="80">
        <v>0</v>
      </c>
      <c r="CI14" s="80" t="s">
        <v>136</v>
      </c>
      <c r="CJ14" s="80">
        <v>0</v>
      </c>
      <c r="CK14" s="80" t="s">
        <v>136</v>
      </c>
      <c r="CL14" s="80">
        <v>0</v>
      </c>
      <c r="CM14" s="80" t="s">
        <v>136</v>
      </c>
      <c r="CN14" s="80">
        <v>0</v>
      </c>
      <c r="CO14" s="79">
        <v>5.5963641E-3</v>
      </c>
      <c r="CP14" s="27">
        <v>8.9658899999999996E-5</v>
      </c>
      <c r="CQ14" s="27">
        <v>9.6690665000000002E-3</v>
      </c>
      <c r="CR14" s="27">
        <v>1.0187010000000001E-4</v>
      </c>
      <c r="CS14" s="27">
        <v>9.3190623299999997E-2</v>
      </c>
      <c r="CT14" s="27">
        <v>1.3134898E-3</v>
      </c>
      <c r="CU14" s="27">
        <v>3.7605976607999998</v>
      </c>
      <c r="CV14" s="92">
        <v>9.5843448900000003E-2</v>
      </c>
      <c r="CW14" s="80" t="s">
        <v>136</v>
      </c>
      <c r="CX14" s="80">
        <v>0</v>
      </c>
      <c r="CY14" s="80" t="s">
        <v>136</v>
      </c>
      <c r="CZ14" s="80">
        <v>0</v>
      </c>
      <c r="DA14" s="79">
        <v>3.1367867841999999</v>
      </c>
      <c r="DB14" s="27">
        <v>6.5476059200000006E-2</v>
      </c>
      <c r="DC14" s="27">
        <v>15.106604597</v>
      </c>
      <c r="DD14" s="27">
        <v>0.77612638519999999</v>
      </c>
      <c r="DE14" s="27">
        <v>2.0151748438000001</v>
      </c>
      <c r="DF14" s="27">
        <v>0.12173413</v>
      </c>
      <c r="DG14" s="27">
        <v>34.548574418000001</v>
      </c>
      <c r="DH14" s="92">
        <v>0.41981436649999998</v>
      </c>
      <c r="DI14" s="95">
        <v>4.4002899999999998E-5</v>
      </c>
      <c r="DJ14" s="96">
        <v>6.9878199999999998E-5</v>
      </c>
      <c r="DK14" s="96">
        <v>7.8612100000000006E-5</v>
      </c>
      <c r="DL14" s="96">
        <v>8.4415799999999999E-5</v>
      </c>
      <c r="DM14" s="96">
        <v>9.0219500000000006E-5</v>
      </c>
      <c r="DN14" s="96">
        <v>9.0219500000000006E-5</v>
      </c>
      <c r="DO14" s="96">
        <v>9.0219500000000006E-5</v>
      </c>
      <c r="DP14" s="96">
        <v>9.0219500000000006E-5</v>
      </c>
      <c r="DQ14" s="96">
        <v>9.0219500000000006E-5</v>
      </c>
      <c r="DR14" s="97">
        <v>9.0219500000000006E-5</v>
      </c>
      <c r="DS14" s="93">
        <v>23.781732212000001</v>
      </c>
      <c r="DT14" s="80">
        <v>0.1813902624</v>
      </c>
      <c r="DU14" s="80">
        <v>6.3764972097000001</v>
      </c>
      <c r="DV14" s="80">
        <v>5.3296609000000002E-2</v>
      </c>
      <c r="DW14" s="80">
        <v>1.4815610687</v>
      </c>
      <c r="DX14" s="80">
        <v>1.3708985200000001E-2</v>
      </c>
      <c r="DY14" s="80">
        <v>0.30812641540000002</v>
      </c>
      <c r="DZ14" s="80">
        <v>3.3178069999999999E-3</v>
      </c>
      <c r="EA14" s="80">
        <v>6.2876982900000003E-2</v>
      </c>
      <c r="EB14" s="80">
        <v>9.5404509999999997E-4</v>
      </c>
      <c r="EC14" s="80">
        <v>1.6609533100000001E-2</v>
      </c>
      <c r="ED14" s="80">
        <v>4.5178040000000002E-4</v>
      </c>
      <c r="EE14" s="80">
        <v>8.6345654000000004E-3</v>
      </c>
      <c r="EF14" s="80">
        <v>3.3739590000000003E-4</v>
      </c>
      <c r="EG14" s="80">
        <v>6.2419475E-3</v>
      </c>
      <c r="EH14" s="80">
        <v>2.8747929999999998E-4</v>
      </c>
      <c r="EI14" s="80">
        <v>5.0990554999999996E-3</v>
      </c>
      <c r="EJ14" s="80">
        <v>2.5815970000000001E-4</v>
      </c>
      <c r="EK14" s="80">
        <v>4.7325183000000003E-3</v>
      </c>
      <c r="EL14" s="94">
        <v>2.389115E-4</v>
      </c>
    </row>
    <row r="15" spans="1:142" x14ac:dyDescent="0.2">
      <c r="A15" s="79">
        <v>1000</v>
      </c>
      <c r="B15" s="27">
        <v>9195</v>
      </c>
      <c r="C15" s="79">
        <v>707.37129699000002</v>
      </c>
      <c r="D15" s="27">
        <v>949.15743914999996</v>
      </c>
      <c r="E15" s="27">
        <v>9.2053068663000008</v>
      </c>
      <c r="F15" s="27">
        <v>1.9520234800000001E-2</v>
      </c>
      <c r="G15" s="79">
        <v>2.1056718799999999E-2</v>
      </c>
      <c r="H15" s="27">
        <v>5.1035600000000003E-5</v>
      </c>
      <c r="I15" s="27">
        <v>84.021932867000004</v>
      </c>
      <c r="J15" s="27">
        <v>0.5750938565</v>
      </c>
      <c r="K15" s="27">
        <v>24.863290453000001</v>
      </c>
      <c r="L15" s="27">
        <v>0.1599436222</v>
      </c>
      <c r="M15" s="27">
        <v>4.3861775850000004</v>
      </c>
      <c r="N15" s="27">
        <v>3.9865087100000002E-2</v>
      </c>
      <c r="O15" s="80" t="s">
        <v>136</v>
      </c>
      <c r="P15" s="80">
        <v>0</v>
      </c>
      <c r="Q15" s="27">
        <v>0.63615126580000003</v>
      </c>
      <c r="R15" s="27">
        <v>2.2695318999999999E-3</v>
      </c>
      <c r="S15" s="80" t="s">
        <v>136</v>
      </c>
      <c r="T15" s="80">
        <v>0</v>
      </c>
      <c r="U15" s="80" t="s">
        <v>136</v>
      </c>
      <c r="V15" s="80">
        <v>0</v>
      </c>
      <c r="W15" s="27">
        <v>2.2436109400000001E-2</v>
      </c>
      <c r="X15" s="27">
        <v>4.5748609999999998E-4</v>
      </c>
      <c r="Y15" s="27">
        <v>4.4288336877000001</v>
      </c>
      <c r="Z15" s="27">
        <v>0.1100927436</v>
      </c>
      <c r="AA15" s="80" t="s">
        <v>136</v>
      </c>
      <c r="AB15" s="80">
        <v>0</v>
      </c>
      <c r="AC15" s="27">
        <v>0</v>
      </c>
      <c r="AD15" s="27">
        <v>0</v>
      </c>
      <c r="AE15" s="80" t="s">
        <v>136</v>
      </c>
      <c r="AF15" s="80">
        <v>0</v>
      </c>
      <c r="AG15" s="80" t="s">
        <v>136</v>
      </c>
      <c r="AH15" s="80">
        <v>0</v>
      </c>
      <c r="AI15" s="27">
        <f t="shared" si="0"/>
        <v>0</v>
      </c>
      <c r="AJ15" s="27">
        <f t="shared" si="1"/>
        <v>0</v>
      </c>
      <c r="AK15" s="27">
        <v>39.707814581000001</v>
      </c>
      <c r="AL15" s="27">
        <v>0.6782188415</v>
      </c>
      <c r="AM15" s="80" t="s">
        <v>136</v>
      </c>
      <c r="AN15" s="80">
        <v>0</v>
      </c>
      <c r="AO15" s="80" t="s">
        <v>136</v>
      </c>
      <c r="AP15" s="80">
        <v>0</v>
      </c>
      <c r="AQ15" s="80" t="s">
        <v>136</v>
      </c>
      <c r="AR15" s="80">
        <v>0</v>
      </c>
      <c r="AS15" s="27">
        <v>20.724797460000001</v>
      </c>
      <c r="AT15" s="27">
        <v>0.93429394129999999</v>
      </c>
      <c r="AU15" s="27">
        <v>10.952613416</v>
      </c>
      <c r="AV15" s="27">
        <v>0.1305730135</v>
      </c>
      <c r="AW15" s="27">
        <v>5.1653735335000004</v>
      </c>
      <c r="AX15" s="27">
        <v>7.6169393399999993E-2</v>
      </c>
      <c r="AY15" s="27">
        <v>2.7670973105000001</v>
      </c>
      <c r="AZ15" s="27">
        <v>3.5813357599999998E-2</v>
      </c>
      <c r="BA15" s="80">
        <f t="shared" si="2"/>
        <v>3.0201425719999992</v>
      </c>
      <c r="BB15" s="80">
        <f t="shared" si="3"/>
        <v>1.859026250000001E-2</v>
      </c>
      <c r="BC15" s="27">
        <v>0</v>
      </c>
      <c r="BD15" s="80">
        <v>0</v>
      </c>
      <c r="BE15" s="27">
        <v>40.422339602000001</v>
      </c>
      <c r="BF15" s="27">
        <v>0.59369880269999997</v>
      </c>
      <c r="BG15" s="79">
        <v>1.0140129999999999E-4</v>
      </c>
      <c r="BH15" s="80">
        <v>0</v>
      </c>
      <c r="BI15" s="27">
        <v>49.798192051000001</v>
      </c>
      <c r="BJ15" s="27">
        <v>2.0987221154000002</v>
      </c>
      <c r="BK15" s="27">
        <v>20.247896261000001</v>
      </c>
      <c r="BL15" s="27">
        <v>0.1636006763</v>
      </c>
      <c r="BM15" s="27">
        <v>7.4521145003999996</v>
      </c>
      <c r="BN15" s="27">
        <v>5.5141129900000002E-2</v>
      </c>
      <c r="BO15" s="27">
        <v>1.6089340000000001E-2</v>
      </c>
      <c r="BP15" s="27">
        <v>2.2400609999999999E-4</v>
      </c>
      <c r="BQ15" s="27">
        <v>0</v>
      </c>
      <c r="BR15" s="92">
        <v>0</v>
      </c>
      <c r="BS15" s="80" t="s">
        <v>136</v>
      </c>
      <c r="BT15" s="80">
        <v>0</v>
      </c>
      <c r="BU15" s="79">
        <v>5.8708849E-2</v>
      </c>
      <c r="BV15" s="27">
        <v>9.5064170000000003E-4</v>
      </c>
      <c r="BW15" s="27">
        <v>4.3274687359000001</v>
      </c>
      <c r="BX15" s="27">
        <v>3.8914445399999997E-2</v>
      </c>
      <c r="BY15" s="80" t="s">
        <v>136</v>
      </c>
      <c r="BZ15" s="80">
        <v>0</v>
      </c>
      <c r="CA15" s="80" t="s">
        <v>136</v>
      </c>
      <c r="CB15" s="80">
        <v>0</v>
      </c>
      <c r="CC15" s="27">
        <v>0.10261281060000001</v>
      </c>
      <c r="CD15" s="27">
        <v>3.7625160000000001E-4</v>
      </c>
      <c r="CE15" s="27">
        <v>0.53353845529999999</v>
      </c>
      <c r="CF15" s="92">
        <v>1.8932802999999999E-3</v>
      </c>
      <c r="CG15" s="80" t="s">
        <v>136</v>
      </c>
      <c r="CH15" s="80">
        <v>0</v>
      </c>
      <c r="CI15" s="80" t="s">
        <v>136</v>
      </c>
      <c r="CJ15" s="80">
        <v>0</v>
      </c>
      <c r="CK15" s="80" t="s">
        <v>136</v>
      </c>
      <c r="CL15" s="80">
        <v>0</v>
      </c>
      <c r="CM15" s="80" t="s">
        <v>136</v>
      </c>
      <c r="CN15" s="80">
        <v>0</v>
      </c>
      <c r="CO15" s="79">
        <v>6.8242622000000003E-3</v>
      </c>
      <c r="CP15" s="27">
        <v>1.9932589999999999E-4</v>
      </c>
      <c r="CQ15" s="27">
        <v>1.5611847200000001E-2</v>
      </c>
      <c r="CR15" s="27">
        <v>2.5816009999999999E-4</v>
      </c>
      <c r="CS15" s="27">
        <v>0.1200561231</v>
      </c>
      <c r="CT15" s="27">
        <v>1.6762095000000001E-3</v>
      </c>
      <c r="CU15" s="27">
        <v>4.3087775645999997</v>
      </c>
      <c r="CV15" s="92">
        <v>0.1084165341</v>
      </c>
      <c r="CW15" s="80" t="s">
        <v>136</v>
      </c>
      <c r="CX15" s="80">
        <v>0</v>
      </c>
      <c r="CY15" s="80" t="s">
        <v>136</v>
      </c>
      <c r="CZ15" s="80">
        <v>0</v>
      </c>
      <c r="DA15" s="79">
        <v>3.7120963027</v>
      </c>
      <c r="DB15" s="27">
        <v>7.4752539600000001E-2</v>
      </c>
      <c r="DC15" s="27">
        <v>17.012701157999999</v>
      </c>
      <c r="DD15" s="27">
        <v>0.85954140170000004</v>
      </c>
      <c r="DE15" s="27">
        <v>2.4294040017</v>
      </c>
      <c r="DF15" s="27">
        <v>0.13897697549999999</v>
      </c>
      <c r="DG15" s="27">
        <v>37.992935600000003</v>
      </c>
      <c r="DH15" s="92">
        <v>0.45472182709999998</v>
      </c>
      <c r="DI15" s="95">
        <v>5.1035600000000003E-5</v>
      </c>
      <c r="DJ15" s="96">
        <v>8.1761400000000006E-5</v>
      </c>
      <c r="DK15" s="96">
        <v>9.0135099999999997E-5</v>
      </c>
      <c r="DL15" s="96">
        <v>9.5768199999999996E-5</v>
      </c>
      <c r="DM15" s="96">
        <v>1.0140129999999999E-4</v>
      </c>
      <c r="DN15" s="96">
        <v>1.0140129999999999E-4</v>
      </c>
      <c r="DO15" s="96">
        <v>1.0140129999999999E-4</v>
      </c>
      <c r="DP15" s="96">
        <v>1.0140129999999999E-4</v>
      </c>
      <c r="DQ15" s="96">
        <v>1.0140129999999999E-4</v>
      </c>
      <c r="DR15" s="97">
        <v>1.0140129999999999E-4</v>
      </c>
      <c r="DS15" s="93">
        <v>27.829155047</v>
      </c>
      <c r="DT15" s="80">
        <v>0.20924084800000001</v>
      </c>
      <c r="DU15" s="80">
        <v>8.1992544932999998</v>
      </c>
      <c r="DV15" s="80">
        <v>6.6893891600000005E-2</v>
      </c>
      <c r="DW15" s="80">
        <v>2.1610359969999999</v>
      </c>
      <c r="DX15" s="80">
        <v>1.9282068600000001E-2</v>
      </c>
      <c r="DY15" s="80">
        <v>0.52710742200000005</v>
      </c>
      <c r="DZ15" s="80">
        <v>5.3159684E-3</v>
      </c>
      <c r="EA15" s="80">
        <v>0.12523690169999999</v>
      </c>
      <c r="EB15" s="80">
        <v>1.5855634E-3</v>
      </c>
      <c r="EC15" s="80">
        <v>3.42192625E-2</v>
      </c>
      <c r="ED15" s="80">
        <v>6.536189E-4</v>
      </c>
      <c r="EE15" s="80">
        <v>1.3916203699999999E-2</v>
      </c>
      <c r="EF15" s="80">
        <v>4.135551E-4</v>
      </c>
      <c r="EG15" s="80">
        <v>7.7873569000000004E-3</v>
      </c>
      <c r="EH15" s="80">
        <v>3.1646700000000002E-4</v>
      </c>
      <c r="EI15" s="80">
        <v>5.9056628999999998E-3</v>
      </c>
      <c r="EJ15" s="80">
        <v>2.74651E-4</v>
      </c>
      <c r="EK15" s="80">
        <v>5.2263722E-3</v>
      </c>
      <c r="EL15" s="94">
        <v>2.4768899999999999E-4</v>
      </c>
    </row>
    <row r="16" spans="1:142" x14ac:dyDescent="0.2">
      <c r="A16" s="79">
        <v>1100</v>
      </c>
      <c r="B16" s="27">
        <v>8416</v>
      </c>
      <c r="C16" s="79">
        <v>764.9050896</v>
      </c>
      <c r="D16" s="27">
        <v>1049.451431</v>
      </c>
      <c r="E16" s="27">
        <v>10.883766713</v>
      </c>
      <c r="F16" s="27">
        <v>2.1843976599999999E-2</v>
      </c>
      <c r="G16" s="79">
        <v>4.0494031799999997E-2</v>
      </c>
      <c r="H16" s="27">
        <v>7.3023999999999997E-5</v>
      </c>
      <c r="I16" s="27">
        <v>90.202691869000006</v>
      </c>
      <c r="J16" s="27">
        <v>0.61522246540000003</v>
      </c>
      <c r="K16" s="27">
        <v>27.100057593999999</v>
      </c>
      <c r="L16" s="27">
        <v>0.172898049</v>
      </c>
      <c r="M16" s="27">
        <v>4.9744341274000003</v>
      </c>
      <c r="N16" s="27">
        <v>4.5055233600000001E-2</v>
      </c>
      <c r="O16" s="80" t="s">
        <v>136</v>
      </c>
      <c r="P16" s="80">
        <v>0</v>
      </c>
      <c r="Q16" s="27">
        <v>0.9000790904</v>
      </c>
      <c r="R16" s="27">
        <v>2.8128039999999999E-3</v>
      </c>
      <c r="S16" s="80" t="s">
        <v>136</v>
      </c>
      <c r="T16" s="80">
        <v>0</v>
      </c>
      <c r="U16" s="80" t="s">
        <v>136</v>
      </c>
      <c r="V16" s="80">
        <v>0</v>
      </c>
      <c r="W16" s="27">
        <v>3.03350896E-2</v>
      </c>
      <c r="X16" s="27">
        <v>5.2559839999999998E-4</v>
      </c>
      <c r="Y16" s="27">
        <v>5.0006081403999998</v>
      </c>
      <c r="Z16" s="27">
        <v>0.12373827029999999</v>
      </c>
      <c r="AA16" s="80" t="s">
        <v>136</v>
      </c>
      <c r="AB16" s="80">
        <v>0</v>
      </c>
      <c r="AC16" s="27">
        <v>0</v>
      </c>
      <c r="AD16" s="27">
        <v>0</v>
      </c>
      <c r="AE16" s="80" t="s">
        <v>136</v>
      </c>
      <c r="AF16" s="80">
        <v>0</v>
      </c>
      <c r="AG16" s="80" t="s">
        <v>136</v>
      </c>
      <c r="AH16" s="80">
        <v>0</v>
      </c>
      <c r="AI16" s="27">
        <f t="shared" si="0"/>
        <v>0</v>
      </c>
      <c r="AJ16" s="27">
        <f t="shared" si="1"/>
        <v>0</v>
      </c>
      <c r="AK16" s="27">
        <v>43.452873486999998</v>
      </c>
      <c r="AL16" s="27">
        <v>0.73662764650000001</v>
      </c>
      <c r="AM16" s="80" t="s">
        <v>136</v>
      </c>
      <c r="AN16" s="80">
        <v>0</v>
      </c>
      <c r="AO16" s="80" t="s">
        <v>136</v>
      </c>
      <c r="AP16" s="80">
        <v>0</v>
      </c>
      <c r="AQ16" s="80" t="s">
        <v>136</v>
      </c>
      <c r="AR16" s="80">
        <v>0</v>
      </c>
      <c r="AS16" s="27">
        <v>22.962106956</v>
      </c>
      <c r="AT16" s="27">
        <v>1.0149127003</v>
      </c>
      <c r="AU16" s="27">
        <v>12.562987382999999</v>
      </c>
      <c r="AV16" s="27">
        <v>0.14519402300000001</v>
      </c>
      <c r="AW16" s="27">
        <v>5.8922273361000004</v>
      </c>
      <c r="AX16" s="27">
        <v>8.4598011700000003E-2</v>
      </c>
      <c r="AY16" s="27">
        <v>3.1173464045000001</v>
      </c>
      <c r="AZ16" s="27">
        <v>3.9240296399999999E-2</v>
      </c>
      <c r="BA16" s="80">
        <f t="shared" si="2"/>
        <v>3.5534136423999989</v>
      </c>
      <c r="BB16" s="80">
        <f t="shared" si="3"/>
        <v>2.1355714900000003E-2</v>
      </c>
      <c r="BC16" s="27">
        <v>0</v>
      </c>
      <c r="BD16" s="80">
        <v>0</v>
      </c>
      <c r="BE16" s="27">
        <v>44.253903498</v>
      </c>
      <c r="BF16" s="27">
        <v>0.64238742280000005</v>
      </c>
      <c r="BG16" s="79">
        <v>1.2960700000000001E-4</v>
      </c>
      <c r="BH16" s="80">
        <v>0</v>
      </c>
      <c r="BI16" s="27">
        <v>54.788548388000002</v>
      </c>
      <c r="BJ16" s="27">
        <v>2.2626177596999999</v>
      </c>
      <c r="BK16" s="27">
        <v>23.651772229999999</v>
      </c>
      <c r="BL16" s="27">
        <v>0.18981973730000001</v>
      </c>
      <c r="BM16" s="27">
        <v>8.7505461020999995</v>
      </c>
      <c r="BN16" s="27">
        <v>6.2330687900000001E-2</v>
      </c>
      <c r="BO16" s="27">
        <v>1.6834012299999999E-2</v>
      </c>
      <c r="BP16" s="27">
        <v>2.3372749999999999E-4</v>
      </c>
      <c r="BQ16" s="27">
        <v>0</v>
      </c>
      <c r="BR16" s="92">
        <v>0</v>
      </c>
      <c r="BS16" s="80" t="s">
        <v>136</v>
      </c>
      <c r="BT16" s="80">
        <v>0</v>
      </c>
      <c r="BU16" s="79">
        <v>6.1221186800000001E-2</v>
      </c>
      <c r="BV16" s="27">
        <v>9.844443E-4</v>
      </c>
      <c r="BW16" s="27">
        <v>4.9132129406000002</v>
      </c>
      <c r="BX16" s="27">
        <v>4.4070789200000002E-2</v>
      </c>
      <c r="BY16" s="80" t="s">
        <v>136</v>
      </c>
      <c r="BZ16" s="80">
        <v>0</v>
      </c>
      <c r="CA16" s="80" t="s">
        <v>136</v>
      </c>
      <c r="CB16" s="80">
        <v>0</v>
      </c>
      <c r="CC16" s="27">
        <v>0.13537288959999999</v>
      </c>
      <c r="CD16" s="27">
        <v>4.3282610000000001E-4</v>
      </c>
      <c r="CE16" s="27">
        <v>0.76470620069999995</v>
      </c>
      <c r="CF16" s="92">
        <v>2.3799779E-3</v>
      </c>
      <c r="CG16" s="80" t="s">
        <v>136</v>
      </c>
      <c r="CH16" s="80">
        <v>0</v>
      </c>
      <c r="CI16" s="80" t="s">
        <v>136</v>
      </c>
      <c r="CJ16" s="80">
        <v>0</v>
      </c>
      <c r="CK16" s="80" t="s">
        <v>136</v>
      </c>
      <c r="CL16" s="80">
        <v>0</v>
      </c>
      <c r="CM16" s="80" t="s">
        <v>136</v>
      </c>
      <c r="CN16" s="80">
        <v>0</v>
      </c>
      <c r="CO16" s="79">
        <v>8.1435858999999999E-3</v>
      </c>
      <c r="CP16" s="27">
        <v>2.051752E-4</v>
      </c>
      <c r="CQ16" s="27">
        <v>2.21915037E-2</v>
      </c>
      <c r="CR16" s="27">
        <v>3.2042319999999998E-4</v>
      </c>
      <c r="CS16" s="27">
        <v>0.14255531539999999</v>
      </c>
      <c r="CT16" s="27">
        <v>1.9350490000000001E-3</v>
      </c>
      <c r="CU16" s="27">
        <v>4.8580528248999997</v>
      </c>
      <c r="CV16" s="92">
        <v>0.1218032213</v>
      </c>
      <c r="CW16" s="80" t="s">
        <v>136</v>
      </c>
      <c r="CX16" s="80">
        <v>0</v>
      </c>
      <c r="CY16" s="80" t="s">
        <v>136</v>
      </c>
      <c r="CZ16" s="80">
        <v>0</v>
      </c>
      <c r="DA16" s="79">
        <v>4.2717454692999999</v>
      </c>
      <c r="DB16" s="27">
        <v>8.3976959300000001E-2</v>
      </c>
      <c r="DC16" s="27">
        <v>18.690361487000001</v>
      </c>
      <c r="DD16" s="27">
        <v>0.93093574099999998</v>
      </c>
      <c r="DE16" s="27">
        <v>2.8695648507999998</v>
      </c>
      <c r="DF16" s="27">
        <v>0.1553561416</v>
      </c>
      <c r="DG16" s="27">
        <v>41.384338648000004</v>
      </c>
      <c r="DH16" s="92">
        <v>0.48703128130000001</v>
      </c>
      <c r="DI16" s="95">
        <v>7.3023999999999997E-5</v>
      </c>
      <c r="DJ16" s="96">
        <v>1.105899E-4</v>
      </c>
      <c r="DK16" s="96">
        <v>1.1864490000000001E-4</v>
      </c>
      <c r="DL16" s="96">
        <v>1.2412600000000001E-4</v>
      </c>
      <c r="DM16" s="96">
        <v>1.2960700000000001E-4</v>
      </c>
      <c r="DN16" s="96">
        <v>1.2960700000000001E-4</v>
      </c>
      <c r="DO16" s="96">
        <v>1.2960700000000001E-4</v>
      </c>
      <c r="DP16" s="96">
        <v>1.2960700000000001E-4</v>
      </c>
      <c r="DQ16" s="96">
        <v>1.2960700000000001E-4</v>
      </c>
      <c r="DR16" s="97">
        <v>1.2960700000000001E-4</v>
      </c>
      <c r="DS16" s="93">
        <v>31.573770666000001</v>
      </c>
      <c r="DT16" s="80">
        <v>0.23509823930000001</v>
      </c>
      <c r="DU16" s="80">
        <v>10.01656972</v>
      </c>
      <c r="DV16" s="80">
        <v>8.0440332700000006E-2</v>
      </c>
      <c r="DW16" s="80">
        <v>2.9156171322</v>
      </c>
      <c r="DX16" s="80">
        <v>2.5397582700000001E-2</v>
      </c>
      <c r="DY16" s="80">
        <v>0.79681222799999996</v>
      </c>
      <c r="DZ16" s="80">
        <v>7.7009935000000003E-3</v>
      </c>
      <c r="EA16" s="80">
        <v>0.21189972909999999</v>
      </c>
      <c r="EB16" s="80">
        <v>2.4234944000000001E-3</v>
      </c>
      <c r="EC16" s="80">
        <v>5.9067566000000002E-2</v>
      </c>
      <c r="ED16" s="80">
        <v>9.4995509999999997E-4</v>
      </c>
      <c r="EE16" s="80">
        <v>2.0078409799999999E-2</v>
      </c>
      <c r="EF16" s="80">
        <v>5.3663080000000002E-4</v>
      </c>
      <c r="EG16" s="80">
        <v>1.05146223E-2</v>
      </c>
      <c r="EH16" s="80">
        <v>3.9986919999999998E-4</v>
      </c>
      <c r="EI16" s="80">
        <v>7.7104473999999997E-3</v>
      </c>
      <c r="EJ16" s="80">
        <v>3.3928510000000002E-4</v>
      </c>
      <c r="EK16" s="80">
        <v>6.5920439000000004E-3</v>
      </c>
      <c r="EL16" s="94">
        <v>2.9834479999999998E-4</v>
      </c>
    </row>
    <row r="17" spans="1:142" x14ac:dyDescent="0.2">
      <c r="A17" s="79">
        <v>1200</v>
      </c>
      <c r="B17" s="27">
        <v>7956</v>
      </c>
      <c r="C17" s="79">
        <v>820.80442045999996</v>
      </c>
      <c r="D17" s="27">
        <v>1149.4492313000001</v>
      </c>
      <c r="E17" s="27">
        <v>12.757417263000001</v>
      </c>
      <c r="F17" s="27">
        <v>2.4437251300000001E-2</v>
      </c>
      <c r="G17" s="79">
        <v>4.7886616200000003E-2</v>
      </c>
      <c r="H17" s="27">
        <v>8.0152099999999994E-5</v>
      </c>
      <c r="I17" s="27">
        <v>96.280704012000001</v>
      </c>
      <c r="J17" s="27">
        <v>0.65446288679999998</v>
      </c>
      <c r="K17" s="27">
        <v>29.354753061</v>
      </c>
      <c r="L17" s="27">
        <v>0.1863567505</v>
      </c>
      <c r="M17" s="27">
        <v>5.5157175876000002</v>
      </c>
      <c r="N17" s="27">
        <v>4.9832109300000003E-2</v>
      </c>
      <c r="O17" s="80" t="s">
        <v>136</v>
      </c>
      <c r="P17" s="80">
        <v>0</v>
      </c>
      <c r="Q17" s="27">
        <v>1.1991380661</v>
      </c>
      <c r="R17" s="27">
        <v>3.5111785E-3</v>
      </c>
      <c r="S17" s="80" t="s">
        <v>136</v>
      </c>
      <c r="T17" s="80">
        <v>0</v>
      </c>
      <c r="U17" s="80" t="s">
        <v>136</v>
      </c>
      <c r="V17" s="80">
        <v>0</v>
      </c>
      <c r="W17" s="27">
        <v>3.6046903399999997E-2</v>
      </c>
      <c r="X17" s="27">
        <v>5.745212E-4</v>
      </c>
      <c r="Y17" s="27">
        <v>5.6095908780999997</v>
      </c>
      <c r="Z17" s="27">
        <v>0.13858118250000001</v>
      </c>
      <c r="AA17" s="80" t="s">
        <v>136</v>
      </c>
      <c r="AB17" s="80">
        <v>0</v>
      </c>
      <c r="AC17" s="27">
        <v>0</v>
      </c>
      <c r="AD17" s="27">
        <v>0</v>
      </c>
      <c r="AE17" s="80" t="s">
        <v>136</v>
      </c>
      <c r="AF17" s="80">
        <v>0</v>
      </c>
      <c r="AG17" s="80" t="s">
        <v>136</v>
      </c>
      <c r="AH17" s="80">
        <v>0</v>
      </c>
      <c r="AI17" s="27">
        <f t="shared" si="0"/>
        <v>0</v>
      </c>
      <c r="AJ17" s="27">
        <f t="shared" si="1"/>
        <v>0</v>
      </c>
      <c r="AK17" s="27">
        <v>47.047390190999998</v>
      </c>
      <c r="AL17" s="27">
        <v>0.7937831649</v>
      </c>
      <c r="AM17" s="80" t="s">
        <v>136</v>
      </c>
      <c r="AN17" s="80">
        <v>0</v>
      </c>
      <c r="AO17" s="80" t="s">
        <v>136</v>
      </c>
      <c r="AP17" s="80">
        <v>0</v>
      </c>
      <c r="AQ17" s="80" t="s">
        <v>136</v>
      </c>
      <c r="AR17" s="80">
        <v>0</v>
      </c>
      <c r="AS17" s="27">
        <v>25.407193102000001</v>
      </c>
      <c r="AT17" s="27">
        <v>1.1025145529</v>
      </c>
      <c r="AU17" s="27">
        <v>14.290457930000001</v>
      </c>
      <c r="AV17" s="27">
        <v>0.16054131499999999</v>
      </c>
      <c r="AW17" s="27">
        <v>6.6542614068999999</v>
      </c>
      <c r="AX17" s="27">
        <v>9.3514896599999994E-2</v>
      </c>
      <c r="AY17" s="27">
        <v>3.4824129898999998</v>
      </c>
      <c r="AZ17" s="27">
        <v>4.2801900699999999E-2</v>
      </c>
      <c r="BA17" s="80">
        <f t="shared" si="2"/>
        <v>4.1537835332000004</v>
      </c>
      <c r="BB17" s="80">
        <f t="shared" si="3"/>
        <v>2.4224517700000003E-2</v>
      </c>
      <c r="BC17" s="27">
        <v>0</v>
      </c>
      <c r="BD17" s="80">
        <v>0</v>
      </c>
      <c r="BE17" s="27">
        <v>47.810064677</v>
      </c>
      <c r="BF17" s="27">
        <v>0.68888301959999998</v>
      </c>
      <c r="BG17" s="79">
        <v>1.3707850000000001E-4</v>
      </c>
      <c r="BH17" s="80">
        <v>0</v>
      </c>
      <c r="BI17" s="27">
        <v>59.711379391999998</v>
      </c>
      <c r="BJ17" s="27">
        <v>2.4271619090000001</v>
      </c>
      <c r="BK17" s="27">
        <v>27.316984043000001</v>
      </c>
      <c r="BL17" s="27">
        <v>0.21919623620000001</v>
      </c>
      <c r="BM17" s="27">
        <v>10.075243325000001</v>
      </c>
      <c r="BN17" s="27">
        <v>7.0576688799999995E-2</v>
      </c>
      <c r="BO17" s="27">
        <v>2.4285900799999999E-2</v>
      </c>
      <c r="BP17" s="27">
        <v>3.0859449999999999E-4</v>
      </c>
      <c r="BQ17" s="27">
        <v>0</v>
      </c>
      <c r="BR17" s="92">
        <v>0</v>
      </c>
      <c r="BS17" s="80" t="s">
        <v>136</v>
      </c>
      <c r="BT17" s="80">
        <v>0</v>
      </c>
      <c r="BU17" s="79">
        <v>6.5323805499999998E-2</v>
      </c>
      <c r="BV17" s="27">
        <v>1.0792782E-3</v>
      </c>
      <c r="BW17" s="27">
        <v>5.4503937820999999</v>
      </c>
      <c r="BX17" s="27">
        <v>4.8752831099999998E-2</v>
      </c>
      <c r="BY17" s="80" t="s">
        <v>136</v>
      </c>
      <c r="BZ17" s="80">
        <v>0</v>
      </c>
      <c r="CA17" s="80" t="s">
        <v>136</v>
      </c>
      <c r="CB17" s="80">
        <v>0</v>
      </c>
      <c r="CC17" s="27">
        <v>0.19711334580000001</v>
      </c>
      <c r="CD17" s="27">
        <v>5.5874929999999998E-4</v>
      </c>
      <c r="CE17" s="27">
        <v>1.0020247202000001</v>
      </c>
      <c r="CF17" s="92">
        <v>2.9524290999999999E-3</v>
      </c>
      <c r="CG17" s="80" t="s">
        <v>136</v>
      </c>
      <c r="CH17" s="80">
        <v>0</v>
      </c>
      <c r="CI17" s="80" t="s">
        <v>136</v>
      </c>
      <c r="CJ17" s="80">
        <v>0</v>
      </c>
      <c r="CK17" s="80" t="s">
        <v>136</v>
      </c>
      <c r="CL17" s="80">
        <v>0</v>
      </c>
      <c r="CM17" s="80" t="s">
        <v>136</v>
      </c>
      <c r="CN17" s="80">
        <v>0</v>
      </c>
      <c r="CO17" s="79">
        <v>9.3604372000000002E-3</v>
      </c>
      <c r="CP17" s="27">
        <v>2.1234450000000001E-4</v>
      </c>
      <c r="CQ17" s="27">
        <v>2.66864661E-2</v>
      </c>
      <c r="CR17" s="27">
        <v>3.6217669999999999E-4</v>
      </c>
      <c r="CS17" s="27">
        <v>0.1772695738</v>
      </c>
      <c r="CT17" s="27">
        <v>2.4380947999999999E-3</v>
      </c>
      <c r="CU17" s="27">
        <v>5.4323213043000003</v>
      </c>
      <c r="CV17" s="92">
        <v>0.1361430877</v>
      </c>
      <c r="CW17" s="80" t="s">
        <v>136</v>
      </c>
      <c r="CX17" s="80">
        <v>0</v>
      </c>
      <c r="CY17" s="80" t="s">
        <v>136</v>
      </c>
      <c r="CZ17" s="80">
        <v>0</v>
      </c>
      <c r="DA17" s="79">
        <v>4.8491615719999999</v>
      </c>
      <c r="DB17" s="27">
        <v>9.3664835399999993E-2</v>
      </c>
      <c r="DC17" s="27">
        <v>20.558031530000001</v>
      </c>
      <c r="DD17" s="27">
        <v>1.0088497175</v>
      </c>
      <c r="DE17" s="27">
        <v>3.2434194650000001</v>
      </c>
      <c r="DF17" s="27">
        <v>0.1711954252</v>
      </c>
      <c r="DG17" s="27">
        <v>44.566645211999997</v>
      </c>
      <c r="DH17" s="92">
        <v>0.5176875943</v>
      </c>
      <c r="DI17" s="95">
        <v>8.0152099999999994E-5</v>
      </c>
      <c r="DJ17" s="96">
        <v>1.1860869999999999E-4</v>
      </c>
      <c r="DK17" s="96">
        <v>1.263972E-4</v>
      </c>
      <c r="DL17" s="96">
        <v>1.3173779999999999E-4</v>
      </c>
      <c r="DM17" s="96">
        <v>1.3707850000000001E-4</v>
      </c>
      <c r="DN17" s="96">
        <v>1.3707850000000001E-4</v>
      </c>
      <c r="DO17" s="96">
        <v>1.3707850000000001E-4</v>
      </c>
      <c r="DP17" s="96">
        <v>1.3707850000000001E-4</v>
      </c>
      <c r="DQ17" s="96">
        <v>1.3707850000000001E-4</v>
      </c>
      <c r="DR17" s="97">
        <v>1.3707850000000001E-4</v>
      </c>
      <c r="DS17" s="93">
        <v>35.378908224</v>
      </c>
      <c r="DT17" s="80">
        <v>0.26096955240000003</v>
      </c>
      <c r="DU17" s="80">
        <v>11.934880608</v>
      </c>
      <c r="DV17" s="80">
        <v>9.4270653800000007E-2</v>
      </c>
      <c r="DW17" s="80">
        <v>3.7210756834000001</v>
      </c>
      <c r="DX17" s="80">
        <v>3.1584045200000001E-2</v>
      </c>
      <c r="DY17" s="80">
        <v>1.0772208131000001</v>
      </c>
      <c r="DZ17" s="80">
        <v>1.00145761E-2</v>
      </c>
      <c r="EA17" s="80">
        <v>0.29048068490000001</v>
      </c>
      <c r="EB17" s="80">
        <v>3.1261089000000001E-3</v>
      </c>
      <c r="EC17" s="80">
        <v>8.1078270399999999E-2</v>
      </c>
      <c r="ED17" s="80">
        <v>1.1641086000000001E-3</v>
      </c>
      <c r="EE17" s="80">
        <v>2.6258811699999999E-2</v>
      </c>
      <c r="EF17" s="80">
        <v>6.0146920000000005E-4</v>
      </c>
      <c r="EG17" s="80">
        <v>1.17818831E-2</v>
      </c>
      <c r="EH17" s="80">
        <v>4.0997270000000001E-4</v>
      </c>
      <c r="EI17" s="80">
        <v>7.8559269000000008E-3</v>
      </c>
      <c r="EJ17" s="80">
        <v>3.3350870000000001E-4</v>
      </c>
      <c r="EK17" s="80">
        <v>6.3844354999999997E-3</v>
      </c>
      <c r="EL17" s="94">
        <v>2.8939340000000001E-4</v>
      </c>
    </row>
    <row r="18" spans="1:142" x14ac:dyDescent="0.2">
      <c r="A18" s="79">
        <v>1300</v>
      </c>
      <c r="B18" s="27">
        <v>7488</v>
      </c>
      <c r="C18" s="79">
        <v>874.88861612999995</v>
      </c>
      <c r="D18" s="27">
        <v>1250.0924898999999</v>
      </c>
      <c r="E18" s="27">
        <v>14.506576146</v>
      </c>
      <c r="F18" s="27">
        <v>2.6714972900000002E-2</v>
      </c>
      <c r="G18" s="79">
        <v>8.8007177000000006E-2</v>
      </c>
      <c r="H18" s="27">
        <v>1.18007E-4</v>
      </c>
      <c r="I18" s="27">
        <v>101.54675093</v>
      </c>
      <c r="J18" s="27">
        <v>0.68857188920000001</v>
      </c>
      <c r="K18" s="27">
        <v>31.540628640000001</v>
      </c>
      <c r="L18" s="27">
        <v>0.1992904704</v>
      </c>
      <c r="M18" s="27">
        <v>6.0981651457000003</v>
      </c>
      <c r="N18" s="27">
        <v>5.4891548300000002E-2</v>
      </c>
      <c r="O18" s="80" t="s">
        <v>136</v>
      </c>
      <c r="P18" s="80">
        <v>0</v>
      </c>
      <c r="Q18" s="27">
        <v>1.5916712562999999</v>
      </c>
      <c r="R18" s="27">
        <v>4.3998229999999998E-3</v>
      </c>
      <c r="S18" s="80" t="s">
        <v>136</v>
      </c>
      <c r="T18" s="80">
        <v>0</v>
      </c>
      <c r="U18" s="80" t="s">
        <v>136</v>
      </c>
      <c r="V18" s="80">
        <v>0</v>
      </c>
      <c r="W18" s="27">
        <v>4.0904805699999998E-2</v>
      </c>
      <c r="X18" s="27">
        <v>6.5986310000000004E-4</v>
      </c>
      <c r="Y18" s="27">
        <v>6.1684686429999998</v>
      </c>
      <c r="Z18" s="27">
        <v>0.15105630959999999</v>
      </c>
      <c r="AA18" s="80" t="s">
        <v>136</v>
      </c>
      <c r="AB18" s="80">
        <v>0</v>
      </c>
      <c r="AC18" s="27">
        <v>0</v>
      </c>
      <c r="AD18" s="27">
        <v>0</v>
      </c>
      <c r="AE18" s="80" t="s">
        <v>136</v>
      </c>
      <c r="AF18" s="80">
        <v>0</v>
      </c>
      <c r="AG18" s="80" t="s">
        <v>136</v>
      </c>
      <c r="AH18" s="80">
        <v>0</v>
      </c>
      <c r="AI18" s="27">
        <f t="shared" si="0"/>
        <v>0</v>
      </c>
      <c r="AJ18" s="27">
        <f t="shared" si="1"/>
        <v>0</v>
      </c>
      <c r="AK18" s="27">
        <v>50.499337597</v>
      </c>
      <c r="AL18" s="27">
        <v>0.84662373420000003</v>
      </c>
      <c r="AM18" s="80" t="s">
        <v>136</v>
      </c>
      <c r="AN18" s="80">
        <v>0</v>
      </c>
      <c r="AO18" s="80" t="s">
        <v>136</v>
      </c>
      <c r="AP18" s="80">
        <v>0</v>
      </c>
      <c r="AQ18" s="80" t="s">
        <v>136</v>
      </c>
      <c r="AR18" s="80">
        <v>0</v>
      </c>
      <c r="AS18" s="27">
        <v>27.596727094999999</v>
      </c>
      <c r="AT18" s="27">
        <v>1.1779411189</v>
      </c>
      <c r="AU18" s="27">
        <v>15.961102</v>
      </c>
      <c r="AV18" s="27">
        <v>0.17505545829999999</v>
      </c>
      <c r="AW18" s="27">
        <v>7.4421407452999997</v>
      </c>
      <c r="AX18" s="27">
        <v>0.1022466097</v>
      </c>
      <c r="AY18" s="27">
        <v>3.8266037306</v>
      </c>
      <c r="AZ18" s="27">
        <v>4.5953155099999997E-2</v>
      </c>
      <c r="BA18" s="80">
        <f t="shared" si="2"/>
        <v>4.6923575241000002</v>
      </c>
      <c r="BB18" s="80">
        <f t="shared" si="3"/>
        <v>2.68556935E-2</v>
      </c>
      <c r="BC18" s="27">
        <v>0</v>
      </c>
      <c r="BD18" s="80">
        <v>0</v>
      </c>
      <c r="BE18" s="27">
        <v>51.552167812999997</v>
      </c>
      <c r="BF18" s="27">
        <v>0.73285460260000002</v>
      </c>
      <c r="BG18" s="79">
        <v>2.059784E-4</v>
      </c>
      <c r="BH18" s="80">
        <v>0</v>
      </c>
      <c r="BI18" s="27">
        <v>64.363479987000005</v>
      </c>
      <c r="BJ18" s="27">
        <v>2.5781389730000002</v>
      </c>
      <c r="BK18" s="27">
        <v>31.861718460999999</v>
      </c>
      <c r="BL18" s="27">
        <v>0.25487366560000002</v>
      </c>
      <c r="BM18" s="27">
        <v>11.4538402</v>
      </c>
      <c r="BN18" s="27">
        <v>7.8553176000000002E-2</v>
      </c>
      <c r="BO18" s="27">
        <v>2.3507723000000001E-2</v>
      </c>
      <c r="BP18" s="27">
        <v>2.9771749999999998E-4</v>
      </c>
      <c r="BQ18" s="27">
        <v>0</v>
      </c>
      <c r="BR18" s="92">
        <v>0</v>
      </c>
      <c r="BS18" s="80" t="s">
        <v>136</v>
      </c>
      <c r="BT18" s="80">
        <v>0</v>
      </c>
      <c r="BU18" s="79">
        <v>6.7228148799999998E-2</v>
      </c>
      <c r="BV18" s="27">
        <v>1.1023904999999999E-3</v>
      </c>
      <c r="BW18" s="27">
        <v>6.0309369970000004</v>
      </c>
      <c r="BX18" s="27">
        <v>5.3789157800000001E-2</v>
      </c>
      <c r="BY18" s="80" t="s">
        <v>136</v>
      </c>
      <c r="BZ18" s="80">
        <v>0</v>
      </c>
      <c r="CA18" s="80" t="s">
        <v>136</v>
      </c>
      <c r="CB18" s="80">
        <v>0</v>
      </c>
      <c r="CC18" s="27">
        <v>0.30630477319999999</v>
      </c>
      <c r="CD18" s="27">
        <v>7.6076850000000005E-4</v>
      </c>
      <c r="CE18" s="27">
        <v>1.2853664831</v>
      </c>
      <c r="CF18" s="92">
        <v>3.6390544999999998E-3</v>
      </c>
      <c r="CG18" s="80" t="s">
        <v>136</v>
      </c>
      <c r="CH18" s="80">
        <v>0</v>
      </c>
      <c r="CI18" s="80" t="s">
        <v>136</v>
      </c>
      <c r="CJ18" s="80">
        <v>0</v>
      </c>
      <c r="CK18" s="80" t="s">
        <v>136</v>
      </c>
      <c r="CL18" s="80">
        <v>0</v>
      </c>
      <c r="CM18" s="80" t="s">
        <v>136</v>
      </c>
      <c r="CN18" s="80">
        <v>0</v>
      </c>
      <c r="CO18" s="79">
        <v>1.0758172599999999E-2</v>
      </c>
      <c r="CP18" s="27">
        <v>2.671571E-4</v>
      </c>
      <c r="CQ18" s="27">
        <v>3.01466331E-2</v>
      </c>
      <c r="CR18" s="27">
        <v>3.9270599999999999E-4</v>
      </c>
      <c r="CS18" s="27">
        <v>0.2180538786</v>
      </c>
      <c r="CT18" s="27">
        <v>2.8618361E-3</v>
      </c>
      <c r="CU18" s="27">
        <v>5.9504147642999996</v>
      </c>
      <c r="CV18" s="92">
        <v>0.1481944734</v>
      </c>
      <c r="CW18" s="80" t="s">
        <v>136</v>
      </c>
      <c r="CX18" s="80">
        <v>0</v>
      </c>
      <c r="CY18" s="80" t="s">
        <v>136</v>
      </c>
      <c r="CZ18" s="80">
        <v>0</v>
      </c>
      <c r="DA18" s="79">
        <v>5.4446013906999999</v>
      </c>
      <c r="DB18" s="27">
        <v>0.1023740814</v>
      </c>
      <c r="DC18" s="27">
        <v>22.152125703999999</v>
      </c>
      <c r="DD18" s="27">
        <v>1.0755670373999999</v>
      </c>
      <c r="DE18" s="27">
        <v>3.7056591321000001</v>
      </c>
      <c r="DF18" s="27">
        <v>0.18687847969999999</v>
      </c>
      <c r="DG18" s="27">
        <v>47.846508681000003</v>
      </c>
      <c r="DH18" s="92">
        <v>0.54597612299999998</v>
      </c>
      <c r="DI18" s="95">
        <v>1.18007E-4</v>
      </c>
      <c r="DJ18" s="96">
        <v>1.8562249999999999E-4</v>
      </c>
      <c r="DK18" s="96">
        <v>1.955289E-4</v>
      </c>
      <c r="DL18" s="96">
        <v>2.0075369999999999E-4</v>
      </c>
      <c r="DM18" s="96">
        <v>2.059784E-4</v>
      </c>
      <c r="DN18" s="96">
        <v>2.059784E-4</v>
      </c>
      <c r="DO18" s="96">
        <v>2.059784E-4</v>
      </c>
      <c r="DP18" s="96">
        <v>2.059784E-4</v>
      </c>
      <c r="DQ18" s="96">
        <v>2.059784E-4</v>
      </c>
      <c r="DR18" s="97">
        <v>2.059784E-4</v>
      </c>
      <c r="DS18" s="93">
        <v>38.732518233</v>
      </c>
      <c r="DT18" s="80">
        <v>0.28374023399999998</v>
      </c>
      <c r="DU18" s="80">
        <v>13.672956725000001</v>
      </c>
      <c r="DV18" s="80">
        <v>0.1067982796</v>
      </c>
      <c r="DW18" s="80">
        <v>4.4934613306999998</v>
      </c>
      <c r="DX18" s="80">
        <v>3.7519891E-2</v>
      </c>
      <c r="DY18" s="80">
        <v>1.3947589680000001</v>
      </c>
      <c r="DZ18" s="80">
        <v>1.2682196600000001E-2</v>
      </c>
      <c r="EA18" s="80">
        <v>0.40700354280000001</v>
      </c>
      <c r="EB18" s="80">
        <v>4.2384737000000002E-3</v>
      </c>
      <c r="EC18" s="80">
        <v>0.1201075207</v>
      </c>
      <c r="ED18" s="80">
        <v>1.6211361000000001E-3</v>
      </c>
      <c r="EE18" s="80">
        <v>4.3177495099999998E-2</v>
      </c>
      <c r="EF18" s="80">
        <v>8.5625290000000004E-4</v>
      </c>
      <c r="EG18" s="80">
        <v>2.0090607199999999E-2</v>
      </c>
      <c r="EH18" s="80">
        <v>5.8029459999999996E-4</v>
      </c>
      <c r="EI18" s="80">
        <v>1.35537976E-2</v>
      </c>
      <c r="EJ18" s="80">
        <v>4.754615E-4</v>
      </c>
      <c r="EK18" s="80">
        <v>1.03098215E-2</v>
      </c>
      <c r="EL18" s="94">
        <v>4.1058490000000001E-4</v>
      </c>
    </row>
    <row r="19" spans="1:142" x14ac:dyDescent="0.2">
      <c r="A19" s="79">
        <v>1400</v>
      </c>
      <c r="B19" s="27">
        <v>7024</v>
      </c>
      <c r="C19" s="79">
        <v>927.50474870999994</v>
      </c>
      <c r="D19" s="27">
        <v>1348.8471201</v>
      </c>
      <c r="E19" s="27">
        <v>16.450081163</v>
      </c>
      <c r="F19" s="27">
        <v>2.9071117699999999E-2</v>
      </c>
      <c r="G19" s="79">
        <v>0.12055883119999999</v>
      </c>
      <c r="H19" s="27">
        <v>1.4422299999999999E-4</v>
      </c>
      <c r="I19" s="27">
        <v>106.58475907</v>
      </c>
      <c r="J19" s="27">
        <v>0.72109818520000002</v>
      </c>
      <c r="K19" s="27">
        <v>33.642891868</v>
      </c>
      <c r="L19" s="27">
        <v>0.21170627759999999</v>
      </c>
      <c r="M19" s="27">
        <v>6.7209031619999999</v>
      </c>
      <c r="N19" s="27">
        <v>6.0217747500000002E-2</v>
      </c>
      <c r="O19" s="80" t="s">
        <v>136</v>
      </c>
      <c r="P19" s="80">
        <v>0</v>
      </c>
      <c r="Q19" s="27">
        <v>1.9630922141</v>
      </c>
      <c r="R19" s="27">
        <v>5.2136055999999998E-3</v>
      </c>
      <c r="S19" s="80" t="s">
        <v>136</v>
      </c>
      <c r="T19" s="80">
        <v>0</v>
      </c>
      <c r="U19" s="80" t="s">
        <v>136</v>
      </c>
      <c r="V19" s="80">
        <v>0</v>
      </c>
      <c r="W19" s="27">
        <v>4.9534100900000003E-2</v>
      </c>
      <c r="X19" s="27">
        <v>7.5983639999999998E-4</v>
      </c>
      <c r="Y19" s="27">
        <v>6.906885237</v>
      </c>
      <c r="Z19" s="27">
        <v>0.1684404293</v>
      </c>
      <c r="AA19" s="80" t="s">
        <v>136</v>
      </c>
      <c r="AB19" s="80">
        <v>0</v>
      </c>
      <c r="AC19" s="27">
        <v>0</v>
      </c>
      <c r="AD19" s="27">
        <v>0</v>
      </c>
      <c r="AE19" s="80" t="s">
        <v>136</v>
      </c>
      <c r="AF19" s="80">
        <v>0</v>
      </c>
      <c r="AG19" s="80" t="s">
        <v>136</v>
      </c>
      <c r="AH19" s="80">
        <v>0</v>
      </c>
      <c r="AI19" s="27">
        <f t="shared" si="0"/>
        <v>0</v>
      </c>
      <c r="AJ19" s="27">
        <f t="shared" si="1"/>
        <v>0</v>
      </c>
      <c r="AK19" s="27">
        <v>53.997850086</v>
      </c>
      <c r="AL19" s="27">
        <v>0.89741122959999997</v>
      </c>
      <c r="AM19" s="80" t="s">
        <v>136</v>
      </c>
      <c r="AN19" s="80">
        <v>0</v>
      </c>
      <c r="AO19" s="80" t="s">
        <v>136</v>
      </c>
      <c r="AP19" s="80">
        <v>0</v>
      </c>
      <c r="AQ19" s="80" t="s">
        <v>136</v>
      </c>
      <c r="AR19" s="80">
        <v>0</v>
      </c>
      <c r="AS19" s="27">
        <v>29.785029575999999</v>
      </c>
      <c r="AT19" s="27">
        <v>1.2549434949</v>
      </c>
      <c r="AU19" s="27">
        <v>17.728788651999999</v>
      </c>
      <c r="AV19" s="27">
        <v>0.18947673239999999</v>
      </c>
      <c r="AW19" s="27">
        <v>8.2608668819000002</v>
      </c>
      <c r="AX19" s="27">
        <v>0.11085613549999999</v>
      </c>
      <c r="AY19" s="27">
        <v>4.1442992755999999</v>
      </c>
      <c r="AZ19" s="27">
        <v>4.8930110999999998E-2</v>
      </c>
      <c r="BA19" s="80">
        <f t="shared" si="2"/>
        <v>5.3236224944999986</v>
      </c>
      <c r="BB19" s="80">
        <f t="shared" si="3"/>
        <v>2.969048589999998E-2</v>
      </c>
      <c r="BC19" s="27">
        <v>0</v>
      </c>
      <c r="BD19" s="80">
        <v>0</v>
      </c>
      <c r="BE19" s="27">
        <v>55.229442962</v>
      </c>
      <c r="BF19" s="27">
        <v>0.77892328239999997</v>
      </c>
      <c r="BG19" s="79">
        <v>2.5958729999999997E-4</v>
      </c>
      <c r="BH19" s="80">
        <v>0</v>
      </c>
      <c r="BI19" s="27">
        <v>68.974663543999995</v>
      </c>
      <c r="BJ19" s="27">
        <v>2.7239048987999999</v>
      </c>
      <c r="BK19" s="27">
        <v>36.062463319000003</v>
      </c>
      <c r="BL19" s="27">
        <v>0.28775295699999998</v>
      </c>
      <c r="BM19" s="27">
        <v>12.819494397</v>
      </c>
      <c r="BN19" s="27">
        <v>8.6390135899999998E-2</v>
      </c>
      <c r="BO19" s="27">
        <v>2.33465809E-2</v>
      </c>
      <c r="BP19" s="27">
        <v>2.9485839999999998E-4</v>
      </c>
      <c r="BQ19" s="27">
        <v>0</v>
      </c>
      <c r="BR19" s="92">
        <v>0</v>
      </c>
      <c r="BS19" s="80" t="s">
        <v>136</v>
      </c>
      <c r="BT19" s="80">
        <v>0</v>
      </c>
      <c r="BU19" s="79">
        <v>9.3963921000000006E-2</v>
      </c>
      <c r="BV19" s="27">
        <v>1.4420046E-3</v>
      </c>
      <c r="BW19" s="27">
        <v>6.6269392409999996</v>
      </c>
      <c r="BX19" s="27">
        <v>5.8775742899999997E-2</v>
      </c>
      <c r="BY19" s="80" t="s">
        <v>136</v>
      </c>
      <c r="BZ19" s="80">
        <v>0</v>
      </c>
      <c r="CA19" s="80" t="s">
        <v>136</v>
      </c>
      <c r="CB19" s="80">
        <v>0</v>
      </c>
      <c r="CC19" s="27">
        <v>0.37831133259999999</v>
      </c>
      <c r="CD19" s="27">
        <v>8.8451209999999998E-4</v>
      </c>
      <c r="CE19" s="27">
        <v>1.5847808815</v>
      </c>
      <c r="CF19" s="92">
        <v>4.3290934000000001E-3</v>
      </c>
      <c r="CG19" s="80" t="s">
        <v>136</v>
      </c>
      <c r="CH19" s="80">
        <v>0</v>
      </c>
      <c r="CI19" s="80" t="s">
        <v>136</v>
      </c>
      <c r="CJ19" s="80">
        <v>0</v>
      </c>
      <c r="CK19" s="80" t="s">
        <v>136</v>
      </c>
      <c r="CL19" s="80">
        <v>0</v>
      </c>
      <c r="CM19" s="80" t="s">
        <v>136</v>
      </c>
      <c r="CN19" s="80">
        <v>0</v>
      </c>
      <c r="CO19" s="79">
        <v>1.11146914E-2</v>
      </c>
      <c r="CP19" s="27">
        <v>2.6855470000000003E-4</v>
      </c>
      <c r="CQ19" s="27">
        <v>3.84194094E-2</v>
      </c>
      <c r="CR19" s="27">
        <v>4.9128170000000001E-4</v>
      </c>
      <c r="CS19" s="27">
        <v>0.25700314130000002</v>
      </c>
      <c r="CT19" s="27">
        <v>3.3205352E-3</v>
      </c>
      <c r="CU19" s="27">
        <v>6.6498820956999998</v>
      </c>
      <c r="CV19" s="92">
        <v>0.1651198941</v>
      </c>
      <c r="CW19" s="80" t="s">
        <v>136</v>
      </c>
      <c r="CX19" s="80">
        <v>0</v>
      </c>
      <c r="CY19" s="80" t="s">
        <v>136</v>
      </c>
      <c r="CZ19" s="80">
        <v>0</v>
      </c>
      <c r="DA19" s="79">
        <v>6.0141432180000001</v>
      </c>
      <c r="DB19" s="27">
        <v>0.1117539734</v>
      </c>
      <c r="DC19" s="27">
        <v>23.770886357999998</v>
      </c>
      <c r="DD19" s="27">
        <v>1.1431895215000001</v>
      </c>
      <c r="DE19" s="27">
        <v>4.1291271402999996</v>
      </c>
      <c r="DF19" s="27">
        <v>0.20230138389999999</v>
      </c>
      <c r="DG19" s="27">
        <v>51.100315821000002</v>
      </c>
      <c r="DH19" s="92">
        <v>0.57662189850000001</v>
      </c>
      <c r="DI19" s="95">
        <v>1.4422299999999999E-4</v>
      </c>
      <c r="DJ19" s="96">
        <v>2.325235E-4</v>
      </c>
      <c r="DK19" s="96">
        <v>2.4935829999999997E-4</v>
      </c>
      <c r="DL19" s="96">
        <v>2.544728E-4</v>
      </c>
      <c r="DM19" s="96">
        <v>2.5958729999999997E-4</v>
      </c>
      <c r="DN19" s="96">
        <v>2.5958729999999997E-4</v>
      </c>
      <c r="DO19" s="96">
        <v>2.5958729999999997E-4</v>
      </c>
      <c r="DP19" s="96">
        <v>2.5958729999999997E-4</v>
      </c>
      <c r="DQ19" s="96">
        <v>2.5958729999999997E-4</v>
      </c>
      <c r="DR19" s="97">
        <v>2.5958729999999997E-4</v>
      </c>
      <c r="DS19" s="93">
        <v>42.039462121</v>
      </c>
      <c r="DT19" s="80">
        <v>0.3061097834</v>
      </c>
      <c r="DU19" s="80">
        <v>15.487525112</v>
      </c>
      <c r="DV19" s="80">
        <v>0.1197236953</v>
      </c>
      <c r="DW19" s="80">
        <v>5.3630292617000004</v>
      </c>
      <c r="DX19" s="80">
        <v>4.4031794300000003E-2</v>
      </c>
      <c r="DY19" s="80">
        <v>1.7636686193</v>
      </c>
      <c r="DZ19" s="80">
        <v>1.56066221E-2</v>
      </c>
      <c r="EA19" s="80">
        <v>0.54504229839999996</v>
      </c>
      <c r="EB19" s="80">
        <v>5.4276491000000001E-3</v>
      </c>
      <c r="EC19" s="80">
        <v>0.17108825790000001</v>
      </c>
      <c r="ED19" s="80">
        <v>2.0963815000000002E-3</v>
      </c>
      <c r="EE19" s="80">
        <v>6.0324222599999998E-2</v>
      </c>
      <c r="EF19" s="80">
        <v>1.040041E-3</v>
      </c>
      <c r="EG19" s="80">
        <v>2.49785701E-2</v>
      </c>
      <c r="EH19" s="80">
        <v>6.4975069999999996E-4</v>
      </c>
      <c r="EI19" s="80">
        <v>1.55928028E-2</v>
      </c>
      <c r="EJ19" s="80">
        <v>5.1584269999999999E-4</v>
      </c>
      <c r="EK19" s="80">
        <v>1.15501583E-2</v>
      </c>
      <c r="EL19" s="94">
        <v>4.4071900000000001E-4</v>
      </c>
    </row>
    <row r="20" spans="1:142" x14ac:dyDescent="0.2">
      <c r="A20" s="79">
        <v>1500</v>
      </c>
      <c r="B20" s="27">
        <v>6643</v>
      </c>
      <c r="C20" s="79">
        <v>978.54834454000002</v>
      </c>
      <c r="D20" s="27">
        <v>1448.6294673</v>
      </c>
      <c r="E20" s="27">
        <v>18.341201545000001</v>
      </c>
      <c r="F20" s="27">
        <v>3.1240423699999999E-2</v>
      </c>
      <c r="G20" s="79">
        <v>0.1552853867</v>
      </c>
      <c r="H20" s="27">
        <v>1.713943E-4</v>
      </c>
      <c r="I20" s="27">
        <v>111.23268914000001</v>
      </c>
      <c r="J20" s="27">
        <v>0.75046188729999996</v>
      </c>
      <c r="K20" s="27">
        <v>35.631205766999997</v>
      </c>
      <c r="L20" s="27">
        <v>0.2235757686</v>
      </c>
      <c r="M20" s="27">
        <v>7.2674136667999996</v>
      </c>
      <c r="N20" s="27">
        <v>6.4747591100000002E-2</v>
      </c>
      <c r="O20" s="80" t="s">
        <v>136</v>
      </c>
      <c r="P20" s="80">
        <v>0</v>
      </c>
      <c r="Q20" s="27">
        <v>2.4331202215999999</v>
      </c>
      <c r="R20" s="27">
        <v>6.2833810999999998E-3</v>
      </c>
      <c r="S20" s="80" t="s">
        <v>136</v>
      </c>
      <c r="T20" s="80">
        <v>0</v>
      </c>
      <c r="U20" s="80" t="s">
        <v>136</v>
      </c>
      <c r="V20" s="80">
        <v>0</v>
      </c>
      <c r="W20" s="27">
        <v>6.3429461300000003E-2</v>
      </c>
      <c r="X20" s="27">
        <v>9.1966400000000005E-4</v>
      </c>
      <c r="Y20" s="27">
        <v>7.6568358053000001</v>
      </c>
      <c r="Z20" s="27">
        <v>0.18495125870000001</v>
      </c>
      <c r="AA20" s="80" t="s">
        <v>136</v>
      </c>
      <c r="AB20" s="80">
        <v>0</v>
      </c>
      <c r="AC20" s="27">
        <v>0</v>
      </c>
      <c r="AD20" s="27">
        <v>0</v>
      </c>
      <c r="AE20" s="80" t="s">
        <v>136</v>
      </c>
      <c r="AF20" s="80">
        <v>0</v>
      </c>
      <c r="AG20" s="80" t="s">
        <v>136</v>
      </c>
      <c r="AH20" s="80">
        <v>0</v>
      </c>
      <c r="AI20" s="27">
        <f t="shared" si="0"/>
        <v>0</v>
      </c>
      <c r="AJ20" s="27">
        <f t="shared" si="1"/>
        <v>0</v>
      </c>
      <c r="AK20" s="27">
        <v>56.949587428000001</v>
      </c>
      <c r="AL20" s="27">
        <v>0.94087999349999996</v>
      </c>
      <c r="AM20" s="80" t="s">
        <v>136</v>
      </c>
      <c r="AN20" s="80">
        <v>0</v>
      </c>
      <c r="AO20" s="80" t="s">
        <v>136</v>
      </c>
      <c r="AP20" s="80">
        <v>0</v>
      </c>
      <c r="AQ20" s="80" t="s">
        <v>136</v>
      </c>
      <c r="AR20" s="80">
        <v>0</v>
      </c>
      <c r="AS20" s="27">
        <v>31.775110080000001</v>
      </c>
      <c r="AT20" s="27">
        <v>1.3241850655</v>
      </c>
      <c r="AU20" s="27">
        <v>19.552586044000002</v>
      </c>
      <c r="AV20" s="27">
        <v>0.203552974</v>
      </c>
      <c r="AW20" s="27">
        <v>9.0727607991999992</v>
      </c>
      <c r="AX20" s="27">
        <v>0.1194152274</v>
      </c>
      <c r="AY20" s="27">
        <v>4.4621519713</v>
      </c>
      <c r="AZ20" s="27">
        <v>5.1591816999999998E-2</v>
      </c>
      <c r="BA20" s="80">
        <f t="shared" si="2"/>
        <v>6.0176732735000016</v>
      </c>
      <c r="BB20" s="80">
        <f t="shared" si="3"/>
        <v>3.2545929599999995E-2</v>
      </c>
      <c r="BC20" s="27">
        <v>0</v>
      </c>
      <c r="BD20" s="80">
        <v>0</v>
      </c>
      <c r="BE20" s="27">
        <v>58.951445759999999</v>
      </c>
      <c r="BF20" s="27">
        <v>0.82011629090000004</v>
      </c>
      <c r="BG20" s="79">
        <v>3.0331299999999999E-4</v>
      </c>
      <c r="BH20" s="80">
        <v>0</v>
      </c>
      <c r="BI20" s="27">
        <v>73.204195600999995</v>
      </c>
      <c r="BJ20" s="27">
        <v>2.8504146202</v>
      </c>
      <c r="BK20" s="27">
        <v>40.465464826000002</v>
      </c>
      <c r="BL20" s="27">
        <v>0.32188517729999999</v>
      </c>
      <c r="BM20" s="27">
        <v>14.271709165000001</v>
      </c>
      <c r="BN20" s="27">
        <v>9.4245700799999998E-2</v>
      </c>
      <c r="BO20" s="27">
        <v>2.3606862999999999E-2</v>
      </c>
      <c r="BP20" s="27">
        <v>3.1836009999999999E-4</v>
      </c>
      <c r="BQ20" s="27">
        <v>0</v>
      </c>
      <c r="BR20" s="92">
        <v>0</v>
      </c>
      <c r="BS20" s="80" t="s">
        <v>136</v>
      </c>
      <c r="BT20" s="80">
        <v>0</v>
      </c>
      <c r="BU20" s="79">
        <v>0.11337425919999999</v>
      </c>
      <c r="BV20" s="27">
        <v>1.6832766E-3</v>
      </c>
      <c r="BW20" s="27">
        <v>7.1540394076</v>
      </c>
      <c r="BX20" s="27">
        <v>6.3064314400000002E-2</v>
      </c>
      <c r="BY20" s="80" t="s">
        <v>136</v>
      </c>
      <c r="BZ20" s="80">
        <v>0</v>
      </c>
      <c r="CA20" s="80" t="s">
        <v>136</v>
      </c>
      <c r="CB20" s="80">
        <v>0</v>
      </c>
      <c r="CC20" s="27">
        <v>0.50615943730000001</v>
      </c>
      <c r="CD20" s="27">
        <v>1.0809296E-3</v>
      </c>
      <c r="CE20" s="27">
        <v>1.9269607843000001</v>
      </c>
      <c r="CF20" s="92">
        <v>5.2024515E-3</v>
      </c>
      <c r="CG20" s="80" t="s">
        <v>136</v>
      </c>
      <c r="CH20" s="80">
        <v>0</v>
      </c>
      <c r="CI20" s="80" t="s">
        <v>136</v>
      </c>
      <c r="CJ20" s="80">
        <v>0</v>
      </c>
      <c r="CK20" s="80" t="s">
        <v>136</v>
      </c>
      <c r="CL20" s="80">
        <v>0</v>
      </c>
      <c r="CM20" s="80" t="s">
        <v>136</v>
      </c>
      <c r="CN20" s="80">
        <v>0</v>
      </c>
      <c r="CO20" s="79">
        <v>1.46134017E-2</v>
      </c>
      <c r="CP20" s="27">
        <v>3.021368E-4</v>
      </c>
      <c r="CQ20" s="27">
        <v>4.8816059600000003E-2</v>
      </c>
      <c r="CR20" s="27">
        <v>6.1752720000000005E-4</v>
      </c>
      <c r="CS20" s="27">
        <v>0.2952512659</v>
      </c>
      <c r="CT20" s="27">
        <v>3.7625254999999998E-3</v>
      </c>
      <c r="CU20" s="27">
        <v>7.3615845392999999</v>
      </c>
      <c r="CV20" s="92">
        <v>0.18118873320000001</v>
      </c>
      <c r="CW20" s="80" t="s">
        <v>136</v>
      </c>
      <c r="CX20" s="80">
        <v>0</v>
      </c>
      <c r="CY20" s="80" t="s">
        <v>136</v>
      </c>
      <c r="CZ20" s="80">
        <v>0</v>
      </c>
      <c r="DA20" s="79">
        <v>6.4774157362000002</v>
      </c>
      <c r="DB20" s="27">
        <v>0.1199476072</v>
      </c>
      <c r="DC20" s="27">
        <v>25.297694344</v>
      </c>
      <c r="DD20" s="27">
        <v>1.2042374583</v>
      </c>
      <c r="DE20" s="27">
        <v>4.5845174257999997</v>
      </c>
      <c r="DF20" s="27">
        <v>0.21651941020000001</v>
      </c>
      <c r="DG20" s="27">
        <v>54.366928334000001</v>
      </c>
      <c r="DH20" s="92">
        <v>0.60359688069999995</v>
      </c>
      <c r="DI20" s="95">
        <v>1.713943E-4</v>
      </c>
      <c r="DJ20" s="96">
        <v>2.7436730000000002E-4</v>
      </c>
      <c r="DK20" s="96">
        <v>2.9326679999999998E-4</v>
      </c>
      <c r="DL20" s="96">
        <v>2.9828990000000001E-4</v>
      </c>
      <c r="DM20" s="96">
        <v>3.0331299999999999E-4</v>
      </c>
      <c r="DN20" s="96">
        <v>3.0331299999999999E-4</v>
      </c>
      <c r="DO20" s="96">
        <v>3.0331299999999999E-4</v>
      </c>
      <c r="DP20" s="96">
        <v>3.0331299999999999E-4</v>
      </c>
      <c r="DQ20" s="96">
        <v>3.0331299999999999E-4</v>
      </c>
      <c r="DR20" s="97">
        <v>3.0331299999999999E-4</v>
      </c>
      <c r="DS20" s="93">
        <v>45.109505615000003</v>
      </c>
      <c r="DT20" s="80">
        <v>0.3264711039</v>
      </c>
      <c r="DU20" s="80">
        <v>17.179981008999999</v>
      </c>
      <c r="DV20" s="80">
        <v>0.1315416938</v>
      </c>
      <c r="DW20" s="80">
        <v>6.1637623799999997</v>
      </c>
      <c r="DX20" s="80">
        <v>4.9966711099999998E-2</v>
      </c>
      <c r="DY20" s="80">
        <v>2.0975897434999999</v>
      </c>
      <c r="DZ20" s="80">
        <v>1.83267363E-2</v>
      </c>
      <c r="EA20" s="80">
        <v>0.66646234090000001</v>
      </c>
      <c r="EB20" s="80">
        <v>6.5642462000000002E-3</v>
      </c>
      <c r="EC20" s="80">
        <v>0.21183052259999999</v>
      </c>
      <c r="ED20" s="80">
        <v>2.591716E-3</v>
      </c>
      <c r="EE20" s="80">
        <v>7.5666697300000002E-2</v>
      </c>
      <c r="EF20" s="80">
        <v>1.3098974999999999E-3</v>
      </c>
      <c r="EG20" s="80">
        <v>3.1315820500000001E-2</v>
      </c>
      <c r="EH20" s="80">
        <v>8.3199119999999998E-4</v>
      </c>
      <c r="EI20" s="80">
        <v>1.9277441700000002E-2</v>
      </c>
      <c r="EJ20" s="80">
        <v>6.6678289999999997E-4</v>
      </c>
      <c r="EK20" s="80">
        <v>1.47900846E-2</v>
      </c>
      <c r="EL20" s="94">
        <v>5.803863E-4</v>
      </c>
    </row>
    <row r="21" spans="1:142" x14ac:dyDescent="0.2">
      <c r="A21" s="79">
        <v>1600</v>
      </c>
      <c r="B21" s="27">
        <v>6323</v>
      </c>
      <c r="C21" s="79">
        <v>1028.2640902000001</v>
      </c>
      <c r="D21" s="27">
        <v>1549.6792144999999</v>
      </c>
      <c r="E21" s="27">
        <v>20.339398967000001</v>
      </c>
      <c r="F21" s="27">
        <v>3.3494033700000002E-2</v>
      </c>
      <c r="G21" s="79">
        <v>0.21046531669999999</v>
      </c>
      <c r="H21" s="27">
        <v>2.148149E-4</v>
      </c>
      <c r="I21" s="27">
        <v>115.48556707</v>
      </c>
      <c r="J21" s="27">
        <v>0.77772389269999997</v>
      </c>
      <c r="K21" s="27">
        <v>37.516743527000003</v>
      </c>
      <c r="L21" s="27">
        <v>0.23532258559999999</v>
      </c>
      <c r="M21" s="27">
        <v>7.7907323411</v>
      </c>
      <c r="N21" s="27">
        <v>6.8711022299999994E-2</v>
      </c>
      <c r="O21" s="80" t="s">
        <v>136</v>
      </c>
      <c r="P21" s="80">
        <v>0</v>
      </c>
      <c r="Q21" s="27">
        <v>2.9436782540999999</v>
      </c>
      <c r="R21" s="27">
        <v>7.3473254999999998E-3</v>
      </c>
      <c r="S21" s="80" t="s">
        <v>136</v>
      </c>
      <c r="T21" s="80">
        <v>0</v>
      </c>
      <c r="U21" s="80" t="s">
        <v>136</v>
      </c>
      <c r="V21" s="80">
        <v>0</v>
      </c>
      <c r="W21" s="27">
        <v>7.3155285599999995E-2</v>
      </c>
      <c r="X21" s="27">
        <v>1.0181961999999999E-3</v>
      </c>
      <c r="Y21" s="27">
        <v>8.3874786833999995</v>
      </c>
      <c r="Z21" s="27">
        <v>0.2026383246</v>
      </c>
      <c r="AA21" s="80" t="s">
        <v>136</v>
      </c>
      <c r="AB21" s="80">
        <v>0</v>
      </c>
      <c r="AC21" s="27">
        <v>0</v>
      </c>
      <c r="AD21" s="27">
        <v>0</v>
      </c>
      <c r="AE21" s="80" t="s">
        <v>136</v>
      </c>
      <c r="AF21" s="80">
        <v>0</v>
      </c>
      <c r="AG21" s="80" t="s">
        <v>136</v>
      </c>
      <c r="AH21" s="80">
        <v>0</v>
      </c>
      <c r="AI21" s="27">
        <f t="shared" si="0"/>
        <v>0</v>
      </c>
      <c r="AJ21" s="27">
        <f t="shared" si="1"/>
        <v>0</v>
      </c>
      <c r="AK21" s="27">
        <v>59.907745968</v>
      </c>
      <c r="AL21" s="27">
        <v>0.98260716829999994</v>
      </c>
      <c r="AM21" s="80" t="s">
        <v>136</v>
      </c>
      <c r="AN21" s="80">
        <v>0</v>
      </c>
      <c r="AO21" s="80" t="s">
        <v>136</v>
      </c>
      <c r="AP21" s="80">
        <v>0</v>
      </c>
      <c r="AQ21" s="80" t="s">
        <v>136</v>
      </c>
      <c r="AR21" s="80">
        <v>0</v>
      </c>
      <c r="AS21" s="27">
        <v>33.770430011000002</v>
      </c>
      <c r="AT21" s="27">
        <v>1.3903533769</v>
      </c>
      <c r="AU21" s="27">
        <v>21.240916035000001</v>
      </c>
      <c r="AV21" s="27">
        <v>0.21663902299999999</v>
      </c>
      <c r="AW21" s="27">
        <v>9.7921664327000002</v>
      </c>
      <c r="AX21" s="27">
        <v>0.1271727587</v>
      </c>
      <c r="AY21" s="27">
        <v>4.7517934872999996</v>
      </c>
      <c r="AZ21" s="27">
        <v>5.4018076999999998E-2</v>
      </c>
      <c r="BA21" s="80">
        <f t="shared" si="2"/>
        <v>6.6969561150000025</v>
      </c>
      <c r="BB21" s="80">
        <f t="shared" si="3"/>
        <v>3.5448187299999989E-2</v>
      </c>
      <c r="BC21" s="27">
        <v>0</v>
      </c>
      <c r="BD21" s="80">
        <v>0</v>
      </c>
      <c r="BE21" s="27">
        <v>62.252969198000002</v>
      </c>
      <c r="BF21" s="27">
        <v>0.85763266459999998</v>
      </c>
      <c r="BG21" s="79">
        <v>3.8518709999999998E-4</v>
      </c>
      <c r="BH21" s="80">
        <v>0</v>
      </c>
      <c r="BI21" s="27">
        <v>77.411591599000005</v>
      </c>
      <c r="BJ21" s="27">
        <v>2.9759980438999998</v>
      </c>
      <c r="BK21" s="27">
        <v>45.664888359000003</v>
      </c>
      <c r="BL21" s="27">
        <v>0.3631623759</v>
      </c>
      <c r="BM21" s="27">
        <v>15.647414897999999</v>
      </c>
      <c r="BN21" s="27">
        <v>0.1015795068</v>
      </c>
      <c r="BO21" s="27">
        <v>3.1950937399999997E-2</v>
      </c>
      <c r="BP21" s="27">
        <v>3.3197869999999999E-4</v>
      </c>
      <c r="BQ21" s="27">
        <v>0</v>
      </c>
      <c r="BR21" s="92">
        <v>0</v>
      </c>
      <c r="BS21" s="80" t="s">
        <v>136</v>
      </c>
      <c r="BT21" s="80">
        <v>0</v>
      </c>
      <c r="BU21" s="79">
        <v>0.1175789231</v>
      </c>
      <c r="BV21" s="27">
        <v>1.714389E-3</v>
      </c>
      <c r="BW21" s="27">
        <v>7.6731534180000001</v>
      </c>
      <c r="BX21" s="27">
        <v>6.6996633299999997E-2</v>
      </c>
      <c r="BY21" s="80" t="s">
        <v>136</v>
      </c>
      <c r="BZ21" s="80">
        <v>0</v>
      </c>
      <c r="CA21" s="80" t="s">
        <v>136</v>
      </c>
      <c r="CB21" s="80">
        <v>0</v>
      </c>
      <c r="CC21" s="27">
        <v>0.63576024760000005</v>
      </c>
      <c r="CD21" s="27">
        <v>1.2584123999999999E-3</v>
      </c>
      <c r="CE21" s="27">
        <v>2.3079180064</v>
      </c>
      <c r="CF21" s="92">
        <v>6.0889131000000001E-3</v>
      </c>
      <c r="CG21" s="80" t="s">
        <v>136</v>
      </c>
      <c r="CH21" s="80">
        <v>0</v>
      </c>
      <c r="CI21" s="80" t="s">
        <v>136</v>
      </c>
      <c r="CJ21" s="80">
        <v>0</v>
      </c>
      <c r="CK21" s="80" t="s">
        <v>136</v>
      </c>
      <c r="CL21" s="80">
        <v>0</v>
      </c>
      <c r="CM21" s="80" t="s">
        <v>136</v>
      </c>
      <c r="CN21" s="80">
        <v>0</v>
      </c>
      <c r="CO21" s="79">
        <v>2.1405221200000001E-2</v>
      </c>
      <c r="CP21" s="27">
        <v>3.8078539999999999E-4</v>
      </c>
      <c r="CQ21" s="27">
        <v>5.1750064399999997E-2</v>
      </c>
      <c r="CR21" s="27">
        <v>6.3741079999999999E-4</v>
      </c>
      <c r="CS21" s="27">
        <v>0.34113351600000003</v>
      </c>
      <c r="CT21" s="27">
        <v>4.3393462000000001E-3</v>
      </c>
      <c r="CU21" s="27">
        <v>8.0463451674000002</v>
      </c>
      <c r="CV21" s="92">
        <v>0.19829897839999999</v>
      </c>
      <c r="CW21" s="80" t="s">
        <v>136</v>
      </c>
      <c r="CX21" s="80">
        <v>0</v>
      </c>
      <c r="CY21" s="80" t="s">
        <v>136</v>
      </c>
      <c r="CZ21" s="80">
        <v>0</v>
      </c>
      <c r="DA21" s="79">
        <v>7.0032813998999996</v>
      </c>
      <c r="DB21" s="27">
        <v>0.12834217810000001</v>
      </c>
      <c r="DC21" s="27">
        <v>26.767148611</v>
      </c>
      <c r="DD21" s="27">
        <v>1.2620111988</v>
      </c>
      <c r="DE21" s="27">
        <v>5.0372962532000001</v>
      </c>
      <c r="DF21" s="27">
        <v>0.2305997014</v>
      </c>
      <c r="DG21" s="27">
        <v>57.215672943999998</v>
      </c>
      <c r="DH21" s="92">
        <v>0.62703296320000002</v>
      </c>
      <c r="DI21" s="95">
        <v>2.148149E-4</v>
      </c>
      <c r="DJ21" s="96">
        <v>3.4813679999999998E-4</v>
      </c>
      <c r="DK21" s="96">
        <v>3.7529920000000001E-4</v>
      </c>
      <c r="DL21" s="96">
        <v>3.8024320000000001E-4</v>
      </c>
      <c r="DM21" s="96">
        <v>3.8518709999999998E-4</v>
      </c>
      <c r="DN21" s="96">
        <v>3.8518709999999998E-4</v>
      </c>
      <c r="DO21" s="96">
        <v>3.8518709999999998E-4</v>
      </c>
      <c r="DP21" s="96">
        <v>3.8518709999999998E-4</v>
      </c>
      <c r="DQ21" s="96">
        <v>3.8518709999999998E-4</v>
      </c>
      <c r="DR21" s="97">
        <v>3.8518709999999998E-4</v>
      </c>
      <c r="DS21" s="93">
        <v>48.018100234999999</v>
      </c>
      <c r="DT21" s="80">
        <v>0.3455856061</v>
      </c>
      <c r="DU21" s="80">
        <v>18.783570181999998</v>
      </c>
      <c r="DV21" s="80">
        <v>0.14251792730000001</v>
      </c>
      <c r="DW21" s="80">
        <v>6.9339448466000002</v>
      </c>
      <c r="DX21" s="80">
        <v>5.5515690999999999E-2</v>
      </c>
      <c r="DY21" s="80">
        <v>2.4371664649999998</v>
      </c>
      <c r="DZ21" s="80">
        <v>2.0928910500000002E-2</v>
      </c>
      <c r="EA21" s="80">
        <v>0.81368100249999997</v>
      </c>
      <c r="EB21" s="80">
        <v>7.7577884E-3</v>
      </c>
      <c r="EC21" s="80">
        <v>0.268917403</v>
      </c>
      <c r="ED21" s="80">
        <v>3.0723413999999998E-3</v>
      </c>
      <c r="EE21" s="80">
        <v>9.6054100899999995E-2</v>
      </c>
      <c r="EF21" s="80">
        <v>1.4867621E-3</v>
      </c>
      <c r="EG21" s="80">
        <v>3.9014494400000002E-2</v>
      </c>
      <c r="EH21" s="80">
        <v>8.9849829999999996E-4</v>
      </c>
      <c r="EI21" s="80">
        <v>2.18718299E-2</v>
      </c>
      <c r="EJ21" s="80">
        <v>6.8644789999999995E-4</v>
      </c>
      <c r="EK21" s="80">
        <v>1.5268627599999999E-2</v>
      </c>
      <c r="EL21" s="94">
        <v>5.7843330000000004E-4</v>
      </c>
    </row>
    <row r="22" spans="1:142" x14ac:dyDescent="0.2">
      <c r="A22" s="79">
        <v>1700</v>
      </c>
      <c r="B22" s="27">
        <v>5854</v>
      </c>
      <c r="C22" s="79">
        <v>1076.7077253</v>
      </c>
      <c r="D22" s="27">
        <v>1649.3533520000001</v>
      </c>
      <c r="E22" s="27">
        <v>22.441955421999999</v>
      </c>
      <c r="F22" s="27">
        <v>3.5717029800000001E-2</v>
      </c>
      <c r="G22" s="79">
        <v>0.26166212649999998</v>
      </c>
      <c r="H22" s="27">
        <v>2.4916560000000002E-4</v>
      </c>
      <c r="I22" s="27">
        <v>119.39649279</v>
      </c>
      <c r="J22" s="27">
        <v>0.80284625269999998</v>
      </c>
      <c r="K22" s="27">
        <v>39.406598864999999</v>
      </c>
      <c r="L22" s="27">
        <v>0.24619026860000001</v>
      </c>
      <c r="M22" s="27">
        <v>8.2796883486000006</v>
      </c>
      <c r="N22" s="27">
        <v>7.2992875700000001E-2</v>
      </c>
      <c r="O22" s="80" t="s">
        <v>136</v>
      </c>
      <c r="P22" s="80">
        <v>0</v>
      </c>
      <c r="Q22" s="27">
        <v>3.5842569872999999</v>
      </c>
      <c r="R22" s="27">
        <v>8.4415154000000003E-3</v>
      </c>
      <c r="S22" s="80" t="s">
        <v>136</v>
      </c>
      <c r="T22" s="80">
        <v>0</v>
      </c>
      <c r="U22" s="80" t="s">
        <v>136</v>
      </c>
      <c r="V22" s="80">
        <v>0</v>
      </c>
      <c r="W22" s="27">
        <v>7.3756076000000004E-2</v>
      </c>
      <c r="X22" s="27">
        <v>1.0117688E-3</v>
      </c>
      <c r="Y22" s="27">
        <v>9.1840266990000003</v>
      </c>
      <c r="Z22" s="27">
        <v>0.22022652470000001</v>
      </c>
      <c r="AA22" s="80" t="s">
        <v>136</v>
      </c>
      <c r="AB22" s="80">
        <v>0</v>
      </c>
      <c r="AC22" s="27">
        <v>0</v>
      </c>
      <c r="AD22" s="27">
        <v>0</v>
      </c>
      <c r="AE22" s="80" t="s">
        <v>136</v>
      </c>
      <c r="AF22" s="80">
        <v>0</v>
      </c>
      <c r="AG22" s="80" t="s">
        <v>136</v>
      </c>
      <c r="AH22" s="80">
        <v>0</v>
      </c>
      <c r="AI22" s="27">
        <f t="shared" si="0"/>
        <v>0</v>
      </c>
      <c r="AJ22" s="27">
        <f t="shared" si="1"/>
        <v>0</v>
      </c>
      <c r="AK22" s="27">
        <v>62.597179648999997</v>
      </c>
      <c r="AL22" s="27">
        <v>1.0215195763</v>
      </c>
      <c r="AM22" s="80" t="s">
        <v>136</v>
      </c>
      <c r="AN22" s="80">
        <v>0</v>
      </c>
      <c r="AO22" s="80" t="s">
        <v>136</v>
      </c>
      <c r="AP22" s="80">
        <v>0</v>
      </c>
      <c r="AQ22" s="80" t="s">
        <v>136</v>
      </c>
      <c r="AR22" s="80">
        <v>0</v>
      </c>
      <c r="AS22" s="27">
        <v>35.645840614000001</v>
      </c>
      <c r="AT22" s="27">
        <v>1.450976058</v>
      </c>
      <c r="AU22" s="27">
        <v>22.821850898000001</v>
      </c>
      <c r="AV22" s="27">
        <v>0.22859421899999999</v>
      </c>
      <c r="AW22" s="27">
        <v>10.475651999</v>
      </c>
      <c r="AX22" s="27">
        <v>0.13424785559999999</v>
      </c>
      <c r="AY22" s="27">
        <v>5.0441748772999997</v>
      </c>
      <c r="AZ22" s="27">
        <v>5.6441020799999998E-2</v>
      </c>
      <c r="BA22" s="80">
        <f t="shared" si="2"/>
        <v>7.3020240217000012</v>
      </c>
      <c r="BB22" s="80">
        <f t="shared" si="3"/>
        <v>3.7905342600000003E-2</v>
      </c>
      <c r="BC22" s="27">
        <v>0</v>
      </c>
      <c r="BD22" s="80">
        <v>0</v>
      </c>
      <c r="BE22" s="27">
        <v>65.581223914000006</v>
      </c>
      <c r="BF22" s="27">
        <v>0.89389194100000002</v>
      </c>
      <c r="BG22" s="79">
        <v>4.5681280000000002E-4</v>
      </c>
      <c r="BH22" s="80">
        <v>0</v>
      </c>
      <c r="BI22" s="27">
        <v>81.519124368000007</v>
      </c>
      <c r="BJ22" s="27">
        <v>3.0931092891</v>
      </c>
      <c r="BK22" s="27">
        <v>50.380107617999997</v>
      </c>
      <c r="BL22" s="27">
        <v>0.39966769279999997</v>
      </c>
      <c r="BM22" s="27">
        <v>17.092287014</v>
      </c>
      <c r="BN22" s="27">
        <v>0.1099481839</v>
      </c>
      <c r="BO22" s="27">
        <v>3.4150854299999998E-2</v>
      </c>
      <c r="BP22" s="27">
        <v>3.5471899999999998E-4</v>
      </c>
      <c r="BQ22" s="27">
        <v>0</v>
      </c>
      <c r="BR22" s="92">
        <v>0</v>
      </c>
      <c r="BS22" s="80" t="s">
        <v>136</v>
      </c>
      <c r="BT22" s="80">
        <v>0</v>
      </c>
      <c r="BU22" s="79">
        <v>0.1235360736</v>
      </c>
      <c r="BV22" s="27">
        <v>1.7949391E-3</v>
      </c>
      <c r="BW22" s="27">
        <v>8.1561522750000002</v>
      </c>
      <c r="BX22" s="27">
        <v>7.1197936599999997E-2</v>
      </c>
      <c r="BY22" s="80" t="s">
        <v>136</v>
      </c>
      <c r="BZ22" s="80">
        <v>0</v>
      </c>
      <c r="CA22" s="80" t="s">
        <v>136</v>
      </c>
      <c r="CB22" s="80">
        <v>0</v>
      </c>
      <c r="CC22" s="27">
        <v>0.79800193230000005</v>
      </c>
      <c r="CD22" s="27">
        <v>1.4821774E-3</v>
      </c>
      <c r="CE22" s="27">
        <v>2.7862550550999998</v>
      </c>
      <c r="CF22" s="92">
        <v>6.9593379999999998E-3</v>
      </c>
      <c r="CG22" s="80" t="s">
        <v>136</v>
      </c>
      <c r="CH22" s="80">
        <v>0</v>
      </c>
      <c r="CI22" s="80" t="s">
        <v>136</v>
      </c>
      <c r="CJ22" s="80">
        <v>0</v>
      </c>
      <c r="CK22" s="80" t="s">
        <v>136</v>
      </c>
      <c r="CL22" s="80">
        <v>0</v>
      </c>
      <c r="CM22" s="80" t="s">
        <v>136</v>
      </c>
      <c r="CN22" s="80">
        <v>0</v>
      </c>
      <c r="CO22" s="79">
        <v>2.1425623599999999E-2</v>
      </c>
      <c r="CP22" s="27">
        <v>3.7676149999999999E-4</v>
      </c>
      <c r="CQ22" s="27">
        <v>5.2330452299999997E-2</v>
      </c>
      <c r="CR22" s="27">
        <v>6.3500739999999996E-4</v>
      </c>
      <c r="CS22" s="27">
        <v>0.36807926460000001</v>
      </c>
      <c r="CT22" s="27">
        <v>4.4911832000000002E-3</v>
      </c>
      <c r="CU22" s="27">
        <v>8.8159474343999999</v>
      </c>
      <c r="CV22" s="92">
        <v>0.2157353414</v>
      </c>
      <c r="CW22" s="80" t="s">
        <v>136</v>
      </c>
      <c r="CX22" s="80">
        <v>0</v>
      </c>
      <c r="CY22" s="80" t="s">
        <v>136</v>
      </c>
      <c r="CZ22" s="80">
        <v>0</v>
      </c>
      <c r="DA22" s="79">
        <v>7.5068637063999999</v>
      </c>
      <c r="DB22" s="27">
        <v>0.1356986744</v>
      </c>
      <c r="DC22" s="27">
        <v>28.138976907</v>
      </c>
      <c r="DD22" s="27">
        <v>1.3152773836</v>
      </c>
      <c r="DE22" s="27">
        <v>5.5187708591</v>
      </c>
      <c r="DF22" s="27">
        <v>0.24379421060000001</v>
      </c>
      <c r="DG22" s="27">
        <v>60.062453054999999</v>
      </c>
      <c r="DH22" s="92">
        <v>0.65009773039999996</v>
      </c>
      <c r="DI22" s="95">
        <v>2.4916560000000002E-4</v>
      </c>
      <c r="DJ22" s="96">
        <v>4.075924E-4</v>
      </c>
      <c r="DK22" s="96">
        <v>4.4707710000000002E-4</v>
      </c>
      <c r="DL22" s="96">
        <v>4.519449E-4</v>
      </c>
      <c r="DM22" s="96">
        <v>4.5681280000000002E-4</v>
      </c>
      <c r="DN22" s="96">
        <v>4.5681280000000002E-4</v>
      </c>
      <c r="DO22" s="96">
        <v>4.5681280000000002E-4</v>
      </c>
      <c r="DP22" s="96">
        <v>4.5681280000000002E-4</v>
      </c>
      <c r="DQ22" s="96">
        <v>4.5681280000000002E-4</v>
      </c>
      <c r="DR22" s="97">
        <v>4.5681280000000002E-4</v>
      </c>
      <c r="DS22" s="93">
        <v>50.682995140000003</v>
      </c>
      <c r="DT22" s="80">
        <v>0.3633896043</v>
      </c>
      <c r="DU22" s="80">
        <v>20.329277177000002</v>
      </c>
      <c r="DV22" s="80">
        <v>0.15340655859999999</v>
      </c>
      <c r="DW22" s="80">
        <v>7.7501202382000001</v>
      </c>
      <c r="DX22" s="80">
        <v>6.15239432E-2</v>
      </c>
      <c r="DY22" s="80">
        <v>2.8245038891999998</v>
      </c>
      <c r="DZ22" s="80">
        <v>2.3926121700000001E-2</v>
      </c>
      <c r="EA22" s="80">
        <v>0.99073548730000005</v>
      </c>
      <c r="EB22" s="80">
        <v>9.1844629000000007E-3</v>
      </c>
      <c r="EC22" s="80">
        <v>0.35285957559999998</v>
      </c>
      <c r="ED22" s="80">
        <v>3.7784012999999999E-3</v>
      </c>
      <c r="EE22" s="80">
        <v>0.13257615780000001</v>
      </c>
      <c r="EF22" s="80">
        <v>1.8148230999999999E-3</v>
      </c>
      <c r="EG22" s="80">
        <v>5.7280853999999999E-2</v>
      </c>
      <c r="EH22" s="80">
        <v>1.0694812E-3</v>
      </c>
      <c r="EI22" s="80">
        <v>3.1465727200000002E-2</v>
      </c>
      <c r="EJ22" s="80">
        <v>7.7816340000000004E-4</v>
      </c>
      <c r="EK22" s="80">
        <v>2.0141972300000002E-2</v>
      </c>
      <c r="EL22" s="94">
        <v>6.2334900000000004E-4</v>
      </c>
    </row>
    <row r="23" spans="1:142" x14ac:dyDescent="0.2">
      <c r="A23" s="79">
        <v>1800</v>
      </c>
      <c r="B23" s="27">
        <v>5482</v>
      </c>
      <c r="C23" s="79">
        <v>1123.7180017000001</v>
      </c>
      <c r="D23" s="27">
        <v>1749.4978020000001</v>
      </c>
      <c r="E23" s="27">
        <v>24.358482895000002</v>
      </c>
      <c r="F23" s="27">
        <v>3.7689903800000001E-2</v>
      </c>
      <c r="G23" s="79">
        <v>0.32089794919999998</v>
      </c>
      <c r="H23" s="27">
        <v>2.9789239999999999E-4</v>
      </c>
      <c r="I23" s="27">
        <v>122.91281305</v>
      </c>
      <c r="J23" s="27">
        <v>0.82563602020000004</v>
      </c>
      <c r="K23" s="27">
        <v>41.218809004000001</v>
      </c>
      <c r="L23" s="27">
        <v>0.25744863530000001</v>
      </c>
      <c r="M23" s="27">
        <v>8.7747397966000005</v>
      </c>
      <c r="N23" s="27">
        <v>7.6886105900000001E-2</v>
      </c>
      <c r="O23" s="80" t="s">
        <v>136</v>
      </c>
      <c r="P23" s="80">
        <v>0</v>
      </c>
      <c r="Q23" s="27">
        <v>4.2707586074000004</v>
      </c>
      <c r="R23" s="27">
        <v>9.6690956000000002E-3</v>
      </c>
      <c r="S23" s="80" t="s">
        <v>136</v>
      </c>
      <c r="T23" s="80">
        <v>0</v>
      </c>
      <c r="U23" s="80" t="s">
        <v>136</v>
      </c>
      <c r="V23" s="80">
        <v>0</v>
      </c>
      <c r="W23" s="27">
        <v>8.0820857300000007E-2</v>
      </c>
      <c r="X23" s="27">
        <v>1.0877911000000001E-3</v>
      </c>
      <c r="Y23" s="27">
        <v>9.9976990917999995</v>
      </c>
      <c r="Z23" s="27">
        <v>0.23986930510000001</v>
      </c>
      <c r="AA23" s="80" t="s">
        <v>136</v>
      </c>
      <c r="AB23" s="80">
        <v>0</v>
      </c>
      <c r="AC23" s="27">
        <v>0</v>
      </c>
      <c r="AD23" s="27">
        <v>0</v>
      </c>
      <c r="AE23" s="80" t="s">
        <v>136</v>
      </c>
      <c r="AF23" s="80">
        <v>0</v>
      </c>
      <c r="AG23" s="80" t="s">
        <v>136</v>
      </c>
      <c r="AH23" s="80">
        <v>0</v>
      </c>
      <c r="AI23" s="27">
        <f t="shared" si="0"/>
        <v>0</v>
      </c>
      <c r="AJ23" s="27">
        <f t="shared" si="1"/>
        <v>0</v>
      </c>
      <c r="AK23" s="27">
        <v>65.208532667</v>
      </c>
      <c r="AL23" s="27">
        <v>1.0575590226</v>
      </c>
      <c r="AM23" s="80" t="s">
        <v>136</v>
      </c>
      <c r="AN23" s="80">
        <v>0</v>
      </c>
      <c r="AO23" s="80" t="s">
        <v>136</v>
      </c>
      <c r="AP23" s="80">
        <v>0</v>
      </c>
      <c r="AQ23" s="80" t="s">
        <v>136</v>
      </c>
      <c r="AR23" s="80">
        <v>0</v>
      </c>
      <c r="AS23" s="27">
        <v>37.341797364999998</v>
      </c>
      <c r="AT23" s="27">
        <v>1.5061553101</v>
      </c>
      <c r="AU23" s="27">
        <v>24.315316697</v>
      </c>
      <c r="AV23" s="27">
        <v>0.239990074</v>
      </c>
      <c r="AW23" s="27">
        <v>11.172416085</v>
      </c>
      <c r="AX23" s="27">
        <v>0.14135802820000001</v>
      </c>
      <c r="AY23" s="27">
        <v>5.3261584472000001</v>
      </c>
      <c r="AZ23" s="27">
        <v>5.8578208399999998E-2</v>
      </c>
      <c r="BA23" s="80">
        <f t="shared" si="2"/>
        <v>7.8167421648000008</v>
      </c>
      <c r="BB23" s="80">
        <f t="shared" si="3"/>
        <v>4.0053837399999986E-2</v>
      </c>
      <c r="BC23" s="27">
        <v>0</v>
      </c>
      <c r="BD23" s="80">
        <v>0</v>
      </c>
      <c r="BE23" s="27">
        <v>68.816062740999996</v>
      </c>
      <c r="BF23" s="27">
        <v>0.92850248449999995</v>
      </c>
      <c r="BG23" s="79">
        <v>5.3534959999999995E-4</v>
      </c>
      <c r="BH23" s="80">
        <v>0</v>
      </c>
      <c r="BI23" s="27">
        <v>85.518008187000007</v>
      </c>
      <c r="BJ23" s="27">
        <v>3.2030058685</v>
      </c>
      <c r="BK23" s="27">
        <v>55.636214299999999</v>
      </c>
      <c r="BL23" s="27">
        <v>0.4405874736</v>
      </c>
      <c r="BM23" s="27">
        <v>18.541003195999998</v>
      </c>
      <c r="BN23" s="27">
        <v>0.11750753799999999</v>
      </c>
      <c r="BO23" s="27">
        <v>3.3516518000000002E-2</v>
      </c>
      <c r="BP23" s="27">
        <v>3.5493109999999999E-4</v>
      </c>
      <c r="BQ23" s="27">
        <v>0</v>
      </c>
      <c r="BR23" s="92">
        <v>0</v>
      </c>
      <c r="BS23" s="80" t="s">
        <v>136</v>
      </c>
      <c r="BT23" s="80">
        <v>0</v>
      </c>
      <c r="BU23" s="79">
        <v>0.1393117623</v>
      </c>
      <c r="BV23" s="27">
        <v>1.9490967E-3</v>
      </c>
      <c r="BW23" s="27">
        <v>8.6354280343000003</v>
      </c>
      <c r="BX23" s="27">
        <v>7.4937009200000002E-2</v>
      </c>
      <c r="BY23" s="80" t="s">
        <v>136</v>
      </c>
      <c r="BZ23" s="80">
        <v>0</v>
      </c>
      <c r="CA23" s="80" t="s">
        <v>136</v>
      </c>
      <c r="CB23" s="80">
        <v>0</v>
      </c>
      <c r="CC23" s="27">
        <v>1.0022200703999999</v>
      </c>
      <c r="CD23" s="27">
        <v>1.7428315E-3</v>
      </c>
      <c r="CE23" s="27">
        <v>3.268538537</v>
      </c>
      <c r="CF23" s="92">
        <v>7.9262641000000002E-3</v>
      </c>
      <c r="CG23" s="80" t="s">
        <v>136</v>
      </c>
      <c r="CH23" s="80">
        <v>0</v>
      </c>
      <c r="CI23" s="80" t="s">
        <v>136</v>
      </c>
      <c r="CJ23" s="80">
        <v>0</v>
      </c>
      <c r="CK23" s="80" t="s">
        <v>136</v>
      </c>
      <c r="CL23" s="80">
        <v>0</v>
      </c>
      <c r="CM23" s="80" t="s">
        <v>136</v>
      </c>
      <c r="CN23" s="80">
        <v>0</v>
      </c>
      <c r="CO23" s="79">
        <v>2.09720945E-2</v>
      </c>
      <c r="CP23" s="27">
        <v>3.6915199999999998E-4</v>
      </c>
      <c r="CQ23" s="27">
        <v>5.9848762799999997E-2</v>
      </c>
      <c r="CR23" s="27">
        <v>7.1863910000000001E-4</v>
      </c>
      <c r="CS23" s="27">
        <v>0.40677246550000001</v>
      </c>
      <c r="CT23" s="27">
        <v>5.0130093999999998E-3</v>
      </c>
      <c r="CU23" s="27">
        <v>9.5909266262999999</v>
      </c>
      <c r="CV23" s="92">
        <v>0.2348562957</v>
      </c>
      <c r="CW23" s="80" t="s">
        <v>136</v>
      </c>
      <c r="CX23" s="80">
        <v>0</v>
      </c>
      <c r="CY23" s="80" t="s">
        <v>136</v>
      </c>
      <c r="CZ23" s="80">
        <v>0</v>
      </c>
      <c r="DA23" s="79">
        <v>7.9669809039999997</v>
      </c>
      <c r="DB23" s="27">
        <v>0.1419384678</v>
      </c>
      <c r="DC23" s="27">
        <v>29.374816461000002</v>
      </c>
      <c r="DD23" s="27">
        <v>1.3642168423000001</v>
      </c>
      <c r="DE23" s="27">
        <v>5.8294309493999998</v>
      </c>
      <c r="DF23" s="27">
        <v>0.25441915570000001</v>
      </c>
      <c r="DG23" s="27">
        <v>62.986631791999997</v>
      </c>
      <c r="DH23" s="92">
        <v>0.67408332879999999</v>
      </c>
      <c r="DI23" s="95">
        <v>2.9789239999999999E-4</v>
      </c>
      <c r="DJ23" s="96">
        <v>4.8489820000000001E-4</v>
      </c>
      <c r="DK23" s="96">
        <v>5.2574570000000001E-4</v>
      </c>
      <c r="DL23" s="96">
        <v>5.3054770000000005E-4</v>
      </c>
      <c r="DM23" s="96">
        <v>5.3534959999999995E-4</v>
      </c>
      <c r="DN23" s="96">
        <v>5.3534959999999995E-4</v>
      </c>
      <c r="DO23" s="96">
        <v>5.3534959999999995E-4</v>
      </c>
      <c r="DP23" s="96">
        <v>5.3534959999999995E-4</v>
      </c>
      <c r="DQ23" s="96">
        <v>5.3534959999999995E-4</v>
      </c>
      <c r="DR23" s="97">
        <v>5.3534959999999995E-4</v>
      </c>
      <c r="DS23" s="93">
        <v>53.090272255000002</v>
      </c>
      <c r="DT23" s="80">
        <v>0.37950986289999999</v>
      </c>
      <c r="DU23" s="80">
        <v>21.74574338</v>
      </c>
      <c r="DV23" s="80">
        <v>0.1631743605</v>
      </c>
      <c r="DW23" s="80">
        <v>8.4873174651000003</v>
      </c>
      <c r="DX23" s="80">
        <v>6.6776667600000006E-2</v>
      </c>
      <c r="DY23" s="80">
        <v>3.1741882857000001</v>
      </c>
      <c r="DZ23" s="80">
        <v>2.64938828E-2</v>
      </c>
      <c r="EA23" s="80">
        <v>1.1407497682000001</v>
      </c>
      <c r="EB23" s="80">
        <v>1.03056321E-2</v>
      </c>
      <c r="EC23" s="80">
        <v>0.40666249529999998</v>
      </c>
      <c r="ED23" s="80">
        <v>4.1934676000000004E-3</v>
      </c>
      <c r="EE23" s="80">
        <v>0.15313925310000001</v>
      </c>
      <c r="EF23" s="80">
        <v>1.9689188999999999E-3</v>
      </c>
      <c r="EG23" s="80">
        <v>6.4905564099999993E-2</v>
      </c>
      <c r="EH23" s="80">
        <v>1.1214192999999999E-3</v>
      </c>
      <c r="EI23" s="80">
        <v>3.32093288E-2</v>
      </c>
      <c r="EJ23" s="80">
        <v>7.8402319999999997E-4</v>
      </c>
      <c r="EK23" s="80">
        <v>1.9957799500000001E-2</v>
      </c>
      <c r="EL23" s="94">
        <v>6.1500119999999996E-4</v>
      </c>
    </row>
    <row r="24" spans="1:142" x14ac:dyDescent="0.2">
      <c r="A24" s="79">
        <v>1900</v>
      </c>
      <c r="B24" s="27">
        <v>5420</v>
      </c>
      <c r="C24" s="79">
        <v>1169.6516976</v>
      </c>
      <c r="D24" s="27">
        <v>1849.7063842</v>
      </c>
      <c r="E24" s="27">
        <v>26.437622075</v>
      </c>
      <c r="F24" s="27">
        <v>3.9729071999999997E-2</v>
      </c>
      <c r="G24" s="79">
        <v>0.40816525739999998</v>
      </c>
      <c r="H24" s="27">
        <v>3.5471500000000002E-4</v>
      </c>
      <c r="I24" s="27">
        <v>126.28585505</v>
      </c>
      <c r="J24" s="27">
        <v>0.84854901230000002</v>
      </c>
      <c r="K24" s="27">
        <v>43.042585692999999</v>
      </c>
      <c r="L24" s="27">
        <v>0.26836559180000003</v>
      </c>
      <c r="M24" s="27">
        <v>9.3618735753000006</v>
      </c>
      <c r="N24" s="27">
        <v>8.1630669500000003E-2</v>
      </c>
      <c r="O24" s="80" t="s">
        <v>136</v>
      </c>
      <c r="P24" s="80">
        <v>0</v>
      </c>
      <c r="Q24" s="27">
        <v>4.9147526651</v>
      </c>
      <c r="R24" s="27">
        <v>1.09456606E-2</v>
      </c>
      <c r="S24" s="80" t="s">
        <v>136</v>
      </c>
      <c r="T24" s="80">
        <v>0</v>
      </c>
      <c r="U24" s="80" t="s">
        <v>136</v>
      </c>
      <c r="V24" s="80">
        <v>0</v>
      </c>
      <c r="W24" s="27">
        <v>8.3964725399999995E-2</v>
      </c>
      <c r="X24" s="27">
        <v>1.0966659E-3</v>
      </c>
      <c r="Y24" s="27">
        <v>10.697399964000001</v>
      </c>
      <c r="Z24" s="27">
        <v>0.25538750049999998</v>
      </c>
      <c r="AA24" s="80" t="s">
        <v>136</v>
      </c>
      <c r="AB24" s="80">
        <v>0</v>
      </c>
      <c r="AC24" s="27">
        <v>0</v>
      </c>
      <c r="AD24" s="27">
        <v>0</v>
      </c>
      <c r="AE24" s="80" t="s">
        <v>136</v>
      </c>
      <c r="AF24" s="80">
        <v>0</v>
      </c>
      <c r="AG24" s="80" t="s">
        <v>136</v>
      </c>
      <c r="AH24" s="80">
        <v>0</v>
      </c>
      <c r="AI24" s="27">
        <f t="shared" si="0"/>
        <v>0</v>
      </c>
      <c r="AJ24" s="27">
        <f t="shared" si="1"/>
        <v>0</v>
      </c>
      <c r="AK24" s="27">
        <v>67.846741163999994</v>
      </c>
      <c r="AL24" s="27">
        <v>1.0925425719999999</v>
      </c>
      <c r="AM24" s="80" t="s">
        <v>136</v>
      </c>
      <c r="AN24" s="80">
        <v>0</v>
      </c>
      <c r="AO24" s="80" t="s">
        <v>136</v>
      </c>
      <c r="AP24" s="80">
        <v>0</v>
      </c>
      <c r="AQ24" s="80" t="s">
        <v>136</v>
      </c>
      <c r="AR24" s="80">
        <v>0</v>
      </c>
      <c r="AS24" s="27">
        <v>39.078662285999997</v>
      </c>
      <c r="AT24" s="27">
        <v>1.5608997502999999</v>
      </c>
      <c r="AU24" s="27">
        <v>25.956283415000001</v>
      </c>
      <c r="AV24" s="27">
        <v>0.25172556969999998</v>
      </c>
      <c r="AW24" s="27">
        <v>11.938849961000001</v>
      </c>
      <c r="AX24" s="27">
        <v>0.1486673463</v>
      </c>
      <c r="AY24" s="27">
        <v>5.6048995198</v>
      </c>
      <c r="AZ24" s="27">
        <v>6.0734767799999999E-2</v>
      </c>
      <c r="BA24" s="80">
        <f t="shared" si="2"/>
        <v>8.412533934199999</v>
      </c>
      <c r="BB24" s="80">
        <f t="shared" si="3"/>
        <v>4.2323455599999976E-2</v>
      </c>
      <c r="BC24" s="27">
        <v>0</v>
      </c>
      <c r="BD24" s="80">
        <v>0</v>
      </c>
      <c r="BE24" s="27">
        <v>72.037715241000001</v>
      </c>
      <c r="BF24" s="27">
        <v>0.96255077489999996</v>
      </c>
      <c r="BG24" s="79">
        <v>6.4517009999999996E-4</v>
      </c>
      <c r="BH24" s="80">
        <v>0</v>
      </c>
      <c r="BI24" s="27">
        <v>89.590127343000006</v>
      </c>
      <c r="BJ24" s="27">
        <v>3.3126493655</v>
      </c>
      <c r="BK24" s="27">
        <v>60.673086466000001</v>
      </c>
      <c r="BL24" s="27">
        <v>0.48033059150000001</v>
      </c>
      <c r="BM24" s="27">
        <v>20.141365439000001</v>
      </c>
      <c r="BN24" s="27">
        <v>0.12583516929999999</v>
      </c>
      <c r="BO24" s="27">
        <v>3.5449613999999997E-2</v>
      </c>
      <c r="BP24" s="27">
        <v>3.9143819999999999E-4</v>
      </c>
      <c r="BQ24" s="27">
        <v>0</v>
      </c>
      <c r="BR24" s="92">
        <v>0</v>
      </c>
      <c r="BS24" s="80" t="s">
        <v>136</v>
      </c>
      <c r="BT24" s="80">
        <v>0</v>
      </c>
      <c r="BU24" s="79">
        <v>0.14419167350000001</v>
      </c>
      <c r="BV24" s="27">
        <v>2.0365374999999999E-3</v>
      </c>
      <c r="BW24" s="27">
        <v>9.2176819018000007</v>
      </c>
      <c r="BX24" s="27">
        <v>7.9594132100000006E-2</v>
      </c>
      <c r="BY24" s="80" t="s">
        <v>136</v>
      </c>
      <c r="BZ24" s="80">
        <v>0</v>
      </c>
      <c r="CA24" s="80" t="s">
        <v>136</v>
      </c>
      <c r="CB24" s="80">
        <v>0</v>
      </c>
      <c r="CC24" s="27">
        <v>1.211957017</v>
      </c>
      <c r="CD24" s="27">
        <v>2.0420672999999999E-3</v>
      </c>
      <c r="CE24" s="27">
        <v>3.7027956480999999</v>
      </c>
      <c r="CF24" s="92">
        <v>8.9035933000000001E-3</v>
      </c>
      <c r="CG24" s="80" t="s">
        <v>136</v>
      </c>
      <c r="CH24" s="80">
        <v>0</v>
      </c>
      <c r="CI24" s="80" t="s">
        <v>136</v>
      </c>
      <c r="CJ24" s="80">
        <v>0</v>
      </c>
      <c r="CK24" s="80" t="s">
        <v>136</v>
      </c>
      <c r="CL24" s="80">
        <v>0</v>
      </c>
      <c r="CM24" s="80" t="s">
        <v>136</v>
      </c>
      <c r="CN24" s="80">
        <v>0</v>
      </c>
      <c r="CO24" s="79">
        <v>2.3668601800000001E-2</v>
      </c>
      <c r="CP24" s="27">
        <v>3.8074639999999998E-4</v>
      </c>
      <c r="CQ24" s="27">
        <v>6.02961235E-2</v>
      </c>
      <c r="CR24" s="27">
        <v>7.1591950000000004E-4</v>
      </c>
      <c r="CS24" s="27">
        <v>0.45554069930000002</v>
      </c>
      <c r="CT24" s="27">
        <v>5.6487895999999998E-3</v>
      </c>
      <c r="CU24" s="27">
        <v>10.241859265</v>
      </c>
      <c r="CV24" s="92">
        <v>0.249738711</v>
      </c>
      <c r="CW24" s="80" t="s">
        <v>136</v>
      </c>
      <c r="CX24" s="80">
        <v>0</v>
      </c>
      <c r="CY24" s="80" t="s">
        <v>136</v>
      </c>
      <c r="CZ24" s="80">
        <v>0</v>
      </c>
      <c r="DA24" s="79">
        <v>8.4701967915999994</v>
      </c>
      <c r="DB24" s="27">
        <v>0.14926746099999999</v>
      </c>
      <c r="DC24" s="27">
        <v>30.608465495000001</v>
      </c>
      <c r="DD24" s="27">
        <v>1.4116322893</v>
      </c>
      <c r="DE24" s="27">
        <v>6.2372236380999997</v>
      </c>
      <c r="DF24" s="27">
        <v>0.26575699279999998</v>
      </c>
      <c r="DG24" s="27">
        <v>65.800491602999998</v>
      </c>
      <c r="DH24" s="92">
        <v>0.69679378209999998</v>
      </c>
      <c r="DI24" s="95">
        <v>3.5471500000000002E-4</v>
      </c>
      <c r="DJ24" s="96">
        <v>5.8929149999999999E-4</v>
      </c>
      <c r="DK24" s="96">
        <v>6.3338629999999999E-4</v>
      </c>
      <c r="DL24" s="96">
        <v>6.4043040000000002E-4</v>
      </c>
      <c r="DM24" s="96">
        <v>6.4517009999999996E-4</v>
      </c>
      <c r="DN24" s="96">
        <v>6.4517009999999996E-4</v>
      </c>
      <c r="DO24" s="96">
        <v>6.4517009999999996E-4</v>
      </c>
      <c r="DP24" s="96">
        <v>6.4517009999999996E-4</v>
      </c>
      <c r="DQ24" s="96">
        <v>6.4517009999999996E-4</v>
      </c>
      <c r="DR24" s="97">
        <v>6.4517009999999996E-4</v>
      </c>
      <c r="DS24" s="93">
        <v>55.477492372</v>
      </c>
      <c r="DT24" s="80">
        <v>0.39628150029999998</v>
      </c>
      <c r="DU24" s="80">
        <v>23.182886965000002</v>
      </c>
      <c r="DV24" s="80">
        <v>0.17382181690000001</v>
      </c>
      <c r="DW24" s="80">
        <v>9.2564994810000005</v>
      </c>
      <c r="DX24" s="80">
        <v>7.2890335400000006E-2</v>
      </c>
      <c r="DY24" s="80">
        <v>3.5620023917000001</v>
      </c>
      <c r="DZ24" s="80">
        <v>2.99003997E-2</v>
      </c>
      <c r="EA24" s="80">
        <v>1.329408393</v>
      </c>
      <c r="EB24" s="80">
        <v>1.2222349299999999E-2</v>
      </c>
      <c r="EC24" s="80">
        <v>0.50465198479999995</v>
      </c>
      <c r="ED24" s="80">
        <v>5.3860187E-3</v>
      </c>
      <c r="EE24" s="80">
        <v>0.21123056479999999</v>
      </c>
      <c r="EF24" s="80">
        <v>2.8189182999999998E-3</v>
      </c>
      <c r="EG24" s="80">
        <v>0.1009382928</v>
      </c>
      <c r="EH24" s="80">
        <v>1.7661313000000001E-3</v>
      </c>
      <c r="EI24" s="80">
        <v>5.8361479199999997E-2</v>
      </c>
      <c r="EJ24" s="80">
        <v>1.3156412000000001E-3</v>
      </c>
      <c r="EK24" s="80">
        <v>3.9278649300000003E-2</v>
      </c>
      <c r="EL24" s="94">
        <v>1.0744808999999999E-3</v>
      </c>
    </row>
    <row r="25" spans="1:142" x14ac:dyDescent="0.2">
      <c r="A25" s="79">
        <v>2000</v>
      </c>
      <c r="B25" s="27">
        <v>4898</v>
      </c>
      <c r="C25" s="79">
        <v>1214.3794511999999</v>
      </c>
      <c r="D25" s="27">
        <v>1949.3977113999999</v>
      </c>
      <c r="E25" s="27">
        <v>28.456879753999999</v>
      </c>
      <c r="F25" s="27">
        <v>4.1614372099999998E-2</v>
      </c>
      <c r="G25" s="79">
        <v>0.47222493859999998</v>
      </c>
      <c r="H25" s="27">
        <v>3.9813370000000003E-4</v>
      </c>
      <c r="I25" s="27">
        <v>129.42335087999999</v>
      </c>
      <c r="J25" s="27">
        <v>0.86922138640000002</v>
      </c>
      <c r="K25" s="27">
        <v>44.769086635000001</v>
      </c>
      <c r="L25" s="27">
        <v>0.2791436417</v>
      </c>
      <c r="M25" s="27">
        <v>9.8231952257999993</v>
      </c>
      <c r="N25" s="27">
        <v>8.5338599299999998E-2</v>
      </c>
      <c r="O25" s="80" t="s">
        <v>136</v>
      </c>
      <c r="P25" s="80">
        <v>0</v>
      </c>
      <c r="Q25" s="27">
        <v>5.4978766611000003</v>
      </c>
      <c r="R25" s="27">
        <v>1.2076223699999999E-2</v>
      </c>
      <c r="S25" s="80" t="s">
        <v>136</v>
      </c>
      <c r="T25" s="80">
        <v>0</v>
      </c>
      <c r="U25" s="80" t="s">
        <v>136</v>
      </c>
      <c r="V25" s="80">
        <v>0</v>
      </c>
      <c r="W25" s="27">
        <v>9.2357107999999993E-2</v>
      </c>
      <c r="X25" s="27">
        <v>1.2635229000000001E-3</v>
      </c>
      <c r="Y25" s="27">
        <v>11.492969599</v>
      </c>
      <c r="Z25" s="27">
        <v>0.27458607229999998</v>
      </c>
      <c r="AA25" s="80" t="s">
        <v>136</v>
      </c>
      <c r="AB25" s="80">
        <v>0</v>
      </c>
      <c r="AC25" s="27">
        <v>0</v>
      </c>
      <c r="AD25" s="27">
        <v>0</v>
      </c>
      <c r="AE25" s="80" t="s">
        <v>136</v>
      </c>
      <c r="AF25" s="80">
        <v>0</v>
      </c>
      <c r="AG25" s="80" t="s">
        <v>136</v>
      </c>
      <c r="AH25" s="80">
        <v>0</v>
      </c>
      <c r="AI25" s="27">
        <f t="shared" si="0"/>
        <v>0</v>
      </c>
      <c r="AJ25" s="27">
        <f t="shared" si="1"/>
        <v>0</v>
      </c>
      <c r="AK25" s="27">
        <v>70.271552952999997</v>
      </c>
      <c r="AL25" s="27">
        <v>1.1235338420000001</v>
      </c>
      <c r="AM25" s="80" t="s">
        <v>136</v>
      </c>
      <c r="AN25" s="80">
        <v>0</v>
      </c>
      <c r="AO25" s="80" t="s">
        <v>136</v>
      </c>
      <c r="AP25" s="80">
        <v>0</v>
      </c>
      <c r="AQ25" s="80" t="s">
        <v>136</v>
      </c>
      <c r="AR25" s="80">
        <v>0</v>
      </c>
      <c r="AS25" s="27">
        <v>40.684458288000002</v>
      </c>
      <c r="AT25" s="27">
        <v>1.6110229567000001</v>
      </c>
      <c r="AU25" s="27">
        <v>27.592842293</v>
      </c>
      <c r="AV25" s="27">
        <v>0.26274984210000002</v>
      </c>
      <c r="AW25" s="27">
        <v>12.659484457</v>
      </c>
      <c r="AX25" s="27">
        <v>0.15539745590000001</v>
      </c>
      <c r="AY25" s="27">
        <v>5.8983516403999996</v>
      </c>
      <c r="AZ25" s="27">
        <v>6.2787557999999993E-2</v>
      </c>
      <c r="BA25" s="80">
        <f t="shared" si="2"/>
        <v>9.0350061956000012</v>
      </c>
      <c r="BB25" s="80">
        <f t="shared" si="3"/>
        <v>4.4564828200000017E-2</v>
      </c>
      <c r="BC25" s="27">
        <v>0</v>
      </c>
      <c r="BD25" s="80">
        <v>0</v>
      </c>
      <c r="BE25" s="27">
        <v>75.027066187000003</v>
      </c>
      <c r="BF25" s="27">
        <v>0.99226366749999995</v>
      </c>
      <c r="BG25" s="79">
        <v>7.1344979999999995E-4</v>
      </c>
      <c r="BH25" s="80">
        <v>0</v>
      </c>
      <c r="BI25" s="27">
        <v>93.012624270000003</v>
      </c>
      <c r="BJ25" s="27">
        <v>3.4056817758000002</v>
      </c>
      <c r="BK25" s="27">
        <v>65.650708030999994</v>
      </c>
      <c r="BL25" s="27">
        <v>0.51718671240000003</v>
      </c>
      <c r="BM25" s="27">
        <v>21.659678270000001</v>
      </c>
      <c r="BN25" s="27">
        <v>0.1336879514</v>
      </c>
      <c r="BO25" s="27">
        <v>3.5539548300000001E-2</v>
      </c>
      <c r="BP25" s="27">
        <v>3.9677709999999999E-4</v>
      </c>
      <c r="BQ25" s="27">
        <v>0</v>
      </c>
      <c r="BR25" s="92">
        <v>0</v>
      </c>
      <c r="BS25" s="80" t="s">
        <v>136</v>
      </c>
      <c r="BT25" s="80">
        <v>0</v>
      </c>
      <c r="BU25" s="79">
        <v>0.14708975960000001</v>
      </c>
      <c r="BV25" s="27">
        <v>2.0958372999999998E-3</v>
      </c>
      <c r="BW25" s="27">
        <v>9.6761054661999992</v>
      </c>
      <c r="BX25" s="27">
        <v>8.3242761999999998E-2</v>
      </c>
      <c r="BY25" s="80" t="s">
        <v>136</v>
      </c>
      <c r="BZ25" s="80">
        <v>0</v>
      </c>
      <c r="CA25" s="80" t="s">
        <v>136</v>
      </c>
      <c r="CB25" s="80">
        <v>0</v>
      </c>
      <c r="CC25" s="27">
        <v>1.3562400149</v>
      </c>
      <c r="CD25" s="27">
        <v>2.2371817999999998E-3</v>
      </c>
      <c r="CE25" s="27">
        <v>4.1416366462000003</v>
      </c>
      <c r="CF25" s="92">
        <v>9.8390419999999992E-3</v>
      </c>
      <c r="CG25" s="80" t="s">
        <v>136</v>
      </c>
      <c r="CH25" s="80">
        <v>0</v>
      </c>
      <c r="CI25" s="80" t="s">
        <v>136</v>
      </c>
      <c r="CJ25" s="80">
        <v>0</v>
      </c>
      <c r="CK25" s="80" t="s">
        <v>136</v>
      </c>
      <c r="CL25" s="80">
        <v>0</v>
      </c>
      <c r="CM25" s="80" t="s">
        <v>136</v>
      </c>
      <c r="CN25" s="80">
        <v>0</v>
      </c>
      <c r="CO25" s="79">
        <v>2.9063334600000001E-2</v>
      </c>
      <c r="CP25" s="27">
        <v>4.9846820000000003E-4</v>
      </c>
      <c r="CQ25" s="27">
        <v>6.3293773400000003E-2</v>
      </c>
      <c r="CR25" s="27">
        <v>7.6505469999999995E-4</v>
      </c>
      <c r="CS25" s="27">
        <v>0.49602025189999999</v>
      </c>
      <c r="CT25" s="27">
        <v>6.1367775999999997E-3</v>
      </c>
      <c r="CU25" s="27">
        <v>10.996949346999999</v>
      </c>
      <c r="CV25" s="92">
        <v>0.26844929470000001</v>
      </c>
      <c r="CW25" s="80" t="s">
        <v>136</v>
      </c>
      <c r="CX25" s="80">
        <v>0</v>
      </c>
      <c r="CY25" s="80" t="s">
        <v>136</v>
      </c>
      <c r="CZ25" s="80">
        <v>0</v>
      </c>
      <c r="DA25" s="79">
        <v>8.8915905575000007</v>
      </c>
      <c r="DB25" s="27">
        <v>0.15563471200000001</v>
      </c>
      <c r="DC25" s="27">
        <v>31.792867730000001</v>
      </c>
      <c r="DD25" s="27">
        <v>1.4553882446999999</v>
      </c>
      <c r="DE25" s="27">
        <v>6.6495754872999999</v>
      </c>
      <c r="DF25" s="27">
        <v>0.27637670440000001</v>
      </c>
      <c r="DG25" s="27">
        <v>68.377490699000006</v>
      </c>
      <c r="DH25" s="92">
        <v>0.7158869631</v>
      </c>
      <c r="DI25" s="95">
        <v>3.9813370000000003E-4</v>
      </c>
      <c r="DJ25" s="96">
        <v>6.5675689999999997E-4</v>
      </c>
      <c r="DK25" s="96">
        <v>7.0183059999999995E-4</v>
      </c>
      <c r="DL25" s="96">
        <v>7.0876589999999996E-4</v>
      </c>
      <c r="DM25" s="96">
        <v>7.1344979999999995E-4</v>
      </c>
      <c r="DN25" s="96">
        <v>7.1344979999999995E-4</v>
      </c>
      <c r="DO25" s="96">
        <v>7.1344979999999995E-4</v>
      </c>
      <c r="DP25" s="96">
        <v>7.1344979999999995E-4</v>
      </c>
      <c r="DQ25" s="96">
        <v>7.1344979999999995E-4</v>
      </c>
      <c r="DR25" s="97">
        <v>7.1344979999999995E-4</v>
      </c>
      <c r="DS25" s="93">
        <v>57.692168967000001</v>
      </c>
      <c r="DT25" s="80">
        <v>0.41130568159999997</v>
      </c>
      <c r="DU25" s="80">
        <v>24.529274938</v>
      </c>
      <c r="DV25" s="80">
        <v>0.18331500470000001</v>
      </c>
      <c r="DW25" s="80">
        <v>9.9930344091999999</v>
      </c>
      <c r="DX25" s="80">
        <v>7.8317002999999996E-2</v>
      </c>
      <c r="DY25" s="80">
        <v>3.9331997351000001</v>
      </c>
      <c r="DZ25" s="80">
        <v>3.2756048000000003E-2</v>
      </c>
      <c r="EA25" s="80">
        <v>1.5048264546000001</v>
      </c>
      <c r="EB25" s="80">
        <v>1.3638269200000001E-2</v>
      </c>
      <c r="EC25" s="80">
        <v>0.58161902799999998</v>
      </c>
      <c r="ED25" s="80">
        <v>6.0560125999999997E-3</v>
      </c>
      <c r="EE25" s="80">
        <v>0.24513430859999999</v>
      </c>
      <c r="EF25" s="80">
        <v>3.1507298E-3</v>
      </c>
      <c r="EG25" s="80">
        <v>0.117371452</v>
      </c>
      <c r="EH25" s="80">
        <v>1.9533996E-3</v>
      </c>
      <c r="EI25" s="80">
        <v>6.6302260799999999E-2</v>
      </c>
      <c r="EJ25" s="80">
        <v>1.4277927E-3</v>
      </c>
      <c r="EK25" s="80">
        <v>4.3846496399999997E-2</v>
      </c>
      <c r="EL25" s="94">
        <v>1.1510565000000001E-3</v>
      </c>
    </row>
    <row r="26" spans="1:142" x14ac:dyDescent="0.2">
      <c r="A26" s="79">
        <v>2100</v>
      </c>
      <c r="B26" s="27">
        <v>4745</v>
      </c>
      <c r="C26" s="79">
        <v>1258.1028748000001</v>
      </c>
      <c r="D26" s="27">
        <v>2048.9020986</v>
      </c>
      <c r="E26" s="27">
        <v>30.570356681</v>
      </c>
      <c r="F26" s="27">
        <v>4.3645798299999997E-2</v>
      </c>
      <c r="G26" s="79">
        <v>0.58541526899999996</v>
      </c>
      <c r="H26" s="27">
        <v>4.6270159999999997E-4</v>
      </c>
      <c r="I26" s="27">
        <v>132.61570866</v>
      </c>
      <c r="J26" s="27">
        <v>0.8903070072</v>
      </c>
      <c r="K26" s="27">
        <v>46.314661192999999</v>
      </c>
      <c r="L26" s="27">
        <v>0.28858563170000001</v>
      </c>
      <c r="M26" s="27">
        <v>10.356048318999999</v>
      </c>
      <c r="N26" s="27">
        <v>8.9693283999999998E-2</v>
      </c>
      <c r="O26" s="80" t="s">
        <v>136</v>
      </c>
      <c r="P26" s="80">
        <v>0</v>
      </c>
      <c r="Q26" s="27">
        <v>6.1441885608</v>
      </c>
      <c r="R26" s="27">
        <v>1.3254198300000001E-2</v>
      </c>
      <c r="S26" s="80" t="s">
        <v>136</v>
      </c>
      <c r="T26" s="80">
        <v>0</v>
      </c>
      <c r="U26" s="80" t="s">
        <v>136</v>
      </c>
      <c r="V26" s="80">
        <v>0</v>
      </c>
      <c r="W26" s="27">
        <v>0.1059788708</v>
      </c>
      <c r="X26" s="27">
        <v>1.3655621000000001E-3</v>
      </c>
      <c r="Y26" s="27">
        <v>12.267737608999999</v>
      </c>
      <c r="Z26" s="27">
        <v>0.29146238689999998</v>
      </c>
      <c r="AA26" s="80" t="s">
        <v>136</v>
      </c>
      <c r="AB26" s="80">
        <v>0</v>
      </c>
      <c r="AC26" s="27">
        <v>0</v>
      </c>
      <c r="AD26" s="27">
        <v>0</v>
      </c>
      <c r="AE26" s="80" t="s">
        <v>136</v>
      </c>
      <c r="AF26" s="80">
        <v>0</v>
      </c>
      <c r="AG26" s="80" t="s">
        <v>136</v>
      </c>
      <c r="AH26" s="80">
        <v>0</v>
      </c>
      <c r="AI26" s="27">
        <f t="shared" si="0"/>
        <v>0</v>
      </c>
      <c r="AJ26" s="27">
        <f t="shared" si="1"/>
        <v>0</v>
      </c>
      <c r="AK26" s="27">
        <v>72.459920206000007</v>
      </c>
      <c r="AL26" s="27">
        <v>1.1535556222000001</v>
      </c>
      <c r="AM26" s="80" t="s">
        <v>136</v>
      </c>
      <c r="AN26" s="80">
        <v>0</v>
      </c>
      <c r="AO26" s="80" t="s">
        <v>136</v>
      </c>
      <c r="AP26" s="80">
        <v>0</v>
      </c>
      <c r="AQ26" s="80" t="s">
        <v>136</v>
      </c>
      <c r="AR26" s="80">
        <v>0</v>
      </c>
      <c r="AS26" s="27">
        <v>42.292179873000002</v>
      </c>
      <c r="AT26" s="27">
        <v>1.6626659544</v>
      </c>
      <c r="AU26" s="27">
        <v>29.185953986000001</v>
      </c>
      <c r="AV26" s="27">
        <v>0.27370587750000003</v>
      </c>
      <c r="AW26" s="27">
        <v>13.364322995</v>
      </c>
      <c r="AX26" s="27">
        <v>0.16193681909999999</v>
      </c>
      <c r="AY26" s="27">
        <v>6.1479792843999999</v>
      </c>
      <c r="AZ26" s="27">
        <v>6.4682176100000002E-2</v>
      </c>
      <c r="BA26" s="80">
        <f t="shared" si="2"/>
        <v>9.6736517066000012</v>
      </c>
      <c r="BB26" s="80">
        <f t="shared" si="3"/>
        <v>4.7086882300000021E-2</v>
      </c>
      <c r="BC26" s="27">
        <v>0</v>
      </c>
      <c r="BD26" s="80">
        <v>0</v>
      </c>
      <c r="BE26" s="27">
        <v>78.193251205999999</v>
      </c>
      <c r="BF26" s="27">
        <v>1.0240765147999999</v>
      </c>
      <c r="BG26" s="79">
        <v>8.2573779999999995E-4</v>
      </c>
      <c r="BH26" s="80">
        <v>0</v>
      </c>
      <c r="BI26" s="27">
        <v>96.574343679999998</v>
      </c>
      <c r="BJ26" s="27">
        <v>3.4979900967000002</v>
      </c>
      <c r="BK26" s="27">
        <v>70.625033983999998</v>
      </c>
      <c r="BL26" s="27">
        <v>0.55420941150000003</v>
      </c>
      <c r="BM26" s="27">
        <v>23.147686854</v>
      </c>
      <c r="BN26" s="27">
        <v>0.14127839859999999</v>
      </c>
      <c r="BO26" s="27">
        <v>3.4944959999999997E-2</v>
      </c>
      <c r="BP26" s="27">
        <v>3.9310050000000002E-4</v>
      </c>
      <c r="BQ26" s="27">
        <v>0</v>
      </c>
      <c r="BR26" s="92">
        <v>0</v>
      </c>
      <c r="BS26" s="80" t="s">
        <v>136</v>
      </c>
      <c r="BT26" s="80">
        <v>0</v>
      </c>
      <c r="BU26" s="79">
        <v>0.15343662599999999</v>
      </c>
      <c r="BV26" s="27">
        <v>2.1672585000000002E-3</v>
      </c>
      <c r="BW26" s="27">
        <v>10.202611693</v>
      </c>
      <c r="BX26" s="27">
        <v>8.7526025499999993E-2</v>
      </c>
      <c r="BY26" s="80" t="s">
        <v>136</v>
      </c>
      <c r="BZ26" s="80">
        <v>0</v>
      </c>
      <c r="CA26" s="80" t="s">
        <v>136</v>
      </c>
      <c r="CB26" s="80">
        <v>0</v>
      </c>
      <c r="CC26" s="27">
        <v>1.6140677314</v>
      </c>
      <c r="CD26" s="27">
        <v>2.5512461000000001E-3</v>
      </c>
      <c r="CE26" s="27">
        <v>4.5301208294000004</v>
      </c>
      <c r="CF26" s="92">
        <v>1.07029523E-2</v>
      </c>
      <c r="CG26" s="80" t="s">
        <v>136</v>
      </c>
      <c r="CH26" s="80">
        <v>0</v>
      </c>
      <c r="CI26" s="80" t="s">
        <v>136</v>
      </c>
      <c r="CJ26" s="80">
        <v>0</v>
      </c>
      <c r="CK26" s="80" t="s">
        <v>136</v>
      </c>
      <c r="CL26" s="80">
        <v>0</v>
      </c>
      <c r="CM26" s="80" t="s">
        <v>136</v>
      </c>
      <c r="CN26" s="80">
        <v>0</v>
      </c>
      <c r="CO26" s="79">
        <v>2.8500691500000001E-2</v>
      </c>
      <c r="CP26" s="27">
        <v>4.893117E-4</v>
      </c>
      <c r="CQ26" s="27">
        <v>7.7478179199999997E-2</v>
      </c>
      <c r="CR26" s="27">
        <v>8.762504E-4</v>
      </c>
      <c r="CS26" s="27">
        <v>0.57130102469999999</v>
      </c>
      <c r="CT26" s="27">
        <v>7.0939389E-3</v>
      </c>
      <c r="CU26" s="27">
        <v>11.696436584000001</v>
      </c>
      <c r="CV26" s="92">
        <v>0.2843684481</v>
      </c>
      <c r="CW26" s="80" t="s">
        <v>136</v>
      </c>
      <c r="CX26" s="80">
        <v>0</v>
      </c>
      <c r="CY26" s="80" t="s">
        <v>136</v>
      </c>
      <c r="CZ26" s="80">
        <v>0</v>
      </c>
      <c r="DA26" s="79">
        <v>9.2865957164000008</v>
      </c>
      <c r="DB26" s="27">
        <v>0.16247438140000001</v>
      </c>
      <c r="DC26" s="27">
        <v>33.005584155999998</v>
      </c>
      <c r="DD26" s="27">
        <v>1.5001915728999999</v>
      </c>
      <c r="DE26" s="27">
        <v>7.1282882648000001</v>
      </c>
      <c r="DF26" s="27">
        <v>0.28806166919999998</v>
      </c>
      <c r="DG26" s="27">
        <v>71.064962941000005</v>
      </c>
      <c r="DH26" s="92">
        <v>0.73601484559999997</v>
      </c>
      <c r="DI26" s="95">
        <v>4.6270159999999997E-4</v>
      </c>
      <c r="DJ26" s="96">
        <v>7.5793050000000004E-4</v>
      </c>
      <c r="DK26" s="96">
        <v>8.1056159999999999E-4</v>
      </c>
      <c r="DL26" s="96">
        <v>8.1925050000000005E-4</v>
      </c>
      <c r="DM26" s="96">
        <v>8.2573779999999995E-4</v>
      </c>
      <c r="DN26" s="96">
        <v>8.2573779999999995E-4</v>
      </c>
      <c r="DO26" s="96">
        <v>8.2573779999999995E-4</v>
      </c>
      <c r="DP26" s="96">
        <v>8.2573779999999995E-4</v>
      </c>
      <c r="DQ26" s="96">
        <v>8.2573779999999995E-4</v>
      </c>
      <c r="DR26" s="97">
        <v>8.2573779999999995E-4</v>
      </c>
      <c r="DS26" s="93">
        <v>60.028587041000002</v>
      </c>
      <c r="DT26" s="80">
        <v>0.42719632460000001</v>
      </c>
      <c r="DU26" s="80">
        <v>25.971931156</v>
      </c>
      <c r="DV26" s="80">
        <v>0.19354012200000001</v>
      </c>
      <c r="DW26" s="80">
        <v>10.814513028</v>
      </c>
      <c r="DX26" s="80">
        <v>8.43856984E-2</v>
      </c>
      <c r="DY26" s="80">
        <v>4.3651124034000004</v>
      </c>
      <c r="DZ26" s="80">
        <v>3.6145222599999999E-2</v>
      </c>
      <c r="EA26" s="80">
        <v>1.7370170364999999</v>
      </c>
      <c r="EB26" s="80">
        <v>1.5577444399999999E-2</v>
      </c>
      <c r="EC26" s="80">
        <v>0.71090711969999998</v>
      </c>
      <c r="ED26" s="80">
        <v>7.2103988000000001E-3</v>
      </c>
      <c r="EE26" s="80">
        <v>0.3147643839</v>
      </c>
      <c r="EF26" s="80">
        <v>3.8172867999999999E-3</v>
      </c>
      <c r="EG26" s="80">
        <v>0.15371337400000001</v>
      </c>
      <c r="EH26" s="80">
        <v>2.3335305000000001E-3</v>
      </c>
      <c r="EI26" s="80">
        <v>8.4095496699999994E-2</v>
      </c>
      <c r="EJ26" s="80">
        <v>1.6396357E-3</v>
      </c>
      <c r="EK26" s="80">
        <v>5.36183826E-2</v>
      </c>
      <c r="EL26" s="94">
        <v>1.2826761E-3</v>
      </c>
    </row>
    <row r="27" spans="1:142" x14ac:dyDescent="0.2">
      <c r="A27" s="79">
        <v>2200</v>
      </c>
      <c r="B27" s="27">
        <v>4585</v>
      </c>
      <c r="C27" s="79">
        <v>1300.7590754</v>
      </c>
      <c r="D27" s="27">
        <v>2150.3656194999999</v>
      </c>
      <c r="E27" s="27">
        <v>32.642364966999999</v>
      </c>
      <c r="F27" s="27">
        <v>4.5558816799999999E-2</v>
      </c>
      <c r="G27" s="79">
        <v>0.72637511239999997</v>
      </c>
      <c r="H27" s="27">
        <v>5.4828899999999998E-4</v>
      </c>
      <c r="I27" s="27">
        <v>135.52030596</v>
      </c>
      <c r="J27" s="27">
        <v>0.90925350250000003</v>
      </c>
      <c r="K27" s="27">
        <v>47.958886866</v>
      </c>
      <c r="L27" s="27">
        <v>0.29846183300000001</v>
      </c>
      <c r="M27" s="27">
        <v>10.921876791000001</v>
      </c>
      <c r="N27" s="27">
        <v>9.4432474299999999E-2</v>
      </c>
      <c r="O27" s="80" t="s">
        <v>136</v>
      </c>
      <c r="P27" s="80">
        <v>0</v>
      </c>
      <c r="Q27" s="27">
        <v>6.8997624164999998</v>
      </c>
      <c r="R27" s="27">
        <v>1.4715357E-2</v>
      </c>
      <c r="S27" s="80" t="s">
        <v>136</v>
      </c>
      <c r="T27" s="80">
        <v>0</v>
      </c>
      <c r="U27" s="80" t="s">
        <v>136</v>
      </c>
      <c r="V27" s="80">
        <v>0</v>
      </c>
      <c r="W27" s="27">
        <v>0.1203054754</v>
      </c>
      <c r="X27" s="27">
        <v>1.5096427999999999E-3</v>
      </c>
      <c r="Y27" s="27">
        <v>13.070167946</v>
      </c>
      <c r="Z27" s="27">
        <v>0.30922282849999999</v>
      </c>
      <c r="AA27" s="80" t="s">
        <v>136</v>
      </c>
      <c r="AB27" s="80">
        <v>0</v>
      </c>
      <c r="AC27" s="27">
        <v>0</v>
      </c>
      <c r="AD27" s="27">
        <v>0</v>
      </c>
      <c r="AE27" s="80" t="s">
        <v>136</v>
      </c>
      <c r="AF27" s="80">
        <v>0</v>
      </c>
      <c r="AG27" s="80" t="s">
        <v>136</v>
      </c>
      <c r="AH27" s="80">
        <v>0</v>
      </c>
      <c r="AI27" s="27">
        <f t="shared" si="0"/>
        <v>0</v>
      </c>
      <c r="AJ27" s="27">
        <f t="shared" si="1"/>
        <v>0</v>
      </c>
      <c r="AK27" s="27">
        <v>74.779938720999994</v>
      </c>
      <c r="AL27" s="27">
        <v>1.1824052114000001</v>
      </c>
      <c r="AM27" s="80" t="s">
        <v>136</v>
      </c>
      <c r="AN27" s="80">
        <v>0</v>
      </c>
      <c r="AO27" s="80" t="s">
        <v>136</v>
      </c>
      <c r="AP27" s="80">
        <v>0</v>
      </c>
      <c r="AQ27" s="80" t="s">
        <v>136</v>
      </c>
      <c r="AR27" s="80">
        <v>0</v>
      </c>
      <c r="AS27" s="27">
        <v>43.985563411000001</v>
      </c>
      <c r="AT27" s="27">
        <v>1.7109370702</v>
      </c>
      <c r="AU27" s="27">
        <v>30.673493486000002</v>
      </c>
      <c r="AV27" s="27">
        <v>0.28419819899999998</v>
      </c>
      <c r="AW27" s="27">
        <v>14.025904300000001</v>
      </c>
      <c r="AX27" s="27">
        <v>0.1684378755</v>
      </c>
      <c r="AY27" s="27">
        <v>6.3753377593999998</v>
      </c>
      <c r="AZ27" s="27">
        <v>6.6392432700000004E-2</v>
      </c>
      <c r="BA27" s="80">
        <f t="shared" si="2"/>
        <v>10.2722514266</v>
      </c>
      <c r="BB27" s="80">
        <f t="shared" si="3"/>
        <v>4.9367890799999981E-2</v>
      </c>
      <c r="BC27" s="27">
        <v>0</v>
      </c>
      <c r="BD27" s="80">
        <v>0</v>
      </c>
      <c r="BE27" s="27">
        <v>81.366114891999999</v>
      </c>
      <c r="BF27" s="27">
        <v>1.0542680008</v>
      </c>
      <c r="BG27" s="79">
        <v>9.8084449999999998E-4</v>
      </c>
      <c r="BH27" s="80">
        <v>0</v>
      </c>
      <c r="BI27" s="27">
        <v>99.911033945</v>
      </c>
      <c r="BJ27" s="27">
        <v>3.5849821948999998</v>
      </c>
      <c r="BK27" s="27">
        <v>75.527624256999999</v>
      </c>
      <c r="BL27" s="27">
        <v>0.5916574443</v>
      </c>
      <c r="BM27" s="27">
        <v>24.685218287000001</v>
      </c>
      <c r="BN27" s="27">
        <v>0.1485413035</v>
      </c>
      <c r="BO27" s="27">
        <v>3.6697662200000002E-2</v>
      </c>
      <c r="BP27" s="27">
        <v>4.003786E-4</v>
      </c>
      <c r="BQ27" s="27">
        <v>0</v>
      </c>
      <c r="BR27" s="92">
        <v>0</v>
      </c>
      <c r="BS27" s="80" t="s">
        <v>136</v>
      </c>
      <c r="BT27" s="80">
        <v>0</v>
      </c>
      <c r="BU27" s="79">
        <v>0.15443740310000001</v>
      </c>
      <c r="BV27" s="27">
        <v>2.1944999999999998E-3</v>
      </c>
      <c r="BW27" s="27">
        <v>10.767439387</v>
      </c>
      <c r="BX27" s="27">
        <v>9.2237974299999997E-2</v>
      </c>
      <c r="BY27" s="80" t="s">
        <v>136</v>
      </c>
      <c r="BZ27" s="80">
        <v>0</v>
      </c>
      <c r="CA27" s="80" t="s">
        <v>136</v>
      </c>
      <c r="CB27" s="80">
        <v>0</v>
      </c>
      <c r="CC27" s="27">
        <v>1.9283477643</v>
      </c>
      <c r="CD27" s="27">
        <v>2.970093E-3</v>
      </c>
      <c r="CE27" s="27">
        <v>4.9714146522</v>
      </c>
      <c r="CF27" s="92">
        <v>1.17452641E-2</v>
      </c>
      <c r="CG27" s="80" t="s">
        <v>136</v>
      </c>
      <c r="CH27" s="80">
        <v>0</v>
      </c>
      <c r="CI27" s="80" t="s">
        <v>136</v>
      </c>
      <c r="CJ27" s="80">
        <v>0</v>
      </c>
      <c r="CK27" s="80" t="s">
        <v>136</v>
      </c>
      <c r="CL27" s="80">
        <v>0</v>
      </c>
      <c r="CM27" s="80" t="s">
        <v>136</v>
      </c>
      <c r="CN27" s="80">
        <v>0</v>
      </c>
      <c r="CO27" s="79">
        <v>3.1285338000000003E-2</v>
      </c>
      <c r="CP27" s="27">
        <v>5.1123379999999999E-4</v>
      </c>
      <c r="CQ27" s="27">
        <v>8.9020137400000005E-2</v>
      </c>
      <c r="CR27" s="27">
        <v>9.9840900000000002E-4</v>
      </c>
      <c r="CS27" s="27">
        <v>0.62016700930000002</v>
      </c>
      <c r="CT27" s="27">
        <v>7.6583559999999998E-3</v>
      </c>
      <c r="CU27" s="27">
        <v>12.450000937</v>
      </c>
      <c r="CV27" s="92">
        <v>0.30156447240000001</v>
      </c>
      <c r="CW27" s="80" t="s">
        <v>136</v>
      </c>
      <c r="CX27" s="80">
        <v>0</v>
      </c>
      <c r="CY27" s="80" t="s">
        <v>136</v>
      </c>
      <c r="CZ27" s="80">
        <v>0</v>
      </c>
      <c r="DA27" s="79">
        <v>9.8100508864999991</v>
      </c>
      <c r="DB27" s="27">
        <v>0.16949454420000001</v>
      </c>
      <c r="DC27" s="27">
        <v>34.175512525000002</v>
      </c>
      <c r="DD27" s="27">
        <v>1.541442526</v>
      </c>
      <c r="DE27" s="27">
        <v>7.5584231943000004</v>
      </c>
      <c r="DF27" s="27">
        <v>0.29878753969999999</v>
      </c>
      <c r="DG27" s="27">
        <v>73.807691697999999</v>
      </c>
      <c r="DH27" s="92">
        <v>0.75548046099999999</v>
      </c>
      <c r="DI27" s="95">
        <v>5.4613190000000003E-4</v>
      </c>
      <c r="DJ27" s="96">
        <v>8.9649700000000001E-4</v>
      </c>
      <c r="DK27" s="96">
        <v>9.6372289999999995E-4</v>
      </c>
      <c r="DL27" s="96">
        <v>9.7444079999999998E-4</v>
      </c>
      <c r="DM27" s="96">
        <v>9.8084449999999998E-4</v>
      </c>
      <c r="DN27" s="96">
        <v>9.8084449999999998E-4</v>
      </c>
      <c r="DO27" s="96">
        <v>9.8084449999999998E-4</v>
      </c>
      <c r="DP27" s="96">
        <v>9.8084449999999998E-4</v>
      </c>
      <c r="DQ27" s="96">
        <v>9.8084449999999998E-4</v>
      </c>
      <c r="DR27" s="97">
        <v>9.8084449999999998E-4</v>
      </c>
      <c r="DS27" s="93">
        <v>62.155950820000001</v>
      </c>
      <c r="DT27" s="80">
        <v>0.44144249590000001</v>
      </c>
      <c r="DU27" s="80">
        <v>27.329179771</v>
      </c>
      <c r="DV27" s="80">
        <v>0.20297551229999999</v>
      </c>
      <c r="DW27" s="80">
        <v>11.587070075</v>
      </c>
      <c r="DX27" s="80">
        <v>9.00438764E-2</v>
      </c>
      <c r="DY27" s="80">
        <v>4.7808730493000002</v>
      </c>
      <c r="DZ27" s="80">
        <v>3.93653604E-2</v>
      </c>
      <c r="EA27" s="80">
        <v>1.9567792299</v>
      </c>
      <c r="EB27" s="80">
        <v>1.7414734000000001E-2</v>
      </c>
      <c r="EC27" s="80">
        <v>0.83070066890000005</v>
      </c>
      <c r="ED27" s="80">
        <v>8.3149455000000004E-3</v>
      </c>
      <c r="EE27" s="80">
        <v>0.3791813376</v>
      </c>
      <c r="EF27" s="80">
        <v>4.5046273000000003E-3</v>
      </c>
      <c r="EG27" s="80">
        <v>0.1878615984</v>
      </c>
      <c r="EH27" s="80">
        <v>2.7755055999999999E-3</v>
      </c>
      <c r="EI27" s="80">
        <v>0.1028408641</v>
      </c>
      <c r="EJ27" s="80">
        <v>1.9497878E-3</v>
      </c>
      <c r="EK27" s="80">
        <v>6.5591255599999995E-2</v>
      </c>
      <c r="EL27" s="94">
        <v>1.5261776999999999E-3</v>
      </c>
    </row>
    <row r="28" spans="1:142" x14ac:dyDescent="0.2">
      <c r="A28" s="79">
        <v>2300</v>
      </c>
      <c r="B28" s="27">
        <v>4340</v>
      </c>
      <c r="C28" s="79">
        <v>1342.2032855</v>
      </c>
      <c r="D28" s="27">
        <v>2249.9627549000002</v>
      </c>
      <c r="E28" s="27">
        <v>34.488296228000003</v>
      </c>
      <c r="F28" s="27">
        <v>4.7092908599999997E-2</v>
      </c>
      <c r="G28" s="79">
        <v>0.87026703260000005</v>
      </c>
      <c r="H28" s="27">
        <v>6.3207050000000005E-4</v>
      </c>
      <c r="I28" s="27">
        <v>138.34272200000001</v>
      </c>
      <c r="J28" s="27">
        <v>0.9279328966</v>
      </c>
      <c r="K28" s="27">
        <v>49.602512300000001</v>
      </c>
      <c r="L28" s="27">
        <v>0.30884967209999997</v>
      </c>
      <c r="M28" s="27">
        <v>11.4800703</v>
      </c>
      <c r="N28" s="27">
        <v>9.86675422E-2</v>
      </c>
      <c r="O28" s="80" t="s">
        <v>136</v>
      </c>
      <c r="P28" s="80">
        <v>0</v>
      </c>
      <c r="Q28" s="27">
        <v>7.6225493744000001</v>
      </c>
      <c r="R28" s="27">
        <v>1.60959395E-2</v>
      </c>
      <c r="S28" s="80" t="s">
        <v>136</v>
      </c>
      <c r="T28" s="80">
        <v>0</v>
      </c>
      <c r="U28" s="80" t="s">
        <v>136</v>
      </c>
      <c r="V28" s="80">
        <v>0</v>
      </c>
      <c r="W28" s="27">
        <v>0.12751469430000001</v>
      </c>
      <c r="X28" s="27">
        <v>1.6193194000000001E-3</v>
      </c>
      <c r="Y28" s="27">
        <v>13.984997473</v>
      </c>
      <c r="Z28" s="27">
        <v>0.32923929530000001</v>
      </c>
      <c r="AA28" s="80" t="s">
        <v>136</v>
      </c>
      <c r="AB28" s="80">
        <v>0</v>
      </c>
      <c r="AC28" s="27">
        <v>0</v>
      </c>
      <c r="AD28" s="27">
        <v>0</v>
      </c>
      <c r="AE28" s="80" t="s">
        <v>136</v>
      </c>
      <c r="AF28" s="80">
        <v>0</v>
      </c>
      <c r="AG28" s="80" t="s">
        <v>136</v>
      </c>
      <c r="AH28" s="80">
        <v>0</v>
      </c>
      <c r="AI28" s="27">
        <f t="shared" si="0"/>
        <v>0</v>
      </c>
      <c r="AJ28" s="27">
        <f t="shared" si="1"/>
        <v>0</v>
      </c>
      <c r="AK28" s="27">
        <v>77.192137114000005</v>
      </c>
      <c r="AL28" s="27">
        <v>1.2099947649</v>
      </c>
      <c r="AM28" s="80" t="s">
        <v>136</v>
      </c>
      <c r="AN28" s="80">
        <v>0</v>
      </c>
      <c r="AO28" s="80" t="s">
        <v>136</v>
      </c>
      <c r="AP28" s="80">
        <v>0</v>
      </c>
      <c r="AQ28" s="80" t="s">
        <v>136</v>
      </c>
      <c r="AR28" s="80">
        <v>0</v>
      </c>
      <c r="AS28" s="27">
        <v>45.660742823</v>
      </c>
      <c r="AT28" s="27">
        <v>1.7589517905000001</v>
      </c>
      <c r="AU28" s="27">
        <v>32.157161461000001</v>
      </c>
      <c r="AV28" s="27">
        <v>0.2941062633</v>
      </c>
      <c r="AW28" s="27">
        <v>14.718990386</v>
      </c>
      <c r="AX28" s="27">
        <v>0.17446893299999999</v>
      </c>
      <c r="AY28" s="27">
        <v>6.6731292692000004</v>
      </c>
      <c r="AZ28" s="27">
        <v>6.84187131E-2</v>
      </c>
      <c r="BA28" s="80">
        <f t="shared" si="2"/>
        <v>10.765041805800003</v>
      </c>
      <c r="BB28" s="80">
        <f t="shared" si="3"/>
        <v>5.1218617200000011E-2</v>
      </c>
      <c r="BC28" s="27">
        <v>0</v>
      </c>
      <c r="BD28" s="80">
        <v>0</v>
      </c>
      <c r="BE28" s="27">
        <v>84.583706991</v>
      </c>
      <c r="BF28" s="27">
        <v>1.0838416366000001</v>
      </c>
      <c r="BG28" s="79">
        <v>1.1376254000000001E-3</v>
      </c>
      <c r="BH28" s="80">
        <v>0</v>
      </c>
      <c r="BI28" s="27">
        <v>103.11348271999999</v>
      </c>
      <c r="BJ28" s="27">
        <v>3.6642102395</v>
      </c>
      <c r="BK28" s="27">
        <v>80.605477162</v>
      </c>
      <c r="BL28" s="27">
        <v>0.631287555</v>
      </c>
      <c r="BM28" s="27">
        <v>26.101641483000002</v>
      </c>
      <c r="BN28" s="27">
        <v>0.1551634459</v>
      </c>
      <c r="BO28" s="27">
        <v>4.0918987900000002E-2</v>
      </c>
      <c r="BP28" s="27">
        <v>4.3925700000000003E-4</v>
      </c>
      <c r="BQ28" s="27">
        <v>0</v>
      </c>
      <c r="BR28" s="92">
        <v>0</v>
      </c>
      <c r="BS28" s="80" t="s">
        <v>136</v>
      </c>
      <c r="BT28" s="80">
        <v>0</v>
      </c>
      <c r="BU28" s="79">
        <v>0.15693430559999999</v>
      </c>
      <c r="BV28" s="27">
        <v>2.2222851000000001E-3</v>
      </c>
      <c r="BW28" s="27">
        <v>11.323135994999999</v>
      </c>
      <c r="BX28" s="27">
        <v>9.6445257100000001E-2</v>
      </c>
      <c r="BY28" s="80" t="s">
        <v>136</v>
      </c>
      <c r="BZ28" s="80">
        <v>0</v>
      </c>
      <c r="CA28" s="80" t="s">
        <v>136</v>
      </c>
      <c r="CB28" s="80">
        <v>0</v>
      </c>
      <c r="CC28" s="27">
        <v>2.2081590527000001</v>
      </c>
      <c r="CD28" s="27">
        <v>3.3099009E-3</v>
      </c>
      <c r="CE28" s="27">
        <v>5.4143903217</v>
      </c>
      <c r="CF28" s="92">
        <v>1.2786038600000001E-2</v>
      </c>
      <c r="CG28" s="80" t="s">
        <v>136</v>
      </c>
      <c r="CH28" s="80">
        <v>0</v>
      </c>
      <c r="CI28" s="80" t="s">
        <v>136</v>
      </c>
      <c r="CJ28" s="80">
        <v>0</v>
      </c>
      <c r="CK28" s="80" t="s">
        <v>136</v>
      </c>
      <c r="CL28" s="80">
        <v>0</v>
      </c>
      <c r="CM28" s="80" t="s">
        <v>136</v>
      </c>
      <c r="CN28" s="80">
        <v>0</v>
      </c>
      <c r="CO28" s="79">
        <v>3.3325541799999997E-2</v>
      </c>
      <c r="CP28" s="27">
        <v>5.1435249999999999E-4</v>
      </c>
      <c r="CQ28" s="27">
        <v>9.4189152499999998E-2</v>
      </c>
      <c r="CR28" s="27">
        <v>1.1049669000000001E-3</v>
      </c>
      <c r="CS28" s="27">
        <v>0.7131571404</v>
      </c>
      <c r="CT28" s="27">
        <v>8.5176325000000004E-3</v>
      </c>
      <c r="CU28" s="27">
        <v>13.271840332</v>
      </c>
      <c r="CV28" s="92">
        <v>0.32072166289999998</v>
      </c>
      <c r="CW28" s="80" t="s">
        <v>136</v>
      </c>
      <c r="CX28" s="80">
        <v>0</v>
      </c>
      <c r="CY28" s="80" t="s">
        <v>136</v>
      </c>
      <c r="CZ28" s="80">
        <v>0</v>
      </c>
      <c r="DA28" s="79">
        <v>10.184604855</v>
      </c>
      <c r="DB28" s="27">
        <v>0.17539661779999999</v>
      </c>
      <c r="DC28" s="27">
        <v>35.476137968000003</v>
      </c>
      <c r="DD28" s="27">
        <v>1.5835551726999999</v>
      </c>
      <c r="DE28" s="27">
        <v>8.0561598401999994</v>
      </c>
      <c r="DF28" s="27">
        <v>0.30919372719999999</v>
      </c>
      <c r="DG28" s="27">
        <v>76.527547150999993</v>
      </c>
      <c r="DH28" s="92">
        <v>0.77464790949999995</v>
      </c>
      <c r="DI28" s="95">
        <v>6.2994950000000004E-4</v>
      </c>
      <c r="DJ28" s="96">
        <v>1.0449919E-3</v>
      </c>
      <c r="DK28" s="96">
        <v>1.1189373000000001E-3</v>
      </c>
      <c r="DL28" s="96">
        <v>1.1312974E-3</v>
      </c>
      <c r="DM28" s="96">
        <v>1.1376254000000001E-3</v>
      </c>
      <c r="DN28" s="96">
        <v>1.1376254000000001E-3</v>
      </c>
      <c r="DO28" s="96">
        <v>1.1376254000000001E-3</v>
      </c>
      <c r="DP28" s="96">
        <v>1.1376254000000001E-3</v>
      </c>
      <c r="DQ28" s="96">
        <v>1.1376254000000001E-3</v>
      </c>
      <c r="DR28" s="97">
        <v>1.1376254000000001E-3</v>
      </c>
      <c r="DS28" s="93">
        <v>64.236686380999998</v>
      </c>
      <c r="DT28" s="80">
        <v>0.45542351710000001</v>
      </c>
      <c r="DU28" s="80">
        <v>28.657794920000001</v>
      </c>
      <c r="DV28" s="80">
        <v>0.21212142210000001</v>
      </c>
      <c r="DW28" s="80">
        <v>12.343899242000001</v>
      </c>
      <c r="DX28" s="80">
        <v>9.5423239300000004E-2</v>
      </c>
      <c r="DY28" s="80">
        <v>5.1804154328000003</v>
      </c>
      <c r="DZ28" s="80">
        <v>4.2316881399999999E-2</v>
      </c>
      <c r="EA28" s="80">
        <v>2.1686057865000001</v>
      </c>
      <c r="EB28" s="80">
        <v>1.9040274699999998E-2</v>
      </c>
      <c r="EC28" s="80">
        <v>0.94158682549999995</v>
      </c>
      <c r="ED28" s="80">
        <v>9.2057553E-3</v>
      </c>
      <c r="EE28" s="80">
        <v>0.43774790879999997</v>
      </c>
      <c r="EF28" s="80">
        <v>4.9979595999999999E-3</v>
      </c>
      <c r="EG28" s="80">
        <v>0.21799627539999999</v>
      </c>
      <c r="EH28" s="80">
        <v>3.0442237999999998E-3</v>
      </c>
      <c r="EI28" s="80">
        <v>0.1194005241</v>
      </c>
      <c r="EJ28" s="80">
        <v>2.1014305999999998E-3</v>
      </c>
      <c r="EK28" s="80">
        <v>7.5251152700000004E-2</v>
      </c>
      <c r="EL28" s="94">
        <v>1.6166314E-3</v>
      </c>
    </row>
    <row r="29" spans="1:142" x14ac:dyDescent="0.2">
      <c r="A29" s="79">
        <v>2400</v>
      </c>
      <c r="B29" s="27">
        <v>4259</v>
      </c>
      <c r="C29" s="79">
        <v>1382.7909161</v>
      </c>
      <c r="D29" s="27">
        <v>2349.5238214000001</v>
      </c>
      <c r="E29" s="27">
        <v>36.468931976999997</v>
      </c>
      <c r="F29" s="27">
        <v>4.8662377E-2</v>
      </c>
      <c r="G29" s="79">
        <v>1.0287442572000001</v>
      </c>
      <c r="H29" s="27">
        <v>7.1755300000000001E-4</v>
      </c>
      <c r="I29" s="27">
        <v>141.05212750000001</v>
      </c>
      <c r="J29" s="27">
        <v>0.94609779189999998</v>
      </c>
      <c r="K29" s="27">
        <v>51.090956763999998</v>
      </c>
      <c r="L29" s="27">
        <v>0.3177895221</v>
      </c>
      <c r="M29" s="27">
        <v>12.085929135000001</v>
      </c>
      <c r="N29" s="27">
        <v>0.1038284478</v>
      </c>
      <c r="O29" s="80" t="s">
        <v>136</v>
      </c>
      <c r="P29" s="80">
        <v>0</v>
      </c>
      <c r="Q29" s="27">
        <v>8.4284669930000007</v>
      </c>
      <c r="R29" s="27">
        <v>1.7546115899999999E-2</v>
      </c>
      <c r="S29" s="80" t="s">
        <v>136</v>
      </c>
      <c r="T29" s="80">
        <v>0</v>
      </c>
      <c r="U29" s="80" t="s">
        <v>136</v>
      </c>
      <c r="V29" s="80">
        <v>0</v>
      </c>
      <c r="W29" s="27">
        <v>0.13611735859999999</v>
      </c>
      <c r="X29" s="27">
        <v>1.7098006E-3</v>
      </c>
      <c r="Y29" s="27">
        <v>14.594988427000001</v>
      </c>
      <c r="Z29" s="27">
        <v>0.34219025870000003</v>
      </c>
      <c r="AA29" s="80" t="s">
        <v>136</v>
      </c>
      <c r="AB29" s="80">
        <v>0</v>
      </c>
      <c r="AC29" s="27">
        <v>0</v>
      </c>
      <c r="AD29" s="27">
        <v>0</v>
      </c>
      <c r="AE29" s="80" t="s">
        <v>136</v>
      </c>
      <c r="AF29" s="80">
        <v>0</v>
      </c>
      <c r="AG29" s="80" t="s">
        <v>136</v>
      </c>
      <c r="AH29" s="80">
        <v>0</v>
      </c>
      <c r="AI29" s="27">
        <f t="shared" si="0"/>
        <v>0</v>
      </c>
      <c r="AJ29" s="27">
        <f t="shared" si="1"/>
        <v>0</v>
      </c>
      <c r="AK29" s="27">
        <v>79.542073259999995</v>
      </c>
      <c r="AL29" s="27">
        <v>1.2362785516000001</v>
      </c>
      <c r="AM29" s="80" t="s">
        <v>136</v>
      </c>
      <c r="AN29" s="80">
        <v>0</v>
      </c>
      <c r="AO29" s="80" t="s">
        <v>136</v>
      </c>
      <c r="AP29" s="80">
        <v>0</v>
      </c>
      <c r="AQ29" s="80" t="s">
        <v>136</v>
      </c>
      <c r="AR29" s="80">
        <v>0</v>
      </c>
      <c r="AS29" s="27">
        <v>47.263184234999997</v>
      </c>
      <c r="AT29" s="27">
        <v>1.8073054577000001</v>
      </c>
      <c r="AU29" s="27">
        <v>33.799342967000001</v>
      </c>
      <c r="AV29" s="27">
        <v>0.3048129866</v>
      </c>
      <c r="AW29" s="27">
        <v>15.476035601</v>
      </c>
      <c r="AX29" s="27">
        <v>0.18107646520000001</v>
      </c>
      <c r="AY29" s="27">
        <v>6.9210829886000003</v>
      </c>
      <c r="AZ29" s="27">
        <v>7.0294130999999996E-2</v>
      </c>
      <c r="BA29" s="80">
        <f t="shared" si="2"/>
        <v>11.402224377400003</v>
      </c>
      <c r="BB29" s="80">
        <f t="shared" si="3"/>
        <v>5.3442390399999984E-2</v>
      </c>
      <c r="BC29" s="27">
        <v>0</v>
      </c>
      <c r="BD29" s="80">
        <v>0</v>
      </c>
      <c r="BE29" s="27">
        <v>87.848782896000003</v>
      </c>
      <c r="BF29" s="27">
        <v>1.1172998026000001</v>
      </c>
      <c r="BG29" s="79">
        <v>1.2937287999999999E-3</v>
      </c>
      <c r="BH29" s="80">
        <v>0</v>
      </c>
      <c r="BI29" s="27">
        <v>106.33950495000001</v>
      </c>
      <c r="BJ29" s="27">
        <v>3.7468426547</v>
      </c>
      <c r="BK29" s="27">
        <v>85.722061229000005</v>
      </c>
      <c r="BL29" s="27">
        <v>0.67031507680000002</v>
      </c>
      <c r="BM29" s="27">
        <v>27.560832914999999</v>
      </c>
      <c r="BN29" s="27">
        <v>0.16191663319999999</v>
      </c>
      <c r="BO29" s="27">
        <v>4.66656737E-2</v>
      </c>
      <c r="BP29" s="27">
        <v>4.8607400000000002E-4</v>
      </c>
      <c r="BQ29" s="27">
        <v>0</v>
      </c>
      <c r="BR29" s="92">
        <v>0</v>
      </c>
      <c r="BS29" s="80" t="s">
        <v>136</v>
      </c>
      <c r="BT29" s="80">
        <v>0</v>
      </c>
      <c r="BU29" s="79">
        <v>0.16404427399999999</v>
      </c>
      <c r="BV29" s="27">
        <v>2.2820279000000001E-3</v>
      </c>
      <c r="BW29" s="27">
        <v>11.921884861000001</v>
      </c>
      <c r="BX29" s="27">
        <v>0.10154642</v>
      </c>
      <c r="BY29" s="80" t="s">
        <v>136</v>
      </c>
      <c r="BZ29" s="80">
        <v>0</v>
      </c>
      <c r="CA29" s="80" t="s">
        <v>136</v>
      </c>
      <c r="CB29" s="80">
        <v>0</v>
      </c>
      <c r="CC29" s="27">
        <v>2.5138359720999999</v>
      </c>
      <c r="CD29" s="27">
        <v>3.6482710999999998E-3</v>
      </c>
      <c r="CE29" s="27">
        <v>5.9146310208999999</v>
      </c>
      <c r="CF29" s="92">
        <v>1.3897844899999999E-2</v>
      </c>
      <c r="CG29" s="80" t="s">
        <v>136</v>
      </c>
      <c r="CH29" s="80">
        <v>0</v>
      </c>
      <c r="CI29" s="80" t="s">
        <v>136</v>
      </c>
      <c r="CJ29" s="80">
        <v>0</v>
      </c>
      <c r="CK29" s="80" t="s">
        <v>136</v>
      </c>
      <c r="CL29" s="80">
        <v>0</v>
      </c>
      <c r="CM29" s="80" t="s">
        <v>136</v>
      </c>
      <c r="CN29" s="80">
        <v>0</v>
      </c>
      <c r="CO29" s="79">
        <v>3.6630569000000002E-2</v>
      </c>
      <c r="CP29" s="27">
        <v>5.574992E-4</v>
      </c>
      <c r="CQ29" s="27">
        <v>9.94867896E-2</v>
      </c>
      <c r="CR29" s="27">
        <v>1.1523014E-3</v>
      </c>
      <c r="CS29" s="27">
        <v>0.79855948460000004</v>
      </c>
      <c r="CT29" s="27">
        <v>9.4546804000000002E-3</v>
      </c>
      <c r="CU29" s="27">
        <v>13.796428943</v>
      </c>
      <c r="CV29" s="92">
        <v>0.33273557819999999</v>
      </c>
      <c r="CW29" s="80" t="s">
        <v>136</v>
      </c>
      <c r="CX29" s="80">
        <v>0</v>
      </c>
      <c r="CY29" s="80" t="s">
        <v>136</v>
      </c>
      <c r="CZ29" s="80">
        <v>0</v>
      </c>
      <c r="DA29" s="79">
        <v>10.671681069</v>
      </c>
      <c r="DB29" s="27">
        <v>0.1819541908</v>
      </c>
      <c r="DC29" s="27">
        <v>36.591503166000003</v>
      </c>
      <c r="DD29" s="27">
        <v>1.6253512669000001</v>
      </c>
      <c r="DE29" s="27">
        <v>8.5904802194999998</v>
      </c>
      <c r="DF29" s="27">
        <v>0.32099821820000002</v>
      </c>
      <c r="DG29" s="27">
        <v>79.258302677000003</v>
      </c>
      <c r="DH29" s="92">
        <v>0.79630158439999998</v>
      </c>
      <c r="DI29" s="95">
        <v>7.1546999999999995E-4</v>
      </c>
      <c r="DJ29" s="96">
        <v>1.1932033E-3</v>
      </c>
      <c r="DK29" s="96">
        <v>1.2753E-3</v>
      </c>
      <c r="DL29" s="96">
        <v>1.2874764E-3</v>
      </c>
      <c r="DM29" s="96">
        <v>1.2937287999999999E-3</v>
      </c>
      <c r="DN29" s="96">
        <v>1.2937287999999999E-3</v>
      </c>
      <c r="DO29" s="96">
        <v>1.2937287999999999E-3</v>
      </c>
      <c r="DP29" s="96">
        <v>1.2937287999999999E-3</v>
      </c>
      <c r="DQ29" s="96">
        <v>1.2937287999999999E-3</v>
      </c>
      <c r="DR29" s="97">
        <v>1.2937287999999999E-3</v>
      </c>
      <c r="DS29" s="93">
        <v>66.229558028</v>
      </c>
      <c r="DT29" s="80">
        <v>0.4691802813</v>
      </c>
      <c r="DU29" s="80">
        <v>29.955080236000001</v>
      </c>
      <c r="DV29" s="80">
        <v>0.2213697308</v>
      </c>
      <c r="DW29" s="80">
        <v>13.102450148000001</v>
      </c>
      <c r="DX29" s="80">
        <v>0.1010601606</v>
      </c>
      <c r="DY29" s="80">
        <v>5.5959404775000001</v>
      </c>
      <c r="DZ29" s="80">
        <v>4.5571639300000001E-2</v>
      </c>
      <c r="EA29" s="80">
        <v>2.3860049277000002</v>
      </c>
      <c r="EB29" s="80">
        <v>2.08933096E-2</v>
      </c>
      <c r="EC29" s="80">
        <v>1.0555916490999999</v>
      </c>
      <c r="ED29" s="80">
        <v>1.03114361E-2</v>
      </c>
      <c r="EE29" s="80">
        <v>0.4997215746</v>
      </c>
      <c r="EF29" s="80">
        <v>5.7117128999999997E-3</v>
      </c>
      <c r="EG29" s="80">
        <v>0.25146104809999997</v>
      </c>
      <c r="EH29" s="80">
        <v>3.5318175999999998E-3</v>
      </c>
      <c r="EI29" s="80">
        <v>0.1391585981</v>
      </c>
      <c r="EJ29" s="80">
        <v>2.4735738E-3</v>
      </c>
      <c r="EK29" s="80">
        <v>8.8553636699999994E-2</v>
      </c>
      <c r="EL29" s="94">
        <v>1.9252838999999999E-3</v>
      </c>
    </row>
    <row r="30" spans="1:142" x14ac:dyDescent="0.2">
      <c r="A30" s="79">
        <v>2500</v>
      </c>
      <c r="B30" s="27">
        <v>3893</v>
      </c>
      <c r="C30" s="79">
        <v>1422.4304714</v>
      </c>
      <c r="D30" s="27">
        <v>2449.0350827000002</v>
      </c>
      <c r="E30" s="27">
        <v>38.420865399999997</v>
      </c>
      <c r="F30" s="27">
        <v>5.0306676500000001E-2</v>
      </c>
      <c r="G30" s="79">
        <v>1.1879579363999999</v>
      </c>
      <c r="H30" s="27">
        <v>8.0302680000000003E-4</v>
      </c>
      <c r="I30" s="27">
        <v>143.48448288</v>
      </c>
      <c r="J30" s="27">
        <v>0.9615791534</v>
      </c>
      <c r="K30" s="27">
        <v>52.596462052</v>
      </c>
      <c r="L30" s="27">
        <v>0.32642359729999998</v>
      </c>
      <c r="M30" s="27">
        <v>12.489192671</v>
      </c>
      <c r="N30" s="27">
        <v>0.1071354828</v>
      </c>
      <c r="O30" s="80" t="s">
        <v>136</v>
      </c>
      <c r="P30" s="80">
        <v>0</v>
      </c>
      <c r="Q30" s="27">
        <v>9.2369791217999992</v>
      </c>
      <c r="R30" s="27">
        <v>1.8912404099999999E-2</v>
      </c>
      <c r="S30" s="80" t="s">
        <v>136</v>
      </c>
      <c r="T30" s="80">
        <v>0</v>
      </c>
      <c r="U30" s="80" t="s">
        <v>136</v>
      </c>
      <c r="V30" s="80">
        <v>0</v>
      </c>
      <c r="W30" s="27">
        <v>0.15586774049999999</v>
      </c>
      <c r="X30" s="27">
        <v>1.9322485000000001E-3</v>
      </c>
      <c r="Y30" s="27">
        <v>15.301296484</v>
      </c>
      <c r="Z30" s="27">
        <v>0.35744240999999999</v>
      </c>
      <c r="AA30" s="80" t="s">
        <v>136</v>
      </c>
      <c r="AB30" s="80">
        <v>0</v>
      </c>
      <c r="AC30" s="27">
        <v>0</v>
      </c>
      <c r="AD30" s="27">
        <v>0</v>
      </c>
      <c r="AE30" s="80" t="s">
        <v>136</v>
      </c>
      <c r="AF30" s="80">
        <v>0</v>
      </c>
      <c r="AG30" s="80" t="s">
        <v>136</v>
      </c>
      <c r="AH30" s="80">
        <v>0</v>
      </c>
      <c r="AI30" s="27">
        <f t="shared" si="0"/>
        <v>0</v>
      </c>
      <c r="AJ30" s="27">
        <f t="shared" si="1"/>
        <v>0</v>
      </c>
      <c r="AK30" s="27">
        <v>81.727945395999996</v>
      </c>
      <c r="AL30" s="27">
        <v>1.2604515104</v>
      </c>
      <c r="AM30" s="80" t="s">
        <v>136</v>
      </c>
      <c r="AN30" s="80">
        <v>0</v>
      </c>
      <c r="AO30" s="80" t="s">
        <v>136</v>
      </c>
      <c r="AP30" s="80">
        <v>0</v>
      </c>
      <c r="AQ30" s="80" t="s">
        <v>136</v>
      </c>
      <c r="AR30" s="80">
        <v>0</v>
      </c>
      <c r="AS30" s="27">
        <v>48.691488751999998</v>
      </c>
      <c r="AT30" s="27">
        <v>1.8497201377000001</v>
      </c>
      <c r="AU30" s="27">
        <v>35.273826188000001</v>
      </c>
      <c r="AV30" s="27">
        <v>0.3146600296</v>
      </c>
      <c r="AW30" s="27">
        <v>16.112533309</v>
      </c>
      <c r="AX30" s="27">
        <v>0.18671401939999999</v>
      </c>
      <c r="AY30" s="27">
        <v>7.1822182212000003</v>
      </c>
      <c r="AZ30" s="27">
        <v>7.2259782999999994E-2</v>
      </c>
      <c r="BA30" s="80">
        <f t="shared" si="2"/>
        <v>11.979074657800002</v>
      </c>
      <c r="BB30" s="80">
        <f t="shared" si="3"/>
        <v>5.5686227199999994E-2</v>
      </c>
      <c r="BC30" s="27">
        <v>0</v>
      </c>
      <c r="BD30" s="80">
        <v>0</v>
      </c>
      <c r="BE30" s="27">
        <v>90.829213877000001</v>
      </c>
      <c r="BF30" s="27">
        <v>1.1461365272999999</v>
      </c>
      <c r="BG30" s="79">
        <v>1.4548035999999999E-3</v>
      </c>
      <c r="BH30" s="80">
        <v>0</v>
      </c>
      <c r="BI30" s="27">
        <v>109.10356134</v>
      </c>
      <c r="BJ30" s="27">
        <v>3.8104974179000002</v>
      </c>
      <c r="BK30" s="27">
        <v>90.979645035000004</v>
      </c>
      <c r="BL30" s="27">
        <v>0.70969905160000002</v>
      </c>
      <c r="BM30" s="27">
        <v>29.012513448</v>
      </c>
      <c r="BN30" s="27">
        <v>0.16858961729999999</v>
      </c>
      <c r="BO30" s="27">
        <v>4.5991590800000003E-2</v>
      </c>
      <c r="BP30" s="27">
        <v>4.788684E-4</v>
      </c>
      <c r="BQ30" s="27">
        <v>0</v>
      </c>
      <c r="BR30" s="92">
        <v>0</v>
      </c>
      <c r="BS30" s="80" t="s">
        <v>136</v>
      </c>
      <c r="BT30" s="80">
        <v>0</v>
      </c>
      <c r="BU30" s="79">
        <v>0.1715862387</v>
      </c>
      <c r="BV30" s="27">
        <v>2.3632616E-3</v>
      </c>
      <c r="BW30" s="27">
        <v>12.317606433</v>
      </c>
      <c r="BX30" s="27">
        <v>0.1047722212</v>
      </c>
      <c r="BY30" s="80" t="s">
        <v>136</v>
      </c>
      <c r="BZ30" s="80">
        <v>0</v>
      </c>
      <c r="CA30" s="80" t="s">
        <v>136</v>
      </c>
      <c r="CB30" s="80">
        <v>0</v>
      </c>
      <c r="CC30" s="27">
        <v>2.8962802527</v>
      </c>
      <c r="CD30" s="27">
        <v>4.0413801000000003E-3</v>
      </c>
      <c r="CE30" s="27">
        <v>6.3406988690999997</v>
      </c>
      <c r="CF30" s="92">
        <v>1.4871024E-2</v>
      </c>
      <c r="CG30" s="80" t="s">
        <v>136</v>
      </c>
      <c r="CH30" s="80">
        <v>0</v>
      </c>
      <c r="CI30" s="80" t="s">
        <v>136</v>
      </c>
      <c r="CJ30" s="80">
        <v>0</v>
      </c>
      <c r="CK30" s="80" t="s">
        <v>136</v>
      </c>
      <c r="CL30" s="80">
        <v>0</v>
      </c>
      <c r="CM30" s="80" t="s">
        <v>136</v>
      </c>
      <c r="CN30" s="80">
        <v>0</v>
      </c>
      <c r="CO30" s="79">
        <v>4.26572375E-2</v>
      </c>
      <c r="CP30" s="27">
        <v>6.1976839999999995E-4</v>
      </c>
      <c r="CQ30" s="27">
        <v>0.113210503</v>
      </c>
      <c r="CR30" s="27">
        <v>1.3124801E-3</v>
      </c>
      <c r="CS30" s="27">
        <v>0.84004842899999999</v>
      </c>
      <c r="CT30" s="27">
        <v>9.9953969E-3</v>
      </c>
      <c r="CU30" s="27">
        <v>14.461248055</v>
      </c>
      <c r="CV30" s="92">
        <v>0.34744701309999998</v>
      </c>
      <c r="CW30" s="80" t="s">
        <v>136</v>
      </c>
      <c r="CX30" s="80">
        <v>0</v>
      </c>
      <c r="CY30" s="80" t="s">
        <v>136</v>
      </c>
      <c r="CZ30" s="80">
        <v>0</v>
      </c>
      <c r="DA30" s="79">
        <v>11.096949485</v>
      </c>
      <c r="DB30" s="27">
        <v>0.1878971737</v>
      </c>
      <c r="DC30" s="27">
        <v>37.594539267000002</v>
      </c>
      <c r="DD30" s="27">
        <v>1.6618229641</v>
      </c>
      <c r="DE30" s="27">
        <v>9.0156586660000002</v>
      </c>
      <c r="DF30" s="27">
        <v>0.33088654299999998</v>
      </c>
      <c r="DG30" s="27">
        <v>81.813555210999994</v>
      </c>
      <c r="DH30" s="92">
        <v>0.81524998429999995</v>
      </c>
      <c r="DI30" s="95">
        <v>8.0097570000000002E-4</v>
      </c>
      <c r="DJ30" s="96">
        <v>1.339923E-3</v>
      </c>
      <c r="DK30" s="96">
        <v>1.4365952E-3</v>
      </c>
      <c r="DL30" s="96">
        <v>1.448616E-3</v>
      </c>
      <c r="DM30" s="96">
        <v>1.4548035999999999E-3</v>
      </c>
      <c r="DN30" s="96">
        <v>1.4548035999999999E-3</v>
      </c>
      <c r="DO30" s="96">
        <v>1.4548035999999999E-3</v>
      </c>
      <c r="DP30" s="96">
        <v>1.4548035999999999E-3</v>
      </c>
      <c r="DQ30" s="96">
        <v>1.4548035999999999E-3</v>
      </c>
      <c r="DR30" s="97">
        <v>1.4548035999999999E-3</v>
      </c>
      <c r="DS30" s="93">
        <v>68.005338300000005</v>
      </c>
      <c r="DT30" s="80">
        <v>0.48075520640000002</v>
      </c>
      <c r="DU30" s="80">
        <v>31.066394656</v>
      </c>
      <c r="DV30" s="80">
        <v>0.22886792</v>
      </c>
      <c r="DW30" s="80">
        <v>13.743419789000001</v>
      </c>
      <c r="DX30" s="80">
        <v>0.1055304483</v>
      </c>
      <c r="DY30" s="80">
        <v>5.9453696361999997</v>
      </c>
      <c r="DZ30" s="80">
        <v>4.8083813099999997E-2</v>
      </c>
      <c r="EA30" s="80">
        <v>2.5884818163999999</v>
      </c>
      <c r="EB30" s="80">
        <v>2.24005587E-2</v>
      </c>
      <c r="EC30" s="80">
        <v>1.1725318194000001</v>
      </c>
      <c r="ED30" s="80">
        <v>1.11951815E-2</v>
      </c>
      <c r="EE30" s="80">
        <v>0.55937220789999997</v>
      </c>
      <c r="EF30" s="80">
        <v>6.1878719999999996E-3</v>
      </c>
      <c r="EG30" s="80">
        <v>0.2817189376</v>
      </c>
      <c r="EH30" s="80">
        <v>3.7911017000000001E-3</v>
      </c>
      <c r="EI30" s="80">
        <v>0.15025970659999999</v>
      </c>
      <c r="EJ30" s="80">
        <v>2.5929270000000001E-3</v>
      </c>
      <c r="EK30" s="80">
        <v>9.4580467799999998E-2</v>
      </c>
      <c r="EL30" s="94">
        <v>2.0018486999999999E-3</v>
      </c>
    </row>
    <row r="31" spans="1:142" x14ac:dyDescent="0.2">
      <c r="A31" s="79">
        <v>2600</v>
      </c>
      <c r="B31" s="27">
        <v>3860</v>
      </c>
      <c r="C31" s="79">
        <v>1461.1882991</v>
      </c>
      <c r="D31" s="27">
        <v>2549.7226528000001</v>
      </c>
      <c r="E31" s="27">
        <v>40.360292475999998</v>
      </c>
      <c r="F31" s="27">
        <v>5.1945943699999997E-2</v>
      </c>
      <c r="G31" s="79">
        <v>1.3633759423</v>
      </c>
      <c r="H31" s="27">
        <v>8.9577829999999995E-4</v>
      </c>
      <c r="I31" s="27">
        <v>145.97014279999999</v>
      </c>
      <c r="J31" s="27">
        <v>0.9774346652</v>
      </c>
      <c r="K31" s="27">
        <v>53.875988843000002</v>
      </c>
      <c r="L31" s="27">
        <v>0.33455799819999998</v>
      </c>
      <c r="M31" s="27">
        <v>13.023325424999999</v>
      </c>
      <c r="N31" s="27">
        <v>0.1113796754</v>
      </c>
      <c r="O31" s="80" t="s">
        <v>136</v>
      </c>
      <c r="P31" s="80">
        <v>0</v>
      </c>
      <c r="Q31" s="27">
        <v>10.037628568000001</v>
      </c>
      <c r="R31" s="27">
        <v>2.0361306700000002E-2</v>
      </c>
      <c r="S31" s="80" t="s">
        <v>136</v>
      </c>
      <c r="T31" s="80">
        <v>0</v>
      </c>
      <c r="U31" s="80" t="s">
        <v>136</v>
      </c>
      <c r="V31" s="80">
        <v>0</v>
      </c>
      <c r="W31" s="27">
        <v>0.17096634599999999</v>
      </c>
      <c r="X31" s="27">
        <v>2.0891591000000002E-3</v>
      </c>
      <c r="Y31" s="27">
        <v>16.275772156999999</v>
      </c>
      <c r="Z31" s="27">
        <v>0.37788990220000002</v>
      </c>
      <c r="AA31" s="80" t="s">
        <v>136</v>
      </c>
      <c r="AB31" s="80">
        <v>0</v>
      </c>
      <c r="AC31" s="27">
        <v>0</v>
      </c>
      <c r="AD31" s="27">
        <v>0</v>
      </c>
      <c r="AE31" s="80" t="s">
        <v>136</v>
      </c>
      <c r="AF31" s="80">
        <v>0</v>
      </c>
      <c r="AG31" s="80" t="s">
        <v>136</v>
      </c>
      <c r="AH31" s="80">
        <v>0</v>
      </c>
      <c r="AI31" s="27">
        <f t="shared" si="0"/>
        <v>0</v>
      </c>
      <c r="AJ31" s="27">
        <f t="shared" si="1"/>
        <v>0</v>
      </c>
      <c r="AK31" s="27">
        <v>83.937972475999999</v>
      </c>
      <c r="AL31" s="27">
        <v>1.2834829477</v>
      </c>
      <c r="AM31" s="80" t="s">
        <v>136</v>
      </c>
      <c r="AN31" s="80">
        <v>0</v>
      </c>
      <c r="AO31" s="80" t="s">
        <v>136</v>
      </c>
      <c r="AP31" s="80">
        <v>0</v>
      </c>
      <c r="AQ31" s="80" t="s">
        <v>136</v>
      </c>
      <c r="AR31" s="80">
        <v>0</v>
      </c>
      <c r="AS31" s="27">
        <v>50.053241215</v>
      </c>
      <c r="AT31" s="27">
        <v>1.8884956771999999</v>
      </c>
      <c r="AU31" s="27">
        <v>36.684652907</v>
      </c>
      <c r="AV31" s="27">
        <v>0.32366989210000002</v>
      </c>
      <c r="AW31" s="27">
        <v>16.728631687</v>
      </c>
      <c r="AX31" s="27">
        <v>0.1920808544</v>
      </c>
      <c r="AY31" s="27">
        <v>7.4354003039999998</v>
      </c>
      <c r="AZ31" s="27">
        <v>7.3959952600000003E-2</v>
      </c>
      <c r="BA31" s="80">
        <f t="shared" si="2"/>
        <v>12.520620915999999</v>
      </c>
      <c r="BB31" s="80">
        <f t="shared" si="3"/>
        <v>5.7629085100000033E-2</v>
      </c>
      <c r="BC31" s="27">
        <v>0</v>
      </c>
      <c r="BD31" s="80">
        <v>0</v>
      </c>
      <c r="BE31" s="27">
        <v>93.726197522000007</v>
      </c>
      <c r="BF31" s="27">
        <v>1.1739210959999999</v>
      </c>
      <c r="BG31" s="79">
        <v>1.6358093000000001E-3</v>
      </c>
      <c r="BH31" s="80">
        <v>0</v>
      </c>
      <c r="BI31" s="27">
        <v>111.99557142</v>
      </c>
      <c r="BJ31" s="27">
        <v>3.8790912708</v>
      </c>
      <c r="BK31" s="27">
        <v>96.508166207000002</v>
      </c>
      <c r="BL31" s="27">
        <v>0.74971000129999998</v>
      </c>
      <c r="BM31" s="27">
        <v>30.507252895000001</v>
      </c>
      <c r="BN31" s="27">
        <v>0.17547027409999999</v>
      </c>
      <c r="BO31" s="27">
        <v>4.8895635200000002E-2</v>
      </c>
      <c r="BP31" s="27">
        <v>4.9410619999999998E-4</v>
      </c>
      <c r="BQ31" s="27">
        <v>0</v>
      </c>
      <c r="BR31" s="92">
        <v>0</v>
      </c>
      <c r="BS31" s="80" t="s">
        <v>136</v>
      </c>
      <c r="BT31" s="80">
        <v>0</v>
      </c>
      <c r="BU31" s="79">
        <v>0.17840915669999999</v>
      </c>
      <c r="BV31" s="27">
        <v>2.5473679999999999E-3</v>
      </c>
      <c r="BW31" s="27">
        <v>12.844916268</v>
      </c>
      <c r="BX31" s="27">
        <v>0.10883230739999999</v>
      </c>
      <c r="BY31" s="80" t="s">
        <v>136</v>
      </c>
      <c r="BZ31" s="80">
        <v>0</v>
      </c>
      <c r="CA31" s="80" t="s">
        <v>136</v>
      </c>
      <c r="CB31" s="80">
        <v>0</v>
      </c>
      <c r="CC31" s="27">
        <v>3.2499438847</v>
      </c>
      <c r="CD31" s="27">
        <v>4.4332340999999999E-3</v>
      </c>
      <c r="CE31" s="27">
        <v>6.7876846837000002</v>
      </c>
      <c r="CF31" s="92">
        <v>1.5928072500000001E-2</v>
      </c>
      <c r="CG31" s="80" t="s">
        <v>136</v>
      </c>
      <c r="CH31" s="80">
        <v>0</v>
      </c>
      <c r="CI31" s="80" t="s">
        <v>136</v>
      </c>
      <c r="CJ31" s="80">
        <v>0</v>
      </c>
      <c r="CK31" s="80" t="s">
        <v>136</v>
      </c>
      <c r="CL31" s="80">
        <v>0</v>
      </c>
      <c r="CM31" s="80" t="s">
        <v>136</v>
      </c>
      <c r="CN31" s="80">
        <v>0</v>
      </c>
      <c r="CO31" s="79">
        <v>4.3293933899999998E-2</v>
      </c>
      <c r="CP31" s="27">
        <v>6.1956179999999997E-4</v>
      </c>
      <c r="CQ31" s="27">
        <v>0.12767241209999999</v>
      </c>
      <c r="CR31" s="27">
        <v>1.4695973000000001E-3</v>
      </c>
      <c r="CS31" s="27">
        <v>0.93445676659999999</v>
      </c>
      <c r="CT31" s="27">
        <v>1.06233118E-2</v>
      </c>
      <c r="CU31" s="27">
        <v>15.341315391</v>
      </c>
      <c r="CV31" s="92">
        <v>0.36726659049999999</v>
      </c>
      <c r="CW31" s="80" t="s">
        <v>136</v>
      </c>
      <c r="CX31" s="80">
        <v>0</v>
      </c>
      <c r="CY31" s="80" t="s">
        <v>136</v>
      </c>
      <c r="CZ31" s="80">
        <v>0</v>
      </c>
      <c r="DA31" s="79">
        <v>11.485380457</v>
      </c>
      <c r="DB31" s="27">
        <v>0.19303779660000001</v>
      </c>
      <c r="DC31" s="27">
        <v>38.567860758000002</v>
      </c>
      <c r="DD31" s="27">
        <v>1.6954578806</v>
      </c>
      <c r="DE31" s="27">
        <v>9.5731867262999994</v>
      </c>
      <c r="DF31" s="27">
        <v>0.34173967789999998</v>
      </c>
      <c r="DG31" s="27">
        <v>84.153010795</v>
      </c>
      <c r="DH31" s="92">
        <v>0.83218141810000001</v>
      </c>
      <c r="DI31" s="95">
        <v>8.9375849999999998E-4</v>
      </c>
      <c r="DJ31" s="96">
        <v>1.5004352999999999E-3</v>
      </c>
      <c r="DK31" s="96">
        <v>1.6178155E-3</v>
      </c>
      <c r="DL31" s="96">
        <v>1.6296849E-3</v>
      </c>
      <c r="DM31" s="96">
        <v>1.6358093000000001E-3</v>
      </c>
      <c r="DN31" s="96">
        <v>1.6358093000000001E-3</v>
      </c>
      <c r="DO31" s="96">
        <v>1.6358093000000001E-3</v>
      </c>
      <c r="DP31" s="96">
        <v>1.6358093000000001E-3</v>
      </c>
      <c r="DQ31" s="96">
        <v>1.6358093000000001E-3</v>
      </c>
      <c r="DR31" s="97">
        <v>1.6358093000000001E-3</v>
      </c>
      <c r="DS31" s="93">
        <v>69.851616551000006</v>
      </c>
      <c r="DT31" s="80">
        <v>0.49297610330000002</v>
      </c>
      <c r="DU31" s="80">
        <v>32.267141832999997</v>
      </c>
      <c r="DV31" s="80">
        <v>0.23707732419999999</v>
      </c>
      <c r="DW31" s="80">
        <v>14.481133305</v>
      </c>
      <c r="DX31" s="80">
        <v>0.1107409972</v>
      </c>
      <c r="DY31" s="80">
        <v>6.3742086383999998</v>
      </c>
      <c r="DZ31" s="80">
        <v>5.1251750499999998E-2</v>
      </c>
      <c r="EA31" s="80">
        <v>2.8213572874000001</v>
      </c>
      <c r="EB31" s="80">
        <v>2.42645945E-2</v>
      </c>
      <c r="EC31" s="80">
        <v>1.2967637512000001</v>
      </c>
      <c r="ED31" s="80">
        <v>1.23032846E-2</v>
      </c>
      <c r="EE31" s="80">
        <v>0.6233376034</v>
      </c>
      <c r="EF31" s="80">
        <v>6.8709419999999997E-3</v>
      </c>
      <c r="EG31" s="80">
        <v>0.32300767899999999</v>
      </c>
      <c r="EH31" s="80">
        <v>4.2993883999999996E-3</v>
      </c>
      <c r="EI31" s="80">
        <v>0.17918535429999999</v>
      </c>
      <c r="EJ31" s="80">
        <v>2.9981821999999999E-3</v>
      </c>
      <c r="EK31" s="80">
        <v>0.1153564391</v>
      </c>
      <c r="EL31" s="94">
        <v>2.3343126000000001E-3</v>
      </c>
    </row>
    <row r="32" spans="1:142" x14ac:dyDescent="0.2">
      <c r="A32" s="79">
        <v>2700</v>
      </c>
      <c r="B32" s="27">
        <v>3593</v>
      </c>
      <c r="C32" s="79">
        <v>1499.202205</v>
      </c>
      <c r="D32" s="27">
        <v>2649.9477480999999</v>
      </c>
      <c r="E32" s="27">
        <v>42.414983931000002</v>
      </c>
      <c r="F32" s="27">
        <v>5.3585225799999997E-2</v>
      </c>
      <c r="G32" s="79">
        <v>1.56527697</v>
      </c>
      <c r="H32" s="27">
        <v>9.9428720000000002E-4</v>
      </c>
      <c r="I32" s="27">
        <v>148.26714408000001</v>
      </c>
      <c r="J32" s="27">
        <v>0.99233393089999999</v>
      </c>
      <c r="K32" s="27">
        <v>55.164623192999997</v>
      </c>
      <c r="L32" s="27">
        <v>0.34228713240000003</v>
      </c>
      <c r="M32" s="27">
        <v>13.515969205999999</v>
      </c>
      <c r="N32" s="27">
        <v>0.1152417469</v>
      </c>
      <c r="O32" s="80" t="s">
        <v>136</v>
      </c>
      <c r="P32" s="80">
        <v>0</v>
      </c>
      <c r="Q32" s="27">
        <v>10.850986240999999</v>
      </c>
      <c r="R32" s="27">
        <v>2.1648779600000001E-2</v>
      </c>
      <c r="S32" s="80" t="s">
        <v>136</v>
      </c>
      <c r="T32" s="80">
        <v>0</v>
      </c>
      <c r="U32" s="80" t="s">
        <v>136</v>
      </c>
      <c r="V32" s="80">
        <v>0</v>
      </c>
      <c r="W32" s="27">
        <v>0.1758721426</v>
      </c>
      <c r="X32" s="27">
        <v>2.1311335000000001E-3</v>
      </c>
      <c r="Y32" s="27">
        <v>16.860409992000001</v>
      </c>
      <c r="Z32" s="27">
        <v>0.39013433819999999</v>
      </c>
      <c r="AA32" s="80" t="s">
        <v>136</v>
      </c>
      <c r="AB32" s="80">
        <v>0</v>
      </c>
      <c r="AC32" s="27">
        <v>0</v>
      </c>
      <c r="AD32" s="27">
        <v>0</v>
      </c>
      <c r="AE32" s="80" t="s">
        <v>136</v>
      </c>
      <c r="AF32" s="80">
        <v>0</v>
      </c>
      <c r="AG32" s="80" t="s">
        <v>136</v>
      </c>
      <c r="AH32" s="80">
        <v>0</v>
      </c>
      <c r="AI32" s="27">
        <f t="shared" si="0"/>
        <v>0</v>
      </c>
      <c r="AJ32" s="27">
        <f t="shared" si="1"/>
        <v>0</v>
      </c>
      <c r="AK32" s="27">
        <v>86.018507937999999</v>
      </c>
      <c r="AL32" s="27">
        <v>1.3043565146</v>
      </c>
      <c r="AM32" s="80" t="s">
        <v>136</v>
      </c>
      <c r="AN32" s="80">
        <v>0</v>
      </c>
      <c r="AO32" s="80" t="s">
        <v>136</v>
      </c>
      <c r="AP32" s="80">
        <v>0</v>
      </c>
      <c r="AQ32" s="80" t="s">
        <v>136</v>
      </c>
      <c r="AR32" s="80">
        <v>0</v>
      </c>
      <c r="AS32" s="27">
        <v>51.428783789000001</v>
      </c>
      <c r="AT32" s="27">
        <v>1.9291350758000001</v>
      </c>
      <c r="AU32" s="27">
        <v>38.034764932000002</v>
      </c>
      <c r="AV32" s="27">
        <v>0.33218540759999998</v>
      </c>
      <c r="AW32" s="27">
        <v>17.288992029999999</v>
      </c>
      <c r="AX32" s="27">
        <v>0.1972220676</v>
      </c>
      <c r="AY32" s="27">
        <v>7.6911263769999998</v>
      </c>
      <c r="AZ32" s="27">
        <v>7.5603373200000004E-2</v>
      </c>
      <c r="BA32" s="80">
        <f t="shared" si="2"/>
        <v>13.054646525000003</v>
      </c>
      <c r="BB32" s="80">
        <f t="shared" si="3"/>
        <v>5.9359966799999997E-2</v>
      </c>
      <c r="BC32" s="27">
        <v>0</v>
      </c>
      <c r="BD32" s="80">
        <v>0</v>
      </c>
      <c r="BE32" s="27">
        <v>96.551422211000002</v>
      </c>
      <c r="BF32" s="27">
        <v>1.1999595300000001</v>
      </c>
      <c r="BG32" s="79">
        <v>1.8164122E-3</v>
      </c>
      <c r="BH32" s="80">
        <v>0</v>
      </c>
      <c r="BI32" s="27">
        <v>114.7233537</v>
      </c>
      <c r="BJ32" s="27">
        <v>3.9441139651000001</v>
      </c>
      <c r="BK32" s="27">
        <v>102.00706897000001</v>
      </c>
      <c r="BL32" s="27">
        <v>0.78978018130000005</v>
      </c>
      <c r="BM32" s="27">
        <v>32.048008181</v>
      </c>
      <c r="BN32" s="27">
        <v>0.1828279401</v>
      </c>
      <c r="BO32" s="27">
        <v>5.06270464E-2</v>
      </c>
      <c r="BP32" s="27">
        <v>4.9426220000000005E-4</v>
      </c>
      <c r="BQ32" s="27">
        <v>0</v>
      </c>
      <c r="BR32" s="92">
        <v>0</v>
      </c>
      <c r="BS32" s="80" t="s">
        <v>136</v>
      </c>
      <c r="BT32" s="80">
        <v>0</v>
      </c>
      <c r="BU32" s="79">
        <v>0.18295904020000001</v>
      </c>
      <c r="BV32" s="27">
        <v>2.5982230999999998E-3</v>
      </c>
      <c r="BW32" s="27">
        <v>13.333010165999999</v>
      </c>
      <c r="BX32" s="27">
        <v>0.1126435239</v>
      </c>
      <c r="BY32" s="80" t="s">
        <v>136</v>
      </c>
      <c r="BZ32" s="80">
        <v>0</v>
      </c>
      <c r="CA32" s="80" t="s">
        <v>136</v>
      </c>
      <c r="CB32" s="80">
        <v>0</v>
      </c>
      <c r="CC32" s="27">
        <v>3.6205903921</v>
      </c>
      <c r="CD32" s="27">
        <v>4.8104936000000001E-3</v>
      </c>
      <c r="CE32" s="27">
        <v>7.2303958485999997</v>
      </c>
      <c r="CF32" s="92">
        <v>1.6838286099999999E-2</v>
      </c>
      <c r="CG32" s="80" t="s">
        <v>136</v>
      </c>
      <c r="CH32" s="80">
        <v>0</v>
      </c>
      <c r="CI32" s="80" t="s">
        <v>136</v>
      </c>
      <c r="CJ32" s="80">
        <v>0</v>
      </c>
      <c r="CK32" s="80" t="s">
        <v>136</v>
      </c>
      <c r="CL32" s="80">
        <v>0</v>
      </c>
      <c r="CM32" s="80" t="s">
        <v>136</v>
      </c>
      <c r="CN32" s="80">
        <v>0</v>
      </c>
      <c r="CO32" s="79">
        <v>4.7504511999999999E-2</v>
      </c>
      <c r="CP32" s="27">
        <v>6.5071469999999996E-4</v>
      </c>
      <c r="CQ32" s="27">
        <v>0.1283676306</v>
      </c>
      <c r="CR32" s="27">
        <v>1.4804187999999999E-3</v>
      </c>
      <c r="CS32" s="27">
        <v>0.97861332570000004</v>
      </c>
      <c r="CT32" s="27">
        <v>1.0888875100000001E-2</v>
      </c>
      <c r="CU32" s="27">
        <v>15.881796666</v>
      </c>
      <c r="CV32" s="92">
        <v>0.37924546310000001</v>
      </c>
      <c r="CW32" s="80" t="s">
        <v>136</v>
      </c>
      <c r="CX32" s="80">
        <v>0</v>
      </c>
      <c r="CY32" s="80" t="s">
        <v>136</v>
      </c>
      <c r="CZ32" s="80">
        <v>0</v>
      </c>
      <c r="DA32" s="79">
        <v>11.878060806000001</v>
      </c>
      <c r="DB32" s="27">
        <v>0.19864789690000001</v>
      </c>
      <c r="DC32" s="27">
        <v>39.550722983</v>
      </c>
      <c r="DD32" s="27">
        <v>1.730487179</v>
      </c>
      <c r="DE32" s="27">
        <v>10.136516727</v>
      </c>
      <c r="DF32" s="27">
        <v>0.35182220710000001</v>
      </c>
      <c r="DG32" s="27">
        <v>86.414905485000006</v>
      </c>
      <c r="DH32" s="92">
        <v>0.84813732289999999</v>
      </c>
      <c r="DI32" s="95">
        <v>9.9229679999999999E-4</v>
      </c>
      <c r="DJ32" s="96">
        <v>1.6687436999999999E-3</v>
      </c>
      <c r="DK32" s="96">
        <v>1.7949470999999999E-3</v>
      </c>
      <c r="DL32" s="96">
        <v>1.8103470999999999E-3</v>
      </c>
      <c r="DM32" s="96">
        <v>1.8164122E-3</v>
      </c>
      <c r="DN32" s="96">
        <v>1.8164122E-3</v>
      </c>
      <c r="DO32" s="96">
        <v>1.8164122E-3</v>
      </c>
      <c r="DP32" s="96">
        <v>1.8164122E-3</v>
      </c>
      <c r="DQ32" s="96">
        <v>1.8164122E-3</v>
      </c>
      <c r="DR32" s="97">
        <v>1.8164122E-3</v>
      </c>
      <c r="DS32" s="93">
        <v>71.550954372000007</v>
      </c>
      <c r="DT32" s="80">
        <v>0.50431317990000002</v>
      </c>
      <c r="DU32" s="80">
        <v>33.37364453</v>
      </c>
      <c r="DV32" s="80">
        <v>0.24474930289999999</v>
      </c>
      <c r="DW32" s="80">
        <v>15.166831486</v>
      </c>
      <c r="DX32" s="80">
        <v>0.1156506187</v>
      </c>
      <c r="DY32" s="80">
        <v>6.7727414887000004</v>
      </c>
      <c r="DZ32" s="80">
        <v>5.41999622E-2</v>
      </c>
      <c r="EA32" s="80">
        <v>3.0592343544</v>
      </c>
      <c r="EB32" s="80">
        <v>2.6085964900000001E-2</v>
      </c>
      <c r="EC32" s="80">
        <v>1.4372424596</v>
      </c>
      <c r="ED32" s="80">
        <v>1.34164199E-2</v>
      </c>
      <c r="EE32" s="80">
        <v>0.70730089939999996</v>
      </c>
      <c r="EF32" s="80">
        <v>7.5592565E-3</v>
      </c>
      <c r="EG32" s="80">
        <v>0.37327946509999999</v>
      </c>
      <c r="EH32" s="80">
        <v>4.7298588999999999E-3</v>
      </c>
      <c r="EI32" s="80">
        <v>0.21122400960000001</v>
      </c>
      <c r="EJ32" s="80">
        <v>3.2781190999999999E-3</v>
      </c>
      <c r="EK32" s="80">
        <v>0.1330654161</v>
      </c>
      <c r="EL32" s="94">
        <v>2.4938730999999998E-3</v>
      </c>
    </row>
    <row r="33" spans="1:142" x14ac:dyDescent="0.2">
      <c r="A33" s="79">
        <v>2800</v>
      </c>
      <c r="B33" s="27">
        <v>3546</v>
      </c>
      <c r="C33" s="79">
        <v>1536.3008735999999</v>
      </c>
      <c r="D33" s="27">
        <v>2749.7443622999999</v>
      </c>
      <c r="E33" s="27">
        <v>44.351966324999999</v>
      </c>
      <c r="F33" s="27">
        <v>5.50379181E-2</v>
      </c>
      <c r="G33" s="79">
        <v>1.7928695036</v>
      </c>
      <c r="H33" s="27">
        <v>1.2008459E-3</v>
      </c>
      <c r="I33" s="27">
        <v>150.44328368000001</v>
      </c>
      <c r="J33" s="27">
        <v>1.0066514743999999</v>
      </c>
      <c r="K33" s="27">
        <v>56.539609970999997</v>
      </c>
      <c r="L33" s="27">
        <v>0.35082399149999999</v>
      </c>
      <c r="M33" s="27">
        <v>14.107469408</v>
      </c>
      <c r="N33" s="27">
        <v>0.11995666269999999</v>
      </c>
      <c r="O33" s="80" t="s">
        <v>136</v>
      </c>
      <c r="P33" s="80">
        <v>0</v>
      </c>
      <c r="Q33" s="27">
        <v>11.735455839</v>
      </c>
      <c r="R33" s="27">
        <v>2.3155085999999998E-2</v>
      </c>
      <c r="S33" s="80" t="s">
        <v>136</v>
      </c>
      <c r="T33" s="80">
        <v>0</v>
      </c>
      <c r="U33" s="80" t="s">
        <v>136</v>
      </c>
      <c r="V33" s="80">
        <v>0</v>
      </c>
      <c r="W33" s="27">
        <v>0.1857297346</v>
      </c>
      <c r="X33" s="27">
        <v>2.2135582000000001E-3</v>
      </c>
      <c r="Y33" s="27">
        <v>17.597042811000001</v>
      </c>
      <c r="Z33" s="27">
        <v>0.4059749782</v>
      </c>
      <c r="AA33" s="80" t="s">
        <v>136</v>
      </c>
      <c r="AB33" s="80">
        <v>0</v>
      </c>
      <c r="AC33" s="27">
        <v>0</v>
      </c>
      <c r="AD33" s="27">
        <v>0</v>
      </c>
      <c r="AE33" s="80" t="s">
        <v>136</v>
      </c>
      <c r="AF33" s="80">
        <v>0</v>
      </c>
      <c r="AG33" s="80" t="s">
        <v>136</v>
      </c>
      <c r="AH33" s="80">
        <v>0</v>
      </c>
      <c r="AI33" s="27">
        <f t="shared" si="0"/>
        <v>0</v>
      </c>
      <c r="AJ33" s="27">
        <f t="shared" si="1"/>
        <v>0</v>
      </c>
      <c r="AK33" s="27">
        <v>87.921144455999993</v>
      </c>
      <c r="AL33" s="27">
        <v>1.3249115006000001</v>
      </c>
      <c r="AM33" s="80" t="s">
        <v>136</v>
      </c>
      <c r="AN33" s="80">
        <v>0</v>
      </c>
      <c r="AO33" s="80" t="s">
        <v>136</v>
      </c>
      <c r="AP33" s="80">
        <v>0</v>
      </c>
      <c r="AQ33" s="80" t="s">
        <v>136</v>
      </c>
      <c r="AR33" s="80">
        <v>0</v>
      </c>
      <c r="AS33" s="27">
        <v>52.780781038000001</v>
      </c>
      <c r="AT33" s="27">
        <v>1.9674707535</v>
      </c>
      <c r="AU33" s="27">
        <v>39.524909854999997</v>
      </c>
      <c r="AV33" s="27">
        <v>0.34132840930000002</v>
      </c>
      <c r="AW33" s="27">
        <v>17.964979129</v>
      </c>
      <c r="AX33" s="27">
        <v>0.2028282478</v>
      </c>
      <c r="AY33" s="27">
        <v>7.9027563416</v>
      </c>
      <c r="AZ33" s="27">
        <v>7.7086944099999999E-2</v>
      </c>
      <c r="BA33" s="80">
        <f t="shared" si="2"/>
        <v>13.657174384399998</v>
      </c>
      <c r="BB33" s="80">
        <f t="shared" si="3"/>
        <v>6.1413217399999998E-2</v>
      </c>
      <c r="BC33" s="27">
        <v>0</v>
      </c>
      <c r="BD33" s="80">
        <v>0</v>
      </c>
      <c r="BE33" s="27">
        <v>99.443380969000003</v>
      </c>
      <c r="BF33" s="27">
        <v>1.2266432628999999</v>
      </c>
      <c r="BG33" s="79">
        <v>2.4798934000000001E-3</v>
      </c>
      <c r="BH33" s="80">
        <v>0</v>
      </c>
      <c r="BI33" s="27">
        <v>117.4569108</v>
      </c>
      <c r="BJ33" s="27">
        <v>4.0056472526000002</v>
      </c>
      <c r="BK33" s="27">
        <v>107.45432254000001</v>
      </c>
      <c r="BL33" s="27">
        <v>0.82895324680000004</v>
      </c>
      <c r="BM33" s="27">
        <v>33.675731370000001</v>
      </c>
      <c r="BN33" s="27">
        <v>0.19033162849999999</v>
      </c>
      <c r="BO33" s="27">
        <v>5.9626706199999997E-2</v>
      </c>
      <c r="BP33" s="27">
        <v>5.247413E-4</v>
      </c>
      <c r="BQ33" s="27">
        <v>0</v>
      </c>
      <c r="BR33" s="92">
        <v>0</v>
      </c>
      <c r="BS33" s="80" t="s">
        <v>136</v>
      </c>
      <c r="BT33" s="80">
        <v>0</v>
      </c>
      <c r="BU33" s="79">
        <v>0.211592956</v>
      </c>
      <c r="BV33" s="27">
        <v>2.9228370000000002E-3</v>
      </c>
      <c r="BW33" s="27">
        <v>13.895876452</v>
      </c>
      <c r="BX33" s="27">
        <v>0.1170338257</v>
      </c>
      <c r="BY33" s="80" t="s">
        <v>136</v>
      </c>
      <c r="BZ33" s="80">
        <v>0</v>
      </c>
      <c r="CA33" s="80" t="s">
        <v>136</v>
      </c>
      <c r="CB33" s="80">
        <v>0</v>
      </c>
      <c r="CC33" s="27">
        <v>4.0063982531000004</v>
      </c>
      <c r="CD33" s="27">
        <v>5.1721833999999996E-3</v>
      </c>
      <c r="CE33" s="27">
        <v>7.7290575858999997</v>
      </c>
      <c r="CF33" s="92">
        <v>1.79829026E-2</v>
      </c>
      <c r="CG33" s="80" t="s">
        <v>136</v>
      </c>
      <c r="CH33" s="80">
        <v>0</v>
      </c>
      <c r="CI33" s="80" t="s">
        <v>136</v>
      </c>
      <c r="CJ33" s="80">
        <v>0</v>
      </c>
      <c r="CK33" s="80" t="s">
        <v>136</v>
      </c>
      <c r="CL33" s="80">
        <v>0</v>
      </c>
      <c r="CM33" s="80" t="s">
        <v>136</v>
      </c>
      <c r="CN33" s="80">
        <v>0</v>
      </c>
      <c r="CO33" s="79">
        <v>4.8599060600000001E-2</v>
      </c>
      <c r="CP33" s="27">
        <v>6.6810939999999998E-4</v>
      </c>
      <c r="CQ33" s="27">
        <v>0.1371306739</v>
      </c>
      <c r="CR33" s="27">
        <v>1.5454488000000001E-3</v>
      </c>
      <c r="CS33" s="27">
        <v>1.0235445087999999</v>
      </c>
      <c r="CT33" s="27">
        <v>1.1393367E-2</v>
      </c>
      <c r="CU33" s="27">
        <v>16.573498302000001</v>
      </c>
      <c r="CV33" s="92">
        <v>0.39458161120000002</v>
      </c>
      <c r="CW33" s="80" t="s">
        <v>136</v>
      </c>
      <c r="CX33" s="80">
        <v>0</v>
      </c>
      <c r="CY33" s="80" t="s">
        <v>136</v>
      </c>
      <c r="CZ33" s="80">
        <v>0</v>
      </c>
      <c r="DA33" s="79">
        <v>12.257970632999999</v>
      </c>
      <c r="DB33" s="27">
        <v>0.20346549359999999</v>
      </c>
      <c r="DC33" s="27">
        <v>40.522810405000001</v>
      </c>
      <c r="DD33" s="27">
        <v>1.7640052599</v>
      </c>
      <c r="DE33" s="27">
        <v>10.758808996999999</v>
      </c>
      <c r="DF33" s="27">
        <v>0.36226477620000003</v>
      </c>
      <c r="DG33" s="27">
        <v>88.684571972000001</v>
      </c>
      <c r="DH33" s="92">
        <v>0.86437848669999995</v>
      </c>
      <c r="DI33" s="95">
        <v>1.1045721999999999E-3</v>
      </c>
      <c r="DJ33" s="96">
        <v>1.873893E-3</v>
      </c>
      <c r="DK33" s="96">
        <v>2.0227848E-3</v>
      </c>
      <c r="DL33" s="96">
        <v>2.0416341000000001E-3</v>
      </c>
      <c r="DM33" s="96">
        <v>2.0496088999999999E-3</v>
      </c>
      <c r="DN33" s="96">
        <v>2.0515735999999999E-3</v>
      </c>
      <c r="DO33" s="96">
        <v>2.0535383999999999E-3</v>
      </c>
      <c r="DP33" s="96">
        <v>2.0555031999999998E-3</v>
      </c>
      <c r="DQ33" s="96">
        <v>2.0574679000000002E-3</v>
      </c>
      <c r="DR33" s="97">
        <v>2.0594327000000002E-3</v>
      </c>
      <c r="DS33" s="93">
        <v>73.167651277999994</v>
      </c>
      <c r="DT33" s="80">
        <v>0.51528458320000003</v>
      </c>
      <c r="DU33" s="80">
        <v>34.452314147999999</v>
      </c>
      <c r="DV33" s="80">
        <v>0.25231618680000001</v>
      </c>
      <c r="DW33" s="80">
        <v>15.837491053999999</v>
      </c>
      <c r="DX33" s="80">
        <v>0.120525648</v>
      </c>
      <c r="DY33" s="80">
        <v>7.1549987336000003</v>
      </c>
      <c r="DZ33" s="80">
        <v>5.7119848600000002E-2</v>
      </c>
      <c r="EA33" s="80">
        <v>3.2747990295</v>
      </c>
      <c r="EB33" s="80">
        <v>2.78255276E-2</v>
      </c>
      <c r="EC33" s="80">
        <v>1.5659238136</v>
      </c>
      <c r="ED33" s="80">
        <v>1.45252948E-2</v>
      </c>
      <c r="EE33" s="80">
        <v>0.7825437113</v>
      </c>
      <c r="EF33" s="80">
        <v>8.2718385999999994E-3</v>
      </c>
      <c r="EG33" s="80">
        <v>0.42135916150000002</v>
      </c>
      <c r="EH33" s="80">
        <v>5.2293506999999996E-3</v>
      </c>
      <c r="EI33" s="80">
        <v>0.24242259120000001</v>
      </c>
      <c r="EJ33" s="80">
        <v>3.6418429E-3</v>
      </c>
      <c r="EK33" s="80">
        <v>0.15395758979999999</v>
      </c>
      <c r="EL33" s="94">
        <v>2.7724912999999999E-3</v>
      </c>
    </row>
    <row r="34" spans="1:142" x14ac:dyDescent="0.2">
      <c r="A34" s="79">
        <v>2900</v>
      </c>
      <c r="B34" s="27">
        <v>3345</v>
      </c>
      <c r="C34" s="79">
        <v>1572.7158520999999</v>
      </c>
      <c r="D34" s="27">
        <v>2850.3496627999998</v>
      </c>
      <c r="E34" s="27">
        <v>46.393964257999997</v>
      </c>
      <c r="F34" s="27">
        <v>5.6455338899999999E-2</v>
      </c>
      <c r="G34" s="79">
        <v>1.9968600949999999</v>
      </c>
      <c r="H34" s="27">
        <v>1.2965321E-3</v>
      </c>
      <c r="I34" s="27">
        <v>152.51651824999999</v>
      </c>
      <c r="J34" s="27">
        <v>1.0201170635000001</v>
      </c>
      <c r="K34" s="27">
        <v>57.838763933000003</v>
      </c>
      <c r="L34" s="27">
        <v>0.35845982209999999</v>
      </c>
      <c r="M34" s="27">
        <v>14.622183242</v>
      </c>
      <c r="N34" s="27">
        <v>0.12403307</v>
      </c>
      <c r="O34" s="80" t="s">
        <v>136</v>
      </c>
      <c r="P34" s="80">
        <v>0</v>
      </c>
      <c r="Q34" s="27">
        <v>12.518492321</v>
      </c>
      <c r="R34" s="27">
        <v>2.4412941099999998E-2</v>
      </c>
      <c r="S34" s="80" t="s">
        <v>136</v>
      </c>
      <c r="T34" s="80">
        <v>0</v>
      </c>
      <c r="U34" s="80" t="s">
        <v>136</v>
      </c>
      <c r="V34" s="80">
        <v>0</v>
      </c>
      <c r="W34" s="27">
        <v>0.1994143005</v>
      </c>
      <c r="X34" s="27">
        <v>2.3680327999999998E-3</v>
      </c>
      <c r="Y34" s="27">
        <v>18.264984728999998</v>
      </c>
      <c r="Z34" s="27">
        <v>0.42037058700000002</v>
      </c>
      <c r="AA34" s="80" t="s">
        <v>136</v>
      </c>
      <c r="AB34" s="80">
        <v>0</v>
      </c>
      <c r="AC34" s="27">
        <v>0</v>
      </c>
      <c r="AD34" s="27">
        <v>0</v>
      </c>
      <c r="AE34" s="80" t="s">
        <v>136</v>
      </c>
      <c r="AF34" s="80">
        <v>0</v>
      </c>
      <c r="AG34" s="80" t="s">
        <v>136</v>
      </c>
      <c r="AH34" s="80">
        <v>0</v>
      </c>
      <c r="AI34" s="27">
        <f t="shared" si="0"/>
        <v>0</v>
      </c>
      <c r="AJ34" s="27">
        <f t="shared" si="1"/>
        <v>0</v>
      </c>
      <c r="AK34" s="27">
        <v>89.811736099000001</v>
      </c>
      <c r="AL34" s="27">
        <v>1.3441884907999999</v>
      </c>
      <c r="AM34" s="80" t="s">
        <v>136</v>
      </c>
      <c r="AN34" s="80">
        <v>0</v>
      </c>
      <c r="AO34" s="80" t="s">
        <v>136</v>
      </c>
      <c r="AP34" s="80">
        <v>0</v>
      </c>
      <c r="AQ34" s="80" t="s">
        <v>136</v>
      </c>
      <c r="AR34" s="80">
        <v>0</v>
      </c>
      <c r="AS34" s="27">
        <v>53.999347186000001</v>
      </c>
      <c r="AT34" s="27">
        <v>2.0023079468999998</v>
      </c>
      <c r="AU34" s="27">
        <v>40.770892883000002</v>
      </c>
      <c r="AV34" s="27">
        <v>0.34914398759999998</v>
      </c>
      <c r="AW34" s="27">
        <v>18.527997082999999</v>
      </c>
      <c r="AX34" s="27">
        <v>0.20748320009999999</v>
      </c>
      <c r="AY34" s="27">
        <v>8.1020708693000003</v>
      </c>
      <c r="AZ34" s="27">
        <v>7.8471860099999999E-2</v>
      </c>
      <c r="BA34" s="80">
        <f t="shared" si="2"/>
        <v>14.140824930700003</v>
      </c>
      <c r="BB34" s="80">
        <f t="shared" si="3"/>
        <v>6.3188927399999983E-2</v>
      </c>
      <c r="BC34" s="27">
        <v>0</v>
      </c>
      <c r="BD34" s="80">
        <v>0</v>
      </c>
      <c r="BE34" s="27">
        <v>102.34381129</v>
      </c>
      <c r="BF34" s="27">
        <v>1.2506265391</v>
      </c>
      <c r="BG34" s="79">
        <v>2.6586730999999999E-3</v>
      </c>
      <c r="BH34" s="80">
        <v>0</v>
      </c>
      <c r="BI34" s="27">
        <v>120.27101359</v>
      </c>
      <c r="BJ34" s="27">
        <v>4.0703255707999997</v>
      </c>
      <c r="BK34" s="27">
        <v>112.53678927</v>
      </c>
      <c r="BL34" s="27">
        <v>0.86584404319999997</v>
      </c>
      <c r="BM34" s="27">
        <v>35.087748716</v>
      </c>
      <c r="BN34" s="27">
        <v>0.19659128640000001</v>
      </c>
      <c r="BO34" s="27">
        <v>5.9432218500000002E-2</v>
      </c>
      <c r="BP34" s="27">
        <v>5.2237829999999999E-4</v>
      </c>
      <c r="BQ34" s="27">
        <v>0</v>
      </c>
      <c r="BR34" s="92">
        <v>0</v>
      </c>
      <c r="BS34" s="80" t="s">
        <v>136</v>
      </c>
      <c r="BT34" s="80">
        <v>0</v>
      </c>
      <c r="BU34" s="79">
        <v>0.2191224638</v>
      </c>
      <c r="BV34" s="27">
        <v>3.0234201999999998E-3</v>
      </c>
      <c r="BW34" s="27">
        <v>14.403060778</v>
      </c>
      <c r="BX34" s="27">
        <v>0.1210096497</v>
      </c>
      <c r="BY34" s="80" t="s">
        <v>136</v>
      </c>
      <c r="BZ34" s="80">
        <v>0</v>
      </c>
      <c r="CA34" s="80" t="s">
        <v>136</v>
      </c>
      <c r="CB34" s="80">
        <v>0</v>
      </c>
      <c r="CC34" s="27">
        <v>4.3975262851999997</v>
      </c>
      <c r="CD34" s="27">
        <v>5.5336079999999998E-3</v>
      </c>
      <c r="CE34" s="27">
        <v>8.1209660361000005</v>
      </c>
      <c r="CF34" s="92">
        <v>1.8879333200000001E-2</v>
      </c>
      <c r="CG34" s="80" t="s">
        <v>136</v>
      </c>
      <c r="CH34" s="80">
        <v>0</v>
      </c>
      <c r="CI34" s="80" t="s">
        <v>136</v>
      </c>
      <c r="CJ34" s="80">
        <v>0</v>
      </c>
      <c r="CK34" s="80" t="s">
        <v>136</v>
      </c>
      <c r="CL34" s="80">
        <v>0</v>
      </c>
      <c r="CM34" s="80" t="s">
        <v>136</v>
      </c>
      <c r="CN34" s="80">
        <v>0</v>
      </c>
      <c r="CO34" s="79">
        <v>4.8038958600000001E-2</v>
      </c>
      <c r="CP34" s="27">
        <v>6.6070609999999998E-4</v>
      </c>
      <c r="CQ34" s="27">
        <v>0.15137534189999999</v>
      </c>
      <c r="CR34" s="27">
        <v>1.7073266000000001E-3</v>
      </c>
      <c r="CS34" s="27">
        <v>1.0742699695</v>
      </c>
      <c r="CT34" s="27">
        <v>1.18165149E-2</v>
      </c>
      <c r="CU34" s="27">
        <v>17.190714758999999</v>
      </c>
      <c r="CV34" s="92">
        <v>0.4085540721</v>
      </c>
      <c r="CW34" s="80" t="s">
        <v>136</v>
      </c>
      <c r="CX34" s="80">
        <v>0</v>
      </c>
      <c r="CY34" s="80" t="s">
        <v>136</v>
      </c>
      <c r="CZ34" s="80">
        <v>0</v>
      </c>
      <c r="DA34" s="79">
        <v>12.597472128</v>
      </c>
      <c r="DB34" s="27">
        <v>0.20800934400000001</v>
      </c>
      <c r="DC34" s="27">
        <v>41.401875056999998</v>
      </c>
      <c r="DD34" s="27">
        <v>1.7942986029000001</v>
      </c>
      <c r="DE34" s="27">
        <v>11.342287055</v>
      </c>
      <c r="DF34" s="27">
        <v>0.37127862820000002</v>
      </c>
      <c r="DG34" s="27">
        <v>91.001524231999994</v>
      </c>
      <c r="DH34" s="92">
        <v>0.87934791099999998</v>
      </c>
      <c r="DI34" s="95">
        <v>1.1998349E-3</v>
      </c>
      <c r="DJ34" s="96">
        <v>2.0375587999999999E-3</v>
      </c>
      <c r="DK34" s="96">
        <v>2.2037023999999998E-3</v>
      </c>
      <c r="DL34" s="96">
        <v>2.2259265000000002E-3</v>
      </c>
      <c r="DM34" s="96">
        <v>2.2338286E-3</v>
      </c>
      <c r="DN34" s="96">
        <v>2.2357685000000001E-3</v>
      </c>
      <c r="DO34" s="96">
        <v>2.2377084999999999E-3</v>
      </c>
      <c r="DP34" s="96">
        <v>2.2396484E-3</v>
      </c>
      <c r="DQ34" s="96">
        <v>2.2415883000000002E-3</v>
      </c>
      <c r="DR34" s="97">
        <v>2.2435281999999999E-3</v>
      </c>
      <c r="DS34" s="93">
        <v>74.735310256000005</v>
      </c>
      <c r="DT34" s="80">
        <v>0.52584827919999999</v>
      </c>
      <c r="DU34" s="80">
        <v>35.515167079000001</v>
      </c>
      <c r="DV34" s="80">
        <v>0.25977522510000001</v>
      </c>
      <c r="DW34" s="80">
        <v>16.525080372000001</v>
      </c>
      <c r="DX34" s="80">
        <v>0.1255351713</v>
      </c>
      <c r="DY34" s="80">
        <v>7.5881351240999999</v>
      </c>
      <c r="DZ34" s="80">
        <v>6.0413063099999997E-2</v>
      </c>
      <c r="EA34" s="80">
        <v>3.5426107127000002</v>
      </c>
      <c r="EB34" s="80">
        <v>2.9967690599999999E-2</v>
      </c>
      <c r="EC34" s="80">
        <v>1.7239867252000001</v>
      </c>
      <c r="ED34" s="80">
        <v>1.5868556999999998E-2</v>
      </c>
      <c r="EE34" s="80">
        <v>0.87530427550000001</v>
      </c>
      <c r="EF34" s="80">
        <v>9.1228227999999995E-3</v>
      </c>
      <c r="EG34" s="80">
        <v>0.47761826530000001</v>
      </c>
      <c r="EH34" s="80">
        <v>5.7894037000000001E-3</v>
      </c>
      <c r="EI34" s="80">
        <v>0.27765533269999998</v>
      </c>
      <c r="EJ34" s="80">
        <v>4.0269646999999999E-3</v>
      </c>
      <c r="EK34" s="80">
        <v>0.175168985</v>
      </c>
      <c r="EL34" s="94">
        <v>3.0390181000000001E-3</v>
      </c>
    </row>
    <row r="35" spans="1:142" x14ac:dyDescent="0.2">
      <c r="A35" s="79">
        <v>3000</v>
      </c>
      <c r="B35" s="27">
        <v>3276</v>
      </c>
      <c r="C35" s="79">
        <v>1608.3910931999999</v>
      </c>
      <c r="D35" s="27">
        <v>2949.5941343999998</v>
      </c>
      <c r="E35" s="27">
        <v>48.455581604000002</v>
      </c>
      <c r="F35" s="27">
        <v>5.7867743100000001E-2</v>
      </c>
      <c r="G35" s="79">
        <v>2.1568532555000002</v>
      </c>
      <c r="H35" s="27">
        <v>1.3716124000000001E-3</v>
      </c>
      <c r="I35" s="27">
        <v>154.59510189</v>
      </c>
      <c r="J35" s="27">
        <v>1.0339272007</v>
      </c>
      <c r="K35" s="27">
        <v>59.025605460000001</v>
      </c>
      <c r="L35" s="27">
        <v>0.36572756870000001</v>
      </c>
      <c r="M35" s="27">
        <v>15.113613673</v>
      </c>
      <c r="N35" s="27">
        <v>0.12759001680000001</v>
      </c>
      <c r="O35" s="80" t="s">
        <v>136</v>
      </c>
      <c r="P35" s="80">
        <v>0</v>
      </c>
      <c r="Q35" s="27">
        <v>13.477661362999999</v>
      </c>
      <c r="R35" s="27">
        <v>2.58765912E-2</v>
      </c>
      <c r="S35" s="80" t="s">
        <v>136</v>
      </c>
      <c r="T35" s="80">
        <v>0</v>
      </c>
      <c r="U35" s="80" t="s">
        <v>136</v>
      </c>
      <c r="V35" s="80">
        <v>0</v>
      </c>
      <c r="W35" s="27">
        <v>0.20440942449999999</v>
      </c>
      <c r="X35" s="27">
        <v>2.4361956000000001E-3</v>
      </c>
      <c r="Y35" s="27">
        <v>19.030488668</v>
      </c>
      <c r="Z35" s="27">
        <v>0.43647205090000002</v>
      </c>
      <c r="AA35" s="80" t="s">
        <v>136</v>
      </c>
      <c r="AB35" s="80">
        <v>0</v>
      </c>
      <c r="AC35" s="27">
        <v>0</v>
      </c>
      <c r="AD35" s="27">
        <v>0</v>
      </c>
      <c r="AE35" s="80" t="s">
        <v>136</v>
      </c>
      <c r="AF35" s="80">
        <v>0</v>
      </c>
      <c r="AG35" s="80" t="s">
        <v>136</v>
      </c>
      <c r="AH35" s="80">
        <v>0</v>
      </c>
      <c r="AI35" s="27">
        <f t="shared" si="0"/>
        <v>0</v>
      </c>
      <c r="AJ35" s="27">
        <f t="shared" si="1"/>
        <v>0</v>
      </c>
      <c r="AK35" s="27">
        <v>91.830382811999996</v>
      </c>
      <c r="AL35" s="27">
        <v>1.3643094549999999</v>
      </c>
      <c r="AM35" s="80" t="s">
        <v>136</v>
      </c>
      <c r="AN35" s="80">
        <v>0</v>
      </c>
      <c r="AO35" s="80" t="s">
        <v>136</v>
      </c>
      <c r="AP35" s="80">
        <v>0</v>
      </c>
      <c r="AQ35" s="80" t="s">
        <v>136</v>
      </c>
      <c r="AR35" s="80">
        <v>0</v>
      </c>
      <c r="AS35" s="27">
        <v>55.322370069999998</v>
      </c>
      <c r="AT35" s="27">
        <v>2.0392412177999999</v>
      </c>
      <c r="AU35" s="27">
        <v>41.984486644999997</v>
      </c>
      <c r="AV35" s="27">
        <v>0.35692124530000002</v>
      </c>
      <c r="AW35" s="27">
        <v>19.093375485999999</v>
      </c>
      <c r="AX35" s="27">
        <v>0.2122811423</v>
      </c>
      <c r="AY35" s="27">
        <v>8.2919721286999994</v>
      </c>
      <c r="AZ35" s="27">
        <v>7.9780587200000003E-2</v>
      </c>
      <c r="BA35" s="80">
        <f t="shared" si="2"/>
        <v>14.599139030299998</v>
      </c>
      <c r="BB35" s="80">
        <f t="shared" si="3"/>
        <v>6.4859515800000045E-2</v>
      </c>
      <c r="BC35" s="27">
        <v>0</v>
      </c>
      <c r="BD35" s="80">
        <v>0</v>
      </c>
      <c r="BE35" s="27">
        <v>105.35151723</v>
      </c>
      <c r="BF35" s="27">
        <v>1.2773470386000001</v>
      </c>
      <c r="BG35" s="79">
        <v>2.8019244E-3</v>
      </c>
      <c r="BH35" s="80">
        <v>0</v>
      </c>
      <c r="BI35" s="27">
        <v>122.89278541</v>
      </c>
      <c r="BJ35" s="27">
        <v>4.1276180105</v>
      </c>
      <c r="BK35" s="27">
        <v>117.92085673</v>
      </c>
      <c r="BL35" s="27">
        <v>0.90479500089999998</v>
      </c>
      <c r="BM35" s="27">
        <v>36.438310399000002</v>
      </c>
      <c r="BN35" s="27">
        <v>0.2024730045</v>
      </c>
      <c r="BO35" s="27">
        <v>6.4235969399999995E-2</v>
      </c>
      <c r="BP35" s="27">
        <v>5.6657129999999997E-4</v>
      </c>
      <c r="BQ35" s="27">
        <v>0</v>
      </c>
      <c r="BR35" s="92">
        <v>0</v>
      </c>
      <c r="BS35" s="80" t="s">
        <v>136</v>
      </c>
      <c r="BT35" s="80">
        <v>0</v>
      </c>
      <c r="BU35" s="79">
        <v>0.22629345570000001</v>
      </c>
      <c r="BV35" s="27">
        <v>3.0580222000000002E-3</v>
      </c>
      <c r="BW35" s="27">
        <v>14.887320216999999</v>
      </c>
      <c r="BX35" s="27">
        <v>0.12453199450000001</v>
      </c>
      <c r="BY35" s="80" t="s">
        <v>136</v>
      </c>
      <c r="BZ35" s="80">
        <v>0</v>
      </c>
      <c r="CA35" s="80" t="s">
        <v>136</v>
      </c>
      <c r="CB35" s="80">
        <v>0</v>
      </c>
      <c r="CC35" s="27">
        <v>4.8191916708000004</v>
      </c>
      <c r="CD35" s="27">
        <v>5.9079908000000004E-3</v>
      </c>
      <c r="CE35" s="27">
        <v>8.6584696920000006</v>
      </c>
      <c r="CF35" s="92">
        <v>1.9968600400000001E-2</v>
      </c>
      <c r="CG35" s="80" t="s">
        <v>136</v>
      </c>
      <c r="CH35" s="80">
        <v>0</v>
      </c>
      <c r="CI35" s="80" t="s">
        <v>136</v>
      </c>
      <c r="CJ35" s="80">
        <v>0</v>
      </c>
      <c r="CK35" s="80" t="s">
        <v>136</v>
      </c>
      <c r="CL35" s="80">
        <v>0</v>
      </c>
      <c r="CM35" s="80" t="s">
        <v>136</v>
      </c>
      <c r="CN35" s="80">
        <v>0</v>
      </c>
      <c r="CO35" s="79">
        <v>4.7488585600000001E-2</v>
      </c>
      <c r="CP35" s="27">
        <v>6.5337469999999999E-4</v>
      </c>
      <c r="CQ35" s="27">
        <v>0.1569208389</v>
      </c>
      <c r="CR35" s="27">
        <v>1.7828208999999999E-3</v>
      </c>
      <c r="CS35" s="27">
        <v>1.1547336957000001</v>
      </c>
      <c r="CT35" s="27">
        <v>1.27947627E-2</v>
      </c>
      <c r="CU35" s="27">
        <v>17.875754972999999</v>
      </c>
      <c r="CV35" s="92">
        <v>0.4236772882</v>
      </c>
      <c r="CW35" s="80" t="s">
        <v>136</v>
      </c>
      <c r="CX35" s="80">
        <v>0</v>
      </c>
      <c r="CY35" s="80" t="s">
        <v>136</v>
      </c>
      <c r="CZ35" s="80">
        <v>0</v>
      </c>
      <c r="DA35" s="79">
        <v>12.983240086</v>
      </c>
      <c r="DB35" s="27">
        <v>0.21333798970000001</v>
      </c>
      <c r="DC35" s="27">
        <v>42.339129984000003</v>
      </c>
      <c r="DD35" s="27">
        <v>1.8259032281000001</v>
      </c>
      <c r="DE35" s="27">
        <v>11.967599275</v>
      </c>
      <c r="DF35" s="27">
        <v>0.3818390015</v>
      </c>
      <c r="DG35" s="27">
        <v>93.383917959000001</v>
      </c>
      <c r="DH35" s="92">
        <v>0.89550803720000005</v>
      </c>
      <c r="DI35" s="95">
        <v>1.2762234999999999E-3</v>
      </c>
      <c r="DJ35" s="96">
        <v>2.1764432999999998E-3</v>
      </c>
      <c r="DK35" s="96">
        <v>2.3530396000000001E-3</v>
      </c>
      <c r="DL35" s="96">
        <v>2.3750233000000001E-3</v>
      </c>
      <c r="DM35" s="96">
        <v>2.3828548000000001E-3</v>
      </c>
      <c r="DN35" s="96">
        <v>2.3847682999999999E-3</v>
      </c>
      <c r="DO35" s="96">
        <v>2.3866819000000002E-3</v>
      </c>
      <c r="DP35" s="96">
        <v>2.3885955E-3</v>
      </c>
      <c r="DQ35" s="96">
        <v>2.3905089999999999E-3</v>
      </c>
      <c r="DR35" s="97">
        <v>2.3924226000000002E-3</v>
      </c>
      <c r="DS35" s="93">
        <v>76.324335300000001</v>
      </c>
      <c r="DT35" s="80">
        <v>0.53670484480000002</v>
      </c>
      <c r="DU35" s="80">
        <v>36.610856906000002</v>
      </c>
      <c r="DV35" s="80">
        <v>0.26746041729999998</v>
      </c>
      <c r="DW35" s="80">
        <v>17.227068854999999</v>
      </c>
      <c r="DX35" s="80">
        <v>0.130632995</v>
      </c>
      <c r="DY35" s="80">
        <v>8.0285667434000008</v>
      </c>
      <c r="DZ35" s="80">
        <v>6.3715910400000006E-2</v>
      </c>
      <c r="EA35" s="80">
        <v>3.8180811670999999</v>
      </c>
      <c r="EB35" s="80">
        <v>3.2090781300000003E-2</v>
      </c>
      <c r="EC35" s="80">
        <v>1.8890294163000001</v>
      </c>
      <c r="ED35" s="80">
        <v>1.71883603E-2</v>
      </c>
      <c r="EE35" s="80">
        <v>0.97304931350000001</v>
      </c>
      <c r="EF35" s="80">
        <v>9.9427953999999992E-3</v>
      </c>
      <c r="EG35" s="80">
        <v>0.53517265749999998</v>
      </c>
      <c r="EH35" s="80">
        <v>6.3079651999999996E-3</v>
      </c>
      <c r="EI35" s="80">
        <v>0.31106912860000002</v>
      </c>
      <c r="EJ35" s="80">
        <v>4.3662114999999998E-3</v>
      </c>
      <c r="EK35" s="80">
        <v>0.1962392755</v>
      </c>
      <c r="EL35" s="94">
        <v>3.2800511E-3</v>
      </c>
    </row>
    <row r="36" spans="1:142" x14ac:dyDescent="0.2">
      <c r="A36" s="79">
        <v>3100</v>
      </c>
      <c r="B36" s="27">
        <v>3106</v>
      </c>
      <c r="C36" s="79">
        <v>1643.5132375000001</v>
      </c>
      <c r="D36" s="27">
        <v>3051.0646581999999</v>
      </c>
      <c r="E36" s="27">
        <v>50.698479053</v>
      </c>
      <c r="F36" s="27">
        <v>5.9417318500000003E-2</v>
      </c>
      <c r="G36" s="79">
        <v>2.3546138681</v>
      </c>
      <c r="H36" s="27">
        <v>1.4638234999999999E-3</v>
      </c>
      <c r="I36" s="27">
        <v>156.41790198999999</v>
      </c>
      <c r="J36" s="27">
        <v>1.0455642149</v>
      </c>
      <c r="K36" s="27">
        <v>60.197812558999999</v>
      </c>
      <c r="L36" s="27">
        <v>0.37285457690000001</v>
      </c>
      <c r="M36" s="27">
        <v>15.619148034</v>
      </c>
      <c r="N36" s="27">
        <v>0.13156591989999999</v>
      </c>
      <c r="O36" s="80" t="s">
        <v>136</v>
      </c>
      <c r="P36" s="80">
        <v>0</v>
      </c>
      <c r="Q36" s="27">
        <v>14.441609409</v>
      </c>
      <c r="R36" s="27">
        <v>2.73762278E-2</v>
      </c>
      <c r="S36" s="80" t="s">
        <v>136</v>
      </c>
      <c r="T36" s="80">
        <v>0</v>
      </c>
      <c r="U36" s="80" t="s">
        <v>136</v>
      </c>
      <c r="V36" s="80">
        <v>0</v>
      </c>
      <c r="W36" s="27">
        <v>0.2158082724</v>
      </c>
      <c r="X36" s="27">
        <v>2.5316225E-3</v>
      </c>
      <c r="Y36" s="27">
        <v>19.777421877999998</v>
      </c>
      <c r="Z36" s="27">
        <v>0.45349162859999997</v>
      </c>
      <c r="AA36" s="80" t="s">
        <v>136</v>
      </c>
      <c r="AB36" s="80">
        <v>0</v>
      </c>
      <c r="AC36" s="27">
        <v>0</v>
      </c>
      <c r="AD36" s="27">
        <v>0</v>
      </c>
      <c r="AE36" s="80" t="s">
        <v>136</v>
      </c>
      <c r="AF36" s="80">
        <v>0</v>
      </c>
      <c r="AG36" s="80" t="s">
        <v>136</v>
      </c>
      <c r="AH36" s="80">
        <v>0</v>
      </c>
      <c r="AI36" s="27">
        <f t="shared" si="0"/>
        <v>0</v>
      </c>
      <c r="AJ36" s="27">
        <f t="shared" si="1"/>
        <v>0</v>
      </c>
      <c r="AK36" s="27">
        <v>93.663157131000006</v>
      </c>
      <c r="AL36" s="27">
        <v>1.3828030504</v>
      </c>
      <c r="AM36" s="80" t="s">
        <v>136</v>
      </c>
      <c r="AN36" s="80">
        <v>0</v>
      </c>
      <c r="AO36" s="80" t="s">
        <v>136</v>
      </c>
      <c r="AP36" s="80">
        <v>0</v>
      </c>
      <c r="AQ36" s="80" t="s">
        <v>136</v>
      </c>
      <c r="AR36" s="80">
        <v>0</v>
      </c>
      <c r="AS36" s="27">
        <v>56.541285733000002</v>
      </c>
      <c r="AT36" s="27">
        <v>2.0734100617000002</v>
      </c>
      <c r="AU36" s="27">
        <v>43.237361135</v>
      </c>
      <c r="AV36" s="27">
        <v>0.36513627399999998</v>
      </c>
      <c r="AW36" s="27">
        <v>19.669544641000002</v>
      </c>
      <c r="AX36" s="27">
        <v>0.2173819552</v>
      </c>
      <c r="AY36" s="27">
        <v>8.5182478586000006</v>
      </c>
      <c r="AZ36" s="27">
        <v>8.1205776399999999E-2</v>
      </c>
      <c r="BA36" s="80">
        <f t="shared" si="2"/>
        <v>15.0495686354</v>
      </c>
      <c r="BB36" s="80">
        <f t="shared" si="3"/>
        <v>6.6548542399999966E-2</v>
      </c>
      <c r="BC36" s="27">
        <v>0</v>
      </c>
      <c r="BD36" s="80">
        <v>0</v>
      </c>
      <c r="BE36" s="27">
        <v>108.36536633</v>
      </c>
      <c r="BF36" s="27">
        <v>1.3015178338</v>
      </c>
      <c r="BG36" s="79">
        <v>2.968446E-3</v>
      </c>
      <c r="BH36" s="80">
        <v>0</v>
      </c>
      <c r="BI36" s="27">
        <v>125.18404627</v>
      </c>
      <c r="BJ36" s="27">
        <v>4.1810531042000001</v>
      </c>
      <c r="BK36" s="27">
        <v>123.23767429</v>
      </c>
      <c r="BL36" s="27">
        <v>0.94326040820000001</v>
      </c>
      <c r="BM36" s="27">
        <v>37.812222515999999</v>
      </c>
      <c r="BN36" s="27">
        <v>0.20837512429999999</v>
      </c>
      <c r="BO36" s="27">
        <v>6.9990454600000002E-2</v>
      </c>
      <c r="BP36" s="27">
        <v>5.8223650000000004E-4</v>
      </c>
      <c r="BQ36" s="27">
        <v>0</v>
      </c>
      <c r="BR36" s="92">
        <v>0</v>
      </c>
      <c r="BS36" s="80" t="s">
        <v>136</v>
      </c>
      <c r="BT36" s="80">
        <v>0</v>
      </c>
      <c r="BU36" s="79">
        <v>0.23464809850000001</v>
      </c>
      <c r="BV36" s="27">
        <v>3.1199540999999999E-3</v>
      </c>
      <c r="BW36" s="27">
        <v>15.384499935999999</v>
      </c>
      <c r="BX36" s="27">
        <v>0.12844596580000001</v>
      </c>
      <c r="BY36" s="80" t="s">
        <v>136</v>
      </c>
      <c r="BZ36" s="80">
        <v>0</v>
      </c>
      <c r="CA36" s="80" t="s">
        <v>136</v>
      </c>
      <c r="CB36" s="80">
        <v>0</v>
      </c>
      <c r="CC36" s="27">
        <v>5.3126876663999996</v>
      </c>
      <c r="CD36" s="27">
        <v>6.3605181000000004E-3</v>
      </c>
      <c r="CE36" s="27">
        <v>9.1289217421999993</v>
      </c>
      <c r="CF36" s="92">
        <v>2.1015709800000001E-2</v>
      </c>
      <c r="CG36" s="80" t="s">
        <v>136</v>
      </c>
      <c r="CH36" s="80">
        <v>0</v>
      </c>
      <c r="CI36" s="80" t="s">
        <v>136</v>
      </c>
      <c r="CJ36" s="80">
        <v>0</v>
      </c>
      <c r="CK36" s="80" t="s">
        <v>136</v>
      </c>
      <c r="CL36" s="80">
        <v>0</v>
      </c>
      <c r="CM36" s="80" t="s">
        <v>136</v>
      </c>
      <c r="CN36" s="80">
        <v>0</v>
      </c>
      <c r="CO36" s="79">
        <v>4.7015705800000002E-2</v>
      </c>
      <c r="CP36" s="27">
        <v>6.4712109999999999E-4</v>
      </c>
      <c r="CQ36" s="27">
        <v>0.16879256649999999</v>
      </c>
      <c r="CR36" s="27">
        <v>1.8845013999999999E-3</v>
      </c>
      <c r="CS36" s="27">
        <v>1.1920107787000001</v>
      </c>
      <c r="CT36" s="27">
        <v>1.33906001E-2</v>
      </c>
      <c r="CU36" s="27">
        <v>18.585411099000002</v>
      </c>
      <c r="CV36" s="92">
        <v>0.44010102849999999</v>
      </c>
      <c r="CW36" s="80" t="s">
        <v>136</v>
      </c>
      <c r="CX36" s="80">
        <v>0</v>
      </c>
      <c r="CY36" s="80" t="s">
        <v>136</v>
      </c>
      <c r="CZ36" s="80">
        <v>0</v>
      </c>
      <c r="DA36" s="79">
        <v>13.311160527</v>
      </c>
      <c r="DB36" s="27">
        <v>0.2179216447</v>
      </c>
      <c r="DC36" s="27">
        <v>43.230125207</v>
      </c>
      <c r="DD36" s="27">
        <v>1.8554884169999999</v>
      </c>
      <c r="DE36" s="27">
        <v>12.670906247</v>
      </c>
      <c r="DF36" s="27">
        <v>0.39135240560000001</v>
      </c>
      <c r="DG36" s="27">
        <v>95.694460079999999</v>
      </c>
      <c r="DH36" s="92">
        <v>0.91016542820000002</v>
      </c>
      <c r="DI36" s="95">
        <v>1.3694486999999999E-3</v>
      </c>
      <c r="DJ36" s="96">
        <v>2.3341130000000001E-3</v>
      </c>
      <c r="DK36" s="96">
        <v>2.5243004999999999E-3</v>
      </c>
      <c r="DL36" s="96">
        <v>2.5460706999999999E-3</v>
      </c>
      <c r="DM36" s="96">
        <v>2.5538357000000002E-3</v>
      </c>
      <c r="DN36" s="96">
        <v>2.5557289E-3</v>
      </c>
      <c r="DO36" s="96">
        <v>2.5576220999999999E-3</v>
      </c>
      <c r="DP36" s="96">
        <v>2.5595153000000002E-3</v>
      </c>
      <c r="DQ36" s="96">
        <v>2.5614085E-3</v>
      </c>
      <c r="DR36" s="97">
        <v>2.5633016999999998E-3</v>
      </c>
      <c r="DS36" s="93">
        <v>77.679796648999996</v>
      </c>
      <c r="DT36" s="80">
        <v>0.54558004829999995</v>
      </c>
      <c r="DU36" s="80">
        <v>37.481403055000001</v>
      </c>
      <c r="DV36" s="80">
        <v>0.27338520080000001</v>
      </c>
      <c r="DW36" s="80">
        <v>17.741184330999999</v>
      </c>
      <c r="DX36" s="80">
        <v>0.1342887113</v>
      </c>
      <c r="DY36" s="80">
        <v>8.3273462092999999</v>
      </c>
      <c r="DZ36" s="80">
        <v>6.5955933800000005E-2</v>
      </c>
      <c r="EA36" s="80">
        <v>3.9850543657999999</v>
      </c>
      <c r="EB36" s="80">
        <v>3.34159739E-2</v>
      </c>
      <c r="EC36" s="80">
        <v>1.9832633820000001</v>
      </c>
      <c r="ED36" s="80">
        <v>1.7991379599999999E-2</v>
      </c>
      <c r="EE36" s="80">
        <v>1.0254069776000001</v>
      </c>
      <c r="EF36" s="80">
        <v>1.043727E-2</v>
      </c>
      <c r="EG36" s="80">
        <v>0.56607514640000001</v>
      </c>
      <c r="EH36" s="80">
        <v>6.6340284999999999E-3</v>
      </c>
      <c r="EI36" s="80">
        <v>0.33150327969999999</v>
      </c>
      <c r="EJ36" s="80">
        <v>4.6083718000000003E-3</v>
      </c>
      <c r="EK36" s="80">
        <v>0.21104044229999999</v>
      </c>
      <c r="EL36" s="94">
        <v>3.4772608000000001E-3</v>
      </c>
    </row>
    <row r="37" spans="1:142" x14ac:dyDescent="0.2">
      <c r="A37" s="79">
        <v>3200</v>
      </c>
      <c r="B37" s="27">
        <v>3000</v>
      </c>
      <c r="C37" s="79">
        <v>1677.7424361000001</v>
      </c>
      <c r="D37" s="27">
        <v>3149.4454857000001</v>
      </c>
      <c r="E37" s="27">
        <v>52.732063467000003</v>
      </c>
      <c r="F37" s="27">
        <v>6.0844489100000003E-2</v>
      </c>
      <c r="G37" s="79">
        <v>2.5354586591000001</v>
      </c>
      <c r="H37" s="27">
        <v>1.5487300999999999E-3</v>
      </c>
      <c r="I37" s="27">
        <v>158.16004158999999</v>
      </c>
      <c r="J37" s="27">
        <v>1.0572031147000001</v>
      </c>
      <c r="K37" s="27">
        <v>61.408880551000003</v>
      </c>
      <c r="L37" s="27">
        <v>0.38126134830000002</v>
      </c>
      <c r="M37" s="27">
        <v>16.091000709999999</v>
      </c>
      <c r="N37" s="27">
        <v>0.13534516360000001</v>
      </c>
      <c r="O37" s="80" t="s">
        <v>136</v>
      </c>
      <c r="P37" s="80">
        <v>0</v>
      </c>
      <c r="Q37" s="27">
        <v>15.480387286999999</v>
      </c>
      <c r="R37" s="27">
        <v>2.8961388899999999E-2</v>
      </c>
      <c r="S37" s="80" t="s">
        <v>136</v>
      </c>
      <c r="T37" s="80">
        <v>0</v>
      </c>
      <c r="U37" s="80" t="s">
        <v>136</v>
      </c>
      <c r="V37" s="80">
        <v>0</v>
      </c>
      <c r="W37" s="27">
        <v>0.22712186409999999</v>
      </c>
      <c r="X37" s="27">
        <v>2.6514166E-3</v>
      </c>
      <c r="Y37" s="27">
        <v>20.38908116</v>
      </c>
      <c r="Z37" s="27">
        <v>0.46652407600000001</v>
      </c>
      <c r="AA37" s="80" t="s">
        <v>136</v>
      </c>
      <c r="AB37" s="80">
        <v>0</v>
      </c>
      <c r="AC37" s="27">
        <v>0</v>
      </c>
      <c r="AD37" s="27">
        <v>0</v>
      </c>
      <c r="AE37" s="80" t="s">
        <v>136</v>
      </c>
      <c r="AF37" s="80">
        <v>0</v>
      </c>
      <c r="AG37" s="80" t="s">
        <v>136</v>
      </c>
      <c r="AH37" s="80">
        <v>0</v>
      </c>
      <c r="AI37" s="27">
        <f t="shared" ref="AI37:AI68" si="4">AC37</f>
        <v>0</v>
      </c>
      <c r="AJ37" s="27">
        <f t="shared" ref="AJ37:AJ68" si="5">AD37</f>
        <v>0</v>
      </c>
      <c r="AK37" s="27">
        <v>95.554403449000006</v>
      </c>
      <c r="AL37" s="27">
        <v>1.3998653952</v>
      </c>
      <c r="AM37" s="80" t="s">
        <v>136</v>
      </c>
      <c r="AN37" s="80">
        <v>0</v>
      </c>
      <c r="AO37" s="80" t="s">
        <v>136</v>
      </c>
      <c r="AP37" s="80">
        <v>0</v>
      </c>
      <c r="AQ37" s="80" t="s">
        <v>136</v>
      </c>
      <c r="AR37" s="80">
        <v>0</v>
      </c>
      <c r="AS37" s="27">
        <v>57.674302310999998</v>
      </c>
      <c r="AT37" s="27">
        <v>2.1048202471000002</v>
      </c>
      <c r="AU37" s="27">
        <v>44.674536942000003</v>
      </c>
      <c r="AV37" s="27">
        <v>0.37350147490000002</v>
      </c>
      <c r="AW37" s="27">
        <v>20.285371039000001</v>
      </c>
      <c r="AX37" s="27">
        <v>0.22257356910000001</v>
      </c>
      <c r="AY37" s="27">
        <v>8.7090177193000002</v>
      </c>
      <c r="AZ37" s="27">
        <v>8.2328660299999995E-2</v>
      </c>
      <c r="BA37" s="80">
        <f t="shared" si="2"/>
        <v>15.680148183700002</v>
      </c>
      <c r="BB37" s="80">
        <f t="shared" si="3"/>
        <v>6.8599245500000017E-2</v>
      </c>
      <c r="BC37" s="27">
        <v>0</v>
      </c>
      <c r="BD37" s="80">
        <v>0</v>
      </c>
      <c r="BE37" s="27">
        <v>111.1905081</v>
      </c>
      <c r="BF37" s="27">
        <v>1.3252254735</v>
      </c>
      <c r="BG37" s="79">
        <v>3.1473E-3</v>
      </c>
      <c r="BH37" s="80">
        <v>0</v>
      </c>
      <c r="BI37" s="27">
        <v>127.59658829999999</v>
      </c>
      <c r="BJ37" s="27">
        <v>4.2368710412999997</v>
      </c>
      <c r="BK37" s="27">
        <v>128.69628660000001</v>
      </c>
      <c r="BL37" s="27">
        <v>0.982198295</v>
      </c>
      <c r="BM37" s="27">
        <v>39.091033375999999</v>
      </c>
      <c r="BN37" s="27">
        <v>0.21406087109999999</v>
      </c>
      <c r="BO37" s="27">
        <v>6.9995828800000007E-2</v>
      </c>
      <c r="BP37" s="27">
        <v>6.0354660000000004E-4</v>
      </c>
      <c r="BQ37" s="27">
        <v>0</v>
      </c>
      <c r="BR37" s="92">
        <v>0</v>
      </c>
      <c r="BS37" s="80" t="s">
        <v>136</v>
      </c>
      <c r="BT37" s="80">
        <v>0</v>
      </c>
      <c r="BU37" s="79">
        <v>0.23256303910000001</v>
      </c>
      <c r="BV37" s="27">
        <v>3.0920562000000002E-3</v>
      </c>
      <c r="BW37" s="27">
        <v>15.858437671000001</v>
      </c>
      <c r="BX37" s="27">
        <v>0.13225310739999999</v>
      </c>
      <c r="BY37" s="80" t="s">
        <v>136</v>
      </c>
      <c r="BZ37" s="80">
        <v>0</v>
      </c>
      <c r="CA37" s="80" t="s">
        <v>136</v>
      </c>
      <c r="CB37" s="80">
        <v>0</v>
      </c>
      <c r="CC37" s="27">
        <v>5.7979059839999998</v>
      </c>
      <c r="CD37" s="27">
        <v>6.8205606E-3</v>
      </c>
      <c r="CE37" s="27">
        <v>9.6824813024999994</v>
      </c>
      <c r="CF37" s="92">
        <v>2.2140828299999998E-2</v>
      </c>
      <c r="CG37" s="80" t="s">
        <v>136</v>
      </c>
      <c r="CH37" s="80">
        <v>0</v>
      </c>
      <c r="CI37" s="80" t="s">
        <v>136</v>
      </c>
      <c r="CJ37" s="80">
        <v>0</v>
      </c>
      <c r="CK37" s="80" t="s">
        <v>136</v>
      </c>
      <c r="CL37" s="80">
        <v>0</v>
      </c>
      <c r="CM37" s="80" t="s">
        <v>136</v>
      </c>
      <c r="CN37" s="80">
        <v>0</v>
      </c>
      <c r="CO37" s="79">
        <v>4.6548618100000001E-2</v>
      </c>
      <c r="CP37" s="27">
        <v>6.4085849999999996E-4</v>
      </c>
      <c r="CQ37" s="27">
        <v>0.18057324599999999</v>
      </c>
      <c r="CR37" s="27">
        <v>2.0105582E-3</v>
      </c>
      <c r="CS37" s="27">
        <v>1.2464224357</v>
      </c>
      <c r="CT37" s="27">
        <v>1.41213486E-2</v>
      </c>
      <c r="CU37" s="27">
        <v>19.142658724</v>
      </c>
      <c r="CV37" s="92">
        <v>0.45240272739999998</v>
      </c>
      <c r="CW37" s="80" t="s">
        <v>136</v>
      </c>
      <c r="CX37" s="80">
        <v>0</v>
      </c>
      <c r="CY37" s="80" t="s">
        <v>136</v>
      </c>
      <c r="CZ37" s="80">
        <v>0</v>
      </c>
      <c r="DA37" s="79">
        <v>13.667593140999999</v>
      </c>
      <c r="DB37" s="27">
        <v>0.22283733750000001</v>
      </c>
      <c r="DC37" s="27">
        <v>44.006709170000001</v>
      </c>
      <c r="DD37" s="27">
        <v>1.8819829096</v>
      </c>
      <c r="DE37" s="27">
        <v>13.359152586</v>
      </c>
      <c r="DF37" s="27">
        <v>0.4013404196</v>
      </c>
      <c r="DG37" s="27">
        <v>97.831355513999995</v>
      </c>
      <c r="DH37" s="92">
        <v>0.92388505379999997</v>
      </c>
      <c r="DI37" s="95">
        <v>1.4554365E-3</v>
      </c>
      <c r="DJ37" s="96">
        <v>2.4790246E-3</v>
      </c>
      <c r="DK37" s="96">
        <v>2.6955315999999999E-3</v>
      </c>
      <c r="DL37" s="96">
        <v>2.7250651000000001E-3</v>
      </c>
      <c r="DM37" s="96">
        <v>2.7374523000000001E-3</v>
      </c>
      <c r="DN37" s="96">
        <v>2.7393237999999999E-3</v>
      </c>
      <c r="DO37" s="96">
        <v>2.7411952000000002E-3</v>
      </c>
      <c r="DP37" s="96">
        <v>2.7430667E-3</v>
      </c>
      <c r="DQ37" s="96">
        <v>2.7449381000000002E-3</v>
      </c>
      <c r="DR37" s="97">
        <v>2.7468096E-3</v>
      </c>
      <c r="DS37" s="93">
        <v>79.029533372000003</v>
      </c>
      <c r="DT37" s="80">
        <v>0.55475961330000001</v>
      </c>
      <c r="DU37" s="80">
        <v>38.411124174000001</v>
      </c>
      <c r="DV37" s="80">
        <v>0.27987896680000002</v>
      </c>
      <c r="DW37" s="80">
        <v>18.334230739999999</v>
      </c>
      <c r="DX37" s="80">
        <v>0.13858765300000001</v>
      </c>
      <c r="DY37" s="80">
        <v>8.6791974720000002</v>
      </c>
      <c r="DZ37" s="80">
        <v>6.86332105E-2</v>
      </c>
      <c r="EA37" s="80">
        <v>4.1960007455000001</v>
      </c>
      <c r="EB37" s="80">
        <v>3.5109287500000003E-2</v>
      </c>
      <c r="EC37" s="80">
        <v>2.1083604703000001</v>
      </c>
      <c r="ED37" s="80">
        <v>1.90578242E-2</v>
      </c>
      <c r="EE37" s="80">
        <v>1.1030305481</v>
      </c>
      <c r="EF37" s="80">
        <v>1.1129505899999999E-2</v>
      </c>
      <c r="EG37" s="80">
        <v>0.61326707400000002</v>
      </c>
      <c r="EH37" s="80">
        <v>7.0797522E-3</v>
      </c>
      <c r="EI37" s="80">
        <v>0.36165410869999998</v>
      </c>
      <c r="EJ37" s="80">
        <v>4.9064972999999998E-3</v>
      </c>
      <c r="EK37" s="80">
        <v>0.2286826723</v>
      </c>
      <c r="EL37" s="94">
        <v>3.6659251E-3</v>
      </c>
    </row>
    <row r="38" spans="1:142" x14ac:dyDescent="0.2">
      <c r="A38" s="79">
        <v>3300</v>
      </c>
      <c r="B38" s="27">
        <v>2874</v>
      </c>
      <c r="C38" s="79">
        <v>1711.3306480000001</v>
      </c>
      <c r="D38" s="27">
        <v>3249.2853875000001</v>
      </c>
      <c r="E38" s="27">
        <v>54.798004745999997</v>
      </c>
      <c r="F38" s="27">
        <v>6.2185671300000002E-2</v>
      </c>
      <c r="G38" s="79">
        <v>2.7103183664000001</v>
      </c>
      <c r="H38" s="27">
        <v>1.6332049E-3</v>
      </c>
      <c r="I38" s="27">
        <v>159.9129365</v>
      </c>
      <c r="J38" s="27">
        <v>1.0684831351999999</v>
      </c>
      <c r="K38" s="27">
        <v>62.429261070999999</v>
      </c>
      <c r="L38" s="27">
        <v>0.38737824949999999</v>
      </c>
      <c r="M38" s="27">
        <v>16.623721717999999</v>
      </c>
      <c r="N38" s="27">
        <v>0.1393837543</v>
      </c>
      <c r="O38" s="80" t="s">
        <v>136</v>
      </c>
      <c r="P38" s="80">
        <v>0</v>
      </c>
      <c r="Q38" s="27">
        <v>16.345322634999999</v>
      </c>
      <c r="R38" s="27">
        <v>3.0207384600000001E-2</v>
      </c>
      <c r="S38" s="80" t="s">
        <v>136</v>
      </c>
      <c r="T38" s="80">
        <v>0</v>
      </c>
      <c r="U38" s="80" t="s">
        <v>136</v>
      </c>
      <c r="V38" s="80">
        <v>0</v>
      </c>
      <c r="W38" s="27">
        <v>0.2369566109</v>
      </c>
      <c r="X38" s="27">
        <v>2.7748226999999999E-3</v>
      </c>
      <c r="Y38" s="27">
        <v>21.261729422999998</v>
      </c>
      <c r="Z38" s="27">
        <v>0.48498061539999998</v>
      </c>
      <c r="AA38" s="80" t="s">
        <v>136</v>
      </c>
      <c r="AB38" s="80">
        <v>0</v>
      </c>
      <c r="AC38" s="27">
        <v>0</v>
      </c>
      <c r="AD38" s="27">
        <v>0</v>
      </c>
      <c r="AE38" s="80" t="s">
        <v>136</v>
      </c>
      <c r="AF38" s="80">
        <v>0</v>
      </c>
      <c r="AG38" s="80" t="s">
        <v>136</v>
      </c>
      <c r="AH38" s="80">
        <v>0</v>
      </c>
      <c r="AI38" s="27">
        <f t="shared" si="4"/>
        <v>0</v>
      </c>
      <c r="AJ38" s="27">
        <f t="shared" si="5"/>
        <v>0</v>
      </c>
      <c r="AK38" s="27">
        <v>97.292228929999993</v>
      </c>
      <c r="AL38" s="27">
        <v>1.4162317557999999</v>
      </c>
      <c r="AM38" s="80" t="s">
        <v>136</v>
      </c>
      <c r="AN38" s="80">
        <v>0</v>
      </c>
      <c r="AO38" s="80" t="s">
        <v>136</v>
      </c>
      <c r="AP38" s="80">
        <v>0</v>
      </c>
      <c r="AQ38" s="80" t="s">
        <v>136</v>
      </c>
      <c r="AR38" s="80">
        <v>0</v>
      </c>
      <c r="AS38" s="27">
        <v>58.845838809999996</v>
      </c>
      <c r="AT38" s="27">
        <v>2.1367144387999999</v>
      </c>
      <c r="AU38" s="27">
        <v>45.961041989000002</v>
      </c>
      <c r="AV38" s="27">
        <v>0.38142061179999998</v>
      </c>
      <c r="AW38" s="27">
        <v>20.835102393</v>
      </c>
      <c r="AX38" s="27">
        <v>0.2273763758</v>
      </c>
      <c r="AY38" s="27">
        <v>8.9001051841999992</v>
      </c>
      <c r="AZ38" s="27">
        <v>8.37020968E-2</v>
      </c>
      <c r="BA38" s="80">
        <f t="shared" ref="BA38:BA69" si="6">AU38-(AW38+AY38)</f>
        <v>16.225834411800001</v>
      </c>
      <c r="BB38" s="80">
        <f t="shared" ref="BB38:BB69" si="7">AV38-(AX38+AZ38)</f>
        <v>7.0342139199999987E-2</v>
      </c>
      <c r="BC38" s="27">
        <v>0</v>
      </c>
      <c r="BD38" s="80">
        <v>0</v>
      </c>
      <c r="BE38" s="27">
        <v>113.98865769</v>
      </c>
      <c r="BF38" s="27">
        <v>1.3472433005</v>
      </c>
      <c r="BG38" s="79">
        <v>3.3193325000000001E-3</v>
      </c>
      <c r="BH38" s="80">
        <v>0</v>
      </c>
      <c r="BI38" s="27">
        <v>129.89496370000001</v>
      </c>
      <c r="BJ38" s="27">
        <v>4.2878729728999998</v>
      </c>
      <c r="BK38" s="27">
        <v>134.04158674000001</v>
      </c>
      <c r="BL38" s="27">
        <v>1.0223577336</v>
      </c>
      <c r="BM38" s="27">
        <v>40.294245453000002</v>
      </c>
      <c r="BN38" s="27">
        <v>0.2193135802</v>
      </c>
      <c r="BO38" s="27">
        <v>7.7193286099999994E-2</v>
      </c>
      <c r="BP38" s="27">
        <v>6.3973890000000003E-4</v>
      </c>
      <c r="BQ38" s="27">
        <v>0</v>
      </c>
      <c r="BR38" s="92">
        <v>0</v>
      </c>
      <c r="BS38" s="80" t="s">
        <v>136</v>
      </c>
      <c r="BT38" s="80">
        <v>0</v>
      </c>
      <c r="BU38" s="79">
        <v>0.24663850800000001</v>
      </c>
      <c r="BV38" s="27">
        <v>3.2274885999999999E-3</v>
      </c>
      <c r="BW38" s="27">
        <v>16.377083209999999</v>
      </c>
      <c r="BX38" s="27">
        <v>0.1361562657</v>
      </c>
      <c r="BY38" s="80" t="s">
        <v>136</v>
      </c>
      <c r="BZ38" s="80">
        <v>0</v>
      </c>
      <c r="CA38" s="80" t="s">
        <v>136</v>
      </c>
      <c r="CB38" s="80">
        <v>0</v>
      </c>
      <c r="CC38" s="27">
        <v>6.1968197553</v>
      </c>
      <c r="CD38" s="27">
        <v>7.1221367000000001E-3</v>
      </c>
      <c r="CE38" s="27">
        <v>10.148502879</v>
      </c>
      <c r="CF38" s="92">
        <v>2.3085247900000001E-2</v>
      </c>
      <c r="CG38" s="80" t="s">
        <v>136</v>
      </c>
      <c r="CH38" s="80">
        <v>0</v>
      </c>
      <c r="CI38" s="80" t="s">
        <v>136</v>
      </c>
      <c r="CJ38" s="80">
        <v>0</v>
      </c>
      <c r="CK38" s="80" t="s">
        <v>136</v>
      </c>
      <c r="CL38" s="80">
        <v>0</v>
      </c>
      <c r="CM38" s="80" t="s">
        <v>136</v>
      </c>
      <c r="CN38" s="80">
        <v>0</v>
      </c>
      <c r="CO38" s="79">
        <v>4.61471647E-2</v>
      </c>
      <c r="CP38" s="27">
        <v>6.3551869999999998E-4</v>
      </c>
      <c r="CQ38" s="27">
        <v>0.19080944629999999</v>
      </c>
      <c r="CR38" s="27">
        <v>2.1393039999999999E-3</v>
      </c>
      <c r="CS38" s="27">
        <v>1.3069914472999999</v>
      </c>
      <c r="CT38" s="27">
        <v>1.5047229299999999E-2</v>
      </c>
      <c r="CU38" s="27">
        <v>19.954737976000001</v>
      </c>
      <c r="CV38" s="92">
        <v>0.46993338620000003</v>
      </c>
      <c r="CW38" s="80" t="s">
        <v>136</v>
      </c>
      <c r="CX38" s="80">
        <v>0</v>
      </c>
      <c r="CY38" s="80" t="s">
        <v>136</v>
      </c>
      <c r="CZ38" s="80">
        <v>0</v>
      </c>
      <c r="DA38" s="79">
        <v>14.037401358</v>
      </c>
      <c r="DB38" s="27">
        <v>0.22753500930000001</v>
      </c>
      <c r="DC38" s="27">
        <v>44.808437452</v>
      </c>
      <c r="DD38" s="27">
        <v>1.9091794295</v>
      </c>
      <c r="DE38" s="27">
        <v>13.961355530000001</v>
      </c>
      <c r="DF38" s="27">
        <v>0.40998227349999999</v>
      </c>
      <c r="DG38" s="27">
        <v>100.02730216</v>
      </c>
      <c r="DH38" s="92">
        <v>0.93726102700000002</v>
      </c>
      <c r="DI38" s="95">
        <v>1.5407464999999999E-3</v>
      </c>
      <c r="DJ38" s="96">
        <v>2.6365083999999998E-3</v>
      </c>
      <c r="DK38" s="96">
        <v>2.8698043999999998E-3</v>
      </c>
      <c r="DL38" s="96">
        <v>2.9008425E-3</v>
      </c>
      <c r="DM38" s="96">
        <v>2.9131544E-3</v>
      </c>
      <c r="DN38" s="96">
        <v>2.9150091000000001E-3</v>
      </c>
      <c r="DO38" s="96">
        <v>2.9168637999999998E-3</v>
      </c>
      <c r="DP38" s="96">
        <v>2.9187185E-3</v>
      </c>
      <c r="DQ38" s="96">
        <v>2.9205732000000002E-3</v>
      </c>
      <c r="DR38" s="97">
        <v>2.9224278999999999E-3</v>
      </c>
      <c r="DS38" s="93">
        <v>80.365469404999999</v>
      </c>
      <c r="DT38" s="80">
        <v>0.56357020079999998</v>
      </c>
      <c r="DU38" s="80">
        <v>39.321604485000002</v>
      </c>
      <c r="DV38" s="80">
        <v>0.28605405569999998</v>
      </c>
      <c r="DW38" s="80">
        <v>18.902085788000001</v>
      </c>
      <c r="DX38" s="80">
        <v>0.14256536410000001</v>
      </c>
      <c r="DY38" s="80">
        <v>9.0349134246999991</v>
      </c>
      <c r="DZ38" s="80">
        <v>7.1202683500000002E-2</v>
      </c>
      <c r="EA38" s="80">
        <v>4.4042446378999998</v>
      </c>
      <c r="EB38" s="80">
        <v>3.6699696300000001E-2</v>
      </c>
      <c r="EC38" s="80">
        <v>2.2320924106</v>
      </c>
      <c r="ED38" s="80">
        <v>2.0046047300000001E-2</v>
      </c>
      <c r="EE38" s="80">
        <v>1.1761247906000001</v>
      </c>
      <c r="EF38" s="80">
        <v>1.17504881E-2</v>
      </c>
      <c r="EG38" s="80">
        <v>0.6552567279</v>
      </c>
      <c r="EH38" s="80">
        <v>7.4698632000000003E-3</v>
      </c>
      <c r="EI38" s="80">
        <v>0.38802362340000002</v>
      </c>
      <c r="EJ38" s="80">
        <v>5.1688706000000001E-3</v>
      </c>
      <c r="EK38" s="80">
        <v>0.2457725466</v>
      </c>
      <c r="EL38" s="94">
        <v>3.8504374000000001E-3</v>
      </c>
    </row>
    <row r="39" spans="1:142" x14ac:dyDescent="0.2">
      <c r="A39" s="79">
        <v>3400</v>
      </c>
      <c r="B39" s="27">
        <v>2744</v>
      </c>
      <c r="C39" s="79">
        <v>1744.0416284</v>
      </c>
      <c r="D39" s="27">
        <v>3350.5373814999998</v>
      </c>
      <c r="E39" s="27">
        <v>56.586010938000001</v>
      </c>
      <c r="F39" s="27">
        <v>6.3412968599999994E-2</v>
      </c>
      <c r="G39" s="79">
        <v>2.8681722435000001</v>
      </c>
      <c r="H39" s="27">
        <v>1.7030922000000001E-3</v>
      </c>
      <c r="I39" s="27">
        <v>161.56882795000001</v>
      </c>
      <c r="J39" s="27">
        <v>1.0792267002</v>
      </c>
      <c r="K39" s="27">
        <v>63.540221520000003</v>
      </c>
      <c r="L39" s="27">
        <v>0.39422180099999998</v>
      </c>
      <c r="M39" s="27">
        <v>17.105645131999999</v>
      </c>
      <c r="N39" s="27">
        <v>0.1431286672</v>
      </c>
      <c r="O39" s="80" t="s">
        <v>136</v>
      </c>
      <c r="P39" s="80">
        <v>0</v>
      </c>
      <c r="Q39" s="27">
        <v>17.229920199999999</v>
      </c>
      <c r="R39" s="27">
        <v>3.1572792299999999E-2</v>
      </c>
      <c r="S39" s="80" t="s">
        <v>136</v>
      </c>
      <c r="T39" s="80">
        <v>0</v>
      </c>
      <c r="U39" s="80" t="s">
        <v>136</v>
      </c>
      <c r="V39" s="80">
        <v>0</v>
      </c>
      <c r="W39" s="27">
        <v>0.25960670899999999</v>
      </c>
      <c r="X39" s="27">
        <v>3.0087537000000001E-3</v>
      </c>
      <c r="Y39" s="27">
        <v>21.920842286999999</v>
      </c>
      <c r="Z39" s="27">
        <v>0.49942545090000001</v>
      </c>
      <c r="AA39" s="80" t="s">
        <v>136</v>
      </c>
      <c r="AB39" s="80">
        <v>0</v>
      </c>
      <c r="AC39" s="27">
        <v>0</v>
      </c>
      <c r="AD39" s="27">
        <v>0</v>
      </c>
      <c r="AE39" s="80" t="s">
        <v>136</v>
      </c>
      <c r="AF39" s="80">
        <v>0</v>
      </c>
      <c r="AG39" s="80" t="s">
        <v>136</v>
      </c>
      <c r="AH39" s="80">
        <v>0</v>
      </c>
      <c r="AI39" s="27">
        <f t="shared" si="4"/>
        <v>0</v>
      </c>
      <c r="AJ39" s="27">
        <f t="shared" si="5"/>
        <v>0</v>
      </c>
      <c r="AK39" s="27">
        <v>99.176204322999993</v>
      </c>
      <c r="AL39" s="27">
        <v>1.4326668285999999</v>
      </c>
      <c r="AM39" s="80" t="s">
        <v>136</v>
      </c>
      <c r="AN39" s="80">
        <v>0</v>
      </c>
      <c r="AO39" s="80" t="s">
        <v>136</v>
      </c>
      <c r="AP39" s="80">
        <v>0</v>
      </c>
      <c r="AQ39" s="80" t="s">
        <v>136</v>
      </c>
      <c r="AR39" s="80">
        <v>0</v>
      </c>
      <c r="AS39" s="27">
        <v>59.935040811</v>
      </c>
      <c r="AT39" s="27">
        <v>2.1659100635000001</v>
      </c>
      <c r="AU39" s="27">
        <v>47.247650155000002</v>
      </c>
      <c r="AV39" s="27">
        <v>0.38910727119999999</v>
      </c>
      <c r="AW39" s="27">
        <v>21.408154632999999</v>
      </c>
      <c r="AX39" s="27">
        <v>0.2320083691</v>
      </c>
      <c r="AY39" s="27">
        <v>9.1296147051999998</v>
      </c>
      <c r="AZ39" s="27">
        <v>8.5051723699999998E-2</v>
      </c>
      <c r="BA39" s="80">
        <f t="shared" si="6"/>
        <v>16.709880816800002</v>
      </c>
      <c r="BB39" s="80">
        <f t="shared" si="7"/>
        <v>7.2047178399999967E-2</v>
      </c>
      <c r="BC39" s="27">
        <v>0</v>
      </c>
      <c r="BD39" s="80">
        <v>0</v>
      </c>
      <c r="BE39" s="27">
        <v>117.00888270999999</v>
      </c>
      <c r="BF39" s="27">
        <v>1.3720830939999999</v>
      </c>
      <c r="BG39" s="79">
        <v>3.4557445999999999E-3</v>
      </c>
      <c r="BH39" s="80">
        <v>0</v>
      </c>
      <c r="BI39" s="27">
        <v>132.08747392999999</v>
      </c>
      <c r="BJ39" s="27">
        <v>4.3348353971</v>
      </c>
      <c r="BK39" s="27">
        <v>139.10240414</v>
      </c>
      <c r="BL39" s="27">
        <v>1.0582037945</v>
      </c>
      <c r="BM39" s="27">
        <v>41.531861094</v>
      </c>
      <c r="BN39" s="27">
        <v>0.22445380919999999</v>
      </c>
      <c r="BO39" s="27">
        <v>8.3427335300000002E-2</v>
      </c>
      <c r="BP39" s="27">
        <v>6.8854039999999999E-4</v>
      </c>
      <c r="BQ39" s="27">
        <v>0</v>
      </c>
      <c r="BR39" s="92">
        <v>0</v>
      </c>
      <c r="BS39" s="80" t="s">
        <v>136</v>
      </c>
      <c r="BT39" s="80">
        <v>0</v>
      </c>
      <c r="BU39" s="79">
        <v>0.25960730030000001</v>
      </c>
      <c r="BV39" s="27">
        <v>3.3047644000000001E-3</v>
      </c>
      <c r="BW39" s="27">
        <v>16.846037832</v>
      </c>
      <c r="BX39" s="27">
        <v>0.13982390280000001</v>
      </c>
      <c r="BY39" s="80" t="s">
        <v>136</v>
      </c>
      <c r="BZ39" s="80">
        <v>0</v>
      </c>
      <c r="CA39" s="80" t="s">
        <v>136</v>
      </c>
      <c r="CB39" s="80">
        <v>0</v>
      </c>
      <c r="CC39" s="27">
        <v>6.6441493183000002</v>
      </c>
      <c r="CD39" s="27">
        <v>7.5269945999999997E-3</v>
      </c>
      <c r="CE39" s="27">
        <v>10.585770881</v>
      </c>
      <c r="CF39" s="92">
        <v>2.40457977E-2</v>
      </c>
      <c r="CG39" s="80" t="s">
        <v>136</v>
      </c>
      <c r="CH39" s="80">
        <v>0</v>
      </c>
      <c r="CI39" s="80" t="s">
        <v>136</v>
      </c>
      <c r="CJ39" s="80">
        <v>0</v>
      </c>
      <c r="CK39" s="80" t="s">
        <v>136</v>
      </c>
      <c r="CL39" s="80">
        <v>0</v>
      </c>
      <c r="CM39" s="80" t="s">
        <v>136</v>
      </c>
      <c r="CN39" s="80">
        <v>0</v>
      </c>
      <c r="CO39" s="79">
        <v>4.57687445E-2</v>
      </c>
      <c r="CP39" s="27">
        <v>6.3050550000000002E-4</v>
      </c>
      <c r="CQ39" s="27">
        <v>0.21383796450000001</v>
      </c>
      <c r="CR39" s="27">
        <v>2.3782482E-3</v>
      </c>
      <c r="CS39" s="27">
        <v>1.3841848878</v>
      </c>
      <c r="CT39" s="27">
        <v>1.5824382500000001E-2</v>
      </c>
      <c r="CU39" s="27">
        <v>20.536657398999999</v>
      </c>
      <c r="CV39" s="92">
        <v>0.4836010684</v>
      </c>
      <c r="CW39" s="80" t="s">
        <v>136</v>
      </c>
      <c r="CX39" s="80">
        <v>0</v>
      </c>
      <c r="CY39" s="80" t="s">
        <v>136</v>
      </c>
      <c r="CZ39" s="80">
        <v>0</v>
      </c>
      <c r="DA39" s="79">
        <v>14.367881765</v>
      </c>
      <c r="DB39" s="27">
        <v>0.23235092660000001</v>
      </c>
      <c r="DC39" s="27">
        <v>45.567159046</v>
      </c>
      <c r="DD39" s="27">
        <v>1.9335591369</v>
      </c>
      <c r="DE39" s="27">
        <v>14.846422473000001</v>
      </c>
      <c r="DF39" s="27">
        <v>0.42086056890000001</v>
      </c>
      <c r="DG39" s="27">
        <v>102.16246024</v>
      </c>
      <c r="DH39" s="92">
        <v>0.95122252510000005</v>
      </c>
      <c r="DI39" s="95">
        <v>1.6114138E-3</v>
      </c>
      <c r="DJ39" s="96">
        <v>2.7667548E-3</v>
      </c>
      <c r="DK39" s="96">
        <v>3.0099389000000001E-3</v>
      </c>
      <c r="DL39" s="96">
        <v>3.0407515000000001E-3</v>
      </c>
      <c r="DM39" s="96">
        <v>3.0529924000000002E-3</v>
      </c>
      <c r="DN39" s="96">
        <v>3.0548314000000002E-3</v>
      </c>
      <c r="DO39" s="96">
        <v>3.0566704999999998E-3</v>
      </c>
      <c r="DP39" s="96">
        <v>3.0585094999999998E-3</v>
      </c>
      <c r="DQ39" s="96">
        <v>3.0603485999999998E-3</v>
      </c>
      <c r="DR39" s="97">
        <v>3.0621876999999999E-3</v>
      </c>
      <c r="DS39" s="93">
        <v>81.627419977000002</v>
      </c>
      <c r="DT39" s="80">
        <v>0.57200471679999998</v>
      </c>
      <c r="DU39" s="80">
        <v>40.166961424999997</v>
      </c>
      <c r="DV39" s="80">
        <v>0.29193978469999998</v>
      </c>
      <c r="DW39" s="80">
        <v>19.437247259999999</v>
      </c>
      <c r="DX39" s="80">
        <v>0.14644945849999999</v>
      </c>
      <c r="DY39" s="80">
        <v>9.3564477690000007</v>
      </c>
      <c r="DZ39" s="80">
        <v>7.3678352500000002E-2</v>
      </c>
      <c r="EA39" s="80">
        <v>4.6031955571000003</v>
      </c>
      <c r="EB39" s="80">
        <v>3.8360500700000001E-2</v>
      </c>
      <c r="EC39" s="80">
        <v>2.3508917486000001</v>
      </c>
      <c r="ED39" s="80">
        <v>2.11470333E-2</v>
      </c>
      <c r="EE39" s="80">
        <v>1.2506960005000001</v>
      </c>
      <c r="EF39" s="80">
        <v>1.2520004100000001E-2</v>
      </c>
      <c r="EG39" s="80">
        <v>0.70364029689999996</v>
      </c>
      <c r="EH39" s="80">
        <v>8.0307916999999996E-3</v>
      </c>
      <c r="EI39" s="80">
        <v>0.42244221119999997</v>
      </c>
      <c r="EJ39" s="80">
        <v>5.6110522000000001E-3</v>
      </c>
      <c r="EK39" s="80">
        <v>0.26999684070000002</v>
      </c>
      <c r="EL39" s="94">
        <v>4.2072534000000003E-3</v>
      </c>
    </row>
    <row r="40" spans="1:142" x14ac:dyDescent="0.2">
      <c r="A40" s="79">
        <v>3500</v>
      </c>
      <c r="B40" s="27">
        <v>2668</v>
      </c>
      <c r="C40" s="79">
        <v>1776.1879317</v>
      </c>
      <c r="D40" s="27">
        <v>3449.9445821999998</v>
      </c>
      <c r="E40" s="27">
        <v>58.436724763999997</v>
      </c>
      <c r="F40" s="27">
        <v>6.4604434099999997E-2</v>
      </c>
      <c r="G40" s="79">
        <v>3.1766324468999998</v>
      </c>
      <c r="H40" s="27">
        <v>1.8390571000000001E-3</v>
      </c>
      <c r="I40" s="27">
        <v>163.18287248999999</v>
      </c>
      <c r="J40" s="27">
        <v>1.0897707059999999</v>
      </c>
      <c r="K40" s="27">
        <v>64.619201824000001</v>
      </c>
      <c r="L40" s="27">
        <v>0.40095416649999999</v>
      </c>
      <c r="M40" s="27">
        <v>17.549353704000001</v>
      </c>
      <c r="N40" s="27">
        <v>0.14654866699999999</v>
      </c>
      <c r="O40" s="80" t="s">
        <v>136</v>
      </c>
      <c r="P40" s="80">
        <v>0</v>
      </c>
      <c r="Q40" s="27">
        <v>18.317519239999999</v>
      </c>
      <c r="R40" s="27">
        <v>3.3209027799999999E-2</v>
      </c>
      <c r="S40" s="80" t="s">
        <v>136</v>
      </c>
      <c r="T40" s="80">
        <v>0</v>
      </c>
      <c r="U40" s="80" t="s">
        <v>136</v>
      </c>
      <c r="V40" s="80">
        <v>0</v>
      </c>
      <c r="W40" s="27">
        <v>0.26849559769999998</v>
      </c>
      <c r="X40" s="27">
        <v>3.0644053000000002E-3</v>
      </c>
      <c r="Y40" s="27">
        <v>22.621336883000001</v>
      </c>
      <c r="Z40" s="27">
        <v>0.51459018580000004</v>
      </c>
      <c r="AA40" s="80" t="s">
        <v>136</v>
      </c>
      <c r="AB40" s="80">
        <v>0</v>
      </c>
      <c r="AC40" s="27">
        <v>0</v>
      </c>
      <c r="AD40" s="27">
        <v>0</v>
      </c>
      <c r="AE40" s="80" t="s">
        <v>136</v>
      </c>
      <c r="AF40" s="80">
        <v>0</v>
      </c>
      <c r="AG40" s="80" t="s">
        <v>136</v>
      </c>
      <c r="AH40" s="80">
        <v>0</v>
      </c>
      <c r="AI40" s="27">
        <f t="shared" si="4"/>
        <v>0</v>
      </c>
      <c r="AJ40" s="27">
        <f t="shared" si="5"/>
        <v>0</v>
      </c>
      <c r="AK40" s="27">
        <v>100.95855945</v>
      </c>
      <c r="AL40" s="27">
        <v>1.4488684826</v>
      </c>
      <c r="AM40" s="80" t="s">
        <v>136</v>
      </c>
      <c r="AN40" s="80">
        <v>0</v>
      </c>
      <c r="AO40" s="80" t="s">
        <v>136</v>
      </c>
      <c r="AP40" s="80">
        <v>0</v>
      </c>
      <c r="AQ40" s="80" t="s">
        <v>136</v>
      </c>
      <c r="AR40" s="80">
        <v>0</v>
      </c>
      <c r="AS40" s="27">
        <v>61.087605760999999</v>
      </c>
      <c r="AT40" s="27">
        <v>2.1957970430999998</v>
      </c>
      <c r="AU40" s="27">
        <v>48.442094697999998</v>
      </c>
      <c r="AV40" s="27">
        <v>0.39604870250000002</v>
      </c>
      <c r="AW40" s="27">
        <v>21.906005392000001</v>
      </c>
      <c r="AX40" s="27">
        <v>0.23623025810000001</v>
      </c>
      <c r="AY40" s="27">
        <v>9.2776704183999996</v>
      </c>
      <c r="AZ40" s="27">
        <v>8.6042468900000002E-2</v>
      </c>
      <c r="BA40" s="80">
        <f t="shared" si="6"/>
        <v>17.258418887599998</v>
      </c>
      <c r="BB40" s="80">
        <f t="shared" si="7"/>
        <v>7.3775975500000035E-2</v>
      </c>
      <c r="BC40" s="27">
        <v>0</v>
      </c>
      <c r="BD40" s="80">
        <v>0</v>
      </c>
      <c r="BE40" s="27">
        <v>119.73501207</v>
      </c>
      <c r="BF40" s="27">
        <v>1.3937702456000001</v>
      </c>
      <c r="BG40" s="79">
        <v>3.7447510000000002E-3</v>
      </c>
      <c r="BH40" s="80">
        <v>0</v>
      </c>
      <c r="BI40" s="27">
        <v>134.27171898</v>
      </c>
      <c r="BJ40" s="27">
        <v>4.3813348124999996</v>
      </c>
      <c r="BK40" s="27">
        <v>144.19956579000001</v>
      </c>
      <c r="BL40" s="27">
        <v>1.0946830879</v>
      </c>
      <c r="BM40" s="27">
        <v>42.668692735</v>
      </c>
      <c r="BN40" s="27">
        <v>0.2294454343</v>
      </c>
      <c r="BO40" s="27">
        <v>8.2686457000000005E-2</v>
      </c>
      <c r="BP40" s="27">
        <v>6.8259810000000001E-4</v>
      </c>
      <c r="BQ40" s="27">
        <v>0</v>
      </c>
      <c r="BR40" s="92">
        <v>0</v>
      </c>
      <c r="BS40" s="80" t="s">
        <v>136</v>
      </c>
      <c r="BT40" s="80">
        <v>0</v>
      </c>
      <c r="BU40" s="79">
        <v>0.26832623329999999</v>
      </c>
      <c r="BV40" s="27">
        <v>3.4224982E-3</v>
      </c>
      <c r="BW40" s="27">
        <v>17.281027470000002</v>
      </c>
      <c r="BX40" s="27">
        <v>0.14312616880000001</v>
      </c>
      <c r="BY40" s="80" t="s">
        <v>136</v>
      </c>
      <c r="BZ40" s="80">
        <v>0</v>
      </c>
      <c r="CA40" s="80" t="s">
        <v>136</v>
      </c>
      <c r="CB40" s="80">
        <v>0</v>
      </c>
      <c r="CC40" s="27">
        <v>7.1548127981</v>
      </c>
      <c r="CD40" s="27">
        <v>7.9817190999999996E-3</v>
      </c>
      <c r="CE40" s="27">
        <v>11.162706441999999</v>
      </c>
      <c r="CF40" s="92">
        <v>2.5227308699999999E-2</v>
      </c>
      <c r="CG40" s="80" t="s">
        <v>136</v>
      </c>
      <c r="CH40" s="80">
        <v>0</v>
      </c>
      <c r="CI40" s="80" t="s">
        <v>136</v>
      </c>
      <c r="CJ40" s="80">
        <v>0</v>
      </c>
      <c r="CK40" s="80" t="s">
        <v>136</v>
      </c>
      <c r="CL40" s="80">
        <v>0</v>
      </c>
      <c r="CM40" s="80" t="s">
        <v>136</v>
      </c>
      <c r="CN40" s="80">
        <v>0</v>
      </c>
      <c r="CO40" s="79">
        <v>5.1680473400000003E-2</v>
      </c>
      <c r="CP40" s="27">
        <v>6.6283939999999995E-4</v>
      </c>
      <c r="CQ40" s="27">
        <v>0.21681512419999999</v>
      </c>
      <c r="CR40" s="27">
        <v>2.4015657999999999E-3</v>
      </c>
      <c r="CS40" s="27">
        <v>1.4458344257</v>
      </c>
      <c r="CT40" s="27">
        <v>1.64818992E-2</v>
      </c>
      <c r="CU40" s="27">
        <v>21.175502457</v>
      </c>
      <c r="CV40" s="92">
        <v>0.49810828660000001</v>
      </c>
      <c r="CW40" s="80" t="s">
        <v>136</v>
      </c>
      <c r="CX40" s="80">
        <v>0</v>
      </c>
      <c r="CY40" s="80" t="s">
        <v>136</v>
      </c>
      <c r="CZ40" s="80">
        <v>0</v>
      </c>
      <c r="DA40" s="79">
        <v>14.764603846</v>
      </c>
      <c r="DB40" s="27">
        <v>0.23718268619999999</v>
      </c>
      <c r="DC40" s="27">
        <v>46.323001914999999</v>
      </c>
      <c r="DD40" s="27">
        <v>1.9586143569000001</v>
      </c>
      <c r="DE40" s="27">
        <v>15.538715678999999</v>
      </c>
      <c r="DF40" s="27">
        <v>0.42992011099999999</v>
      </c>
      <c r="DG40" s="27">
        <v>104.19629639</v>
      </c>
      <c r="DH40" s="92">
        <v>0.96385013450000001</v>
      </c>
      <c r="DI40" s="95">
        <v>1.7482016E-3</v>
      </c>
      <c r="DJ40" s="96">
        <v>3.0175354000000001E-3</v>
      </c>
      <c r="DK40" s="96">
        <v>3.3013071999999999E-3</v>
      </c>
      <c r="DL40" s="96">
        <v>3.3334456999999998E-3</v>
      </c>
      <c r="DM40" s="96">
        <v>3.3456183E-3</v>
      </c>
      <c r="DN40" s="96">
        <v>3.3474408E-3</v>
      </c>
      <c r="DO40" s="96">
        <v>3.3492634E-3</v>
      </c>
      <c r="DP40" s="96">
        <v>3.3510859E-3</v>
      </c>
      <c r="DQ40" s="96">
        <v>3.3529084000000001E-3</v>
      </c>
      <c r="DR40" s="97">
        <v>3.3547309000000001E-3</v>
      </c>
      <c r="DS40" s="93">
        <v>82.870738423999995</v>
      </c>
      <c r="DT40" s="80">
        <v>0.58031153879999997</v>
      </c>
      <c r="DU40" s="80">
        <v>40.996300969000004</v>
      </c>
      <c r="DV40" s="80">
        <v>0.29772017490000002</v>
      </c>
      <c r="DW40" s="80">
        <v>19.957080541</v>
      </c>
      <c r="DX40" s="80">
        <v>0.1502993426</v>
      </c>
      <c r="DY40" s="80">
        <v>9.6861237072000002</v>
      </c>
      <c r="DZ40" s="80">
        <v>7.6293573599999998E-2</v>
      </c>
      <c r="EA40" s="80">
        <v>4.7986794962000001</v>
      </c>
      <c r="EB40" s="80">
        <v>4.0073219600000001E-2</v>
      </c>
      <c r="EC40" s="80">
        <v>2.4662799504000001</v>
      </c>
      <c r="ED40" s="80">
        <v>2.2304718099999999E-2</v>
      </c>
      <c r="EE40" s="80">
        <v>1.3185904347999999</v>
      </c>
      <c r="EF40" s="80">
        <v>1.33384217E-2</v>
      </c>
      <c r="EG40" s="80">
        <v>0.74628887320000004</v>
      </c>
      <c r="EH40" s="80">
        <v>8.6584482000000001E-3</v>
      </c>
      <c r="EI40" s="80">
        <v>0.45115158080000001</v>
      </c>
      <c r="EJ40" s="80">
        <v>6.1268974999999998E-3</v>
      </c>
      <c r="EK40" s="80">
        <v>0.29019508440000003</v>
      </c>
      <c r="EL40" s="94">
        <v>4.6530775E-3</v>
      </c>
    </row>
    <row r="41" spans="1:142" x14ac:dyDescent="0.2">
      <c r="A41" s="79">
        <v>3600</v>
      </c>
      <c r="B41" s="27">
        <v>2532</v>
      </c>
      <c r="C41" s="79">
        <v>1807.8245589999999</v>
      </c>
      <c r="D41" s="27">
        <v>3550.6738734999999</v>
      </c>
      <c r="E41" s="27">
        <v>60.375145492000001</v>
      </c>
      <c r="F41" s="27">
        <v>6.5759828699999995E-2</v>
      </c>
      <c r="G41" s="79">
        <v>3.4156155504000001</v>
      </c>
      <c r="H41" s="27">
        <v>1.9431699000000001E-3</v>
      </c>
      <c r="I41" s="27">
        <v>164.68731645</v>
      </c>
      <c r="J41" s="27">
        <v>1.0996329774</v>
      </c>
      <c r="K41" s="27">
        <v>65.779882024000003</v>
      </c>
      <c r="L41" s="27">
        <v>0.40813685399999999</v>
      </c>
      <c r="M41" s="27">
        <v>18.071423925000001</v>
      </c>
      <c r="N41" s="27">
        <v>0.1507169773</v>
      </c>
      <c r="O41" s="80" t="s">
        <v>136</v>
      </c>
      <c r="P41" s="80">
        <v>0</v>
      </c>
      <c r="Q41" s="27">
        <v>19.343708746000001</v>
      </c>
      <c r="R41" s="27">
        <v>3.4711600199999998E-2</v>
      </c>
      <c r="S41" s="80" t="s">
        <v>136</v>
      </c>
      <c r="T41" s="80">
        <v>0</v>
      </c>
      <c r="U41" s="80" t="s">
        <v>136</v>
      </c>
      <c r="V41" s="80">
        <v>0</v>
      </c>
      <c r="W41" s="27">
        <v>0.2782482382</v>
      </c>
      <c r="X41" s="27">
        <v>3.1716087E-3</v>
      </c>
      <c r="Y41" s="27">
        <v>23.296568543999999</v>
      </c>
      <c r="Z41" s="27">
        <v>0.52912452409999999</v>
      </c>
      <c r="AA41" s="80" t="s">
        <v>136</v>
      </c>
      <c r="AB41" s="80">
        <v>0</v>
      </c>
      <c r="AC41" s="27">
        <v>0</v>
      </c>
      <c r="AD41" s="27">
        <v>0</v>
      </c>
      <c r="AE41" s="80" t="s">
        <v>136</v>
      </c>
      <c r="AF41" s="80">
        <v>0</v>
      </c>
      <c r="AG41" s="80" t="s">
        <v>136</v>
      </c>
      <c r="AH41" s="80">
        <v>0</v>
      </c>
      <c r="AI41" s="27">
        <f t="shared" si="4"/>
        <v>0</v>
      </c>
      <c r="AJ41" s="27">
        <f t="shared" si="5"/>
        <v>0</v>
      </c>
      <c r="AK41" s="27">
        <v>102.57778143</v>
      </c>
      <c r="AL41" s="27">
        <v>1.4630565809</v>
      </c>
      <c r="AM41" s="80" t="s">
        <v>136</v>
      </c>
      <c r="AN41" s="80">
        <v>0</v>
      </c>
      <c r="AO41" s="80" t="s">
        <v>136</v>
      </c>
      <c r="AP41" s="80">
        <v>0</v>
      </c>
      <c r="AQ41" s="80" t="s">
        <v>136</v>
      </c>
      <c r="AR41" s="80">
        <v>0</v>
      </c>
      <c r="AS41" s="27">
        <v>62.070946300000003</v>
      </c>
      <c r="AT41" s="27">
        <v>2.2226236816</v>
      </c>
      <c r="AU41" s="27">
        <v>49.488995443</v>
      </c>
      <c r="AV41" s="27">
        <v>0.40298897369999997</v>
      </c>
      <c r="AW41" s="27">
        <v>22.421699066999999</v>
      </c>
      <c r="AX41" s="27">
        <v>0.24068517789999999</v>
      </c>
      <c r="AY41" s="27">
        <v>9.4430531845000001</v>
      </c>
      <c r="AZ41" s="27">
        <v>8.7230132799999999E-2</v>
      </c>
      <c r="BA41" s="80">
        <f t="shared" si="6"/>
        <v>17.6242431915</v>
      </c>
      <c r="BB41" s="80">
        <f t="shared" si="7"/>
        <v>7.5073662999999957E-2</v>
      </c>
      <c r="BC41" s="27">
        <v>0</v>
      </c>
      <c r="BD41" s="80">
        <v>0</v>
      </c>
      <c r="BE41" s="27">
        <v>122.69151779000001</v>
      </c>
      <c r="BF41" s="27">
        <v>1.4160446218</v>
      </c>
      <c r="BG41" s="79">
        <v>3.9556106999999998E-3</v>
      </c>
      <c r="BH41" s="80">
        <v>0</v>
      </c>
      <c r="BI41" s="27">
        <v>136.12340549999999</v>
      </c>
      <c r="BJ41" s="27">
        <v>4.4226743399000004</v>
      </c>
      <c r="BK41" s="27">
        <v>148.90399567</v>
      </c>
      <c r="BL41" s="27">
        <v>1.1277378665</v>
      </c>
      <c r="BM41" s="27">
        <v>44.233871192999999</v>
      </c>
      <c r="BN41" s="27">
        <v>0.23597177629999999</v>
      </c>
      <c r="BO41" s="27">
        <v>8.2761738700000004E-2</v>
      </c>
      <c r="BP41" s="27">
        <v>6.8120229999999999E-4</v>
      </c>
      <c r="BQ41" s="27">
        <v>0</v>
      </c>
      <c r="BR41" s="92">
        <v>0</v>
      </c>
      <c r="BS41" s="80" t="s">
        <v>136</v>
      </c>
      <c r="BT41" s="80">
        <v>0</v>
      </c>
      <c r="BU41" s="79">
        <v>0.29573091130000001</v>
      </c>
      <c r="BV41" s="27">
        <v>3.6465795999999998E-3</v>
      </c>
      <c r="BW41" s="27">
        <v>17.775693013000001</v>
      </c>
      <c r="BX41" s="27">
        <v>0.14707039769999999</v>
      </c>
      <c r="BY41" s="80" t="s">
        <v>136</v>
      </c>
      <c r="BZ41" s="80">
        <v>0</v>
      </c>
      <c r="CA41" s="80" t="s">
        <v>136</v>
      </c>
      <c r="CB41" s="80">
        <v>0</v>
      </c>
      <c r="CC41" s="27">
        <v>7.6801058880999999</v>
      </c>
      <c r="CD41" s="27">
        <v>8.4448466999999996E-3</v>
      </c>
      <c r="CE41" s="27">
        <v>11.663602858000001</v>
      </c>
      <c r="CF41" s="92">
        <v>2.6266753399999999E-2</v>
      </c>
      <c r="CG41" s="80" t="s">
        <v>136</v>
      </c>
      <c r="CH41" s="80">
        <v>0</v>
      </c>
      <c r="CI41" s="80" t="s">
        <v>136</v>
      </c>
      <c r="CJ41" s="80">
        <v>0</v>
      </c>
      <c r="CK41" s="80" t="s">
        <v>136</v>
      </c>
      <c r="CL41" s="80">
        <v>0</v>
      </c>
      <c r="CM41" s="80" t="s">
        <v>136</v>
      </c>
      <c r="CN41" s="80">
        <v>0</v>
      </c>
      <c r="CO41" s="79">
        <v>5.6492777600000002E-2</v>
      </c>
      <c r="CP41" s="27">
        <v>7.2328110000000002E-4</v>
      </c>
      <c r="CQ41" s="27">
        <v>0.22175546060000001</v>
      </c>
      <c r="CR41" s="27">
        <v>2.4483275999999999E-3</v>
      </c>
      <c r="CS41" s="27">
        <v>1.5222140947</v>
      </c>
      <c r="CT41" s="27">
        <v>1.7260957899999999E-2</v>
      </c>
      <c r="CU41" s="27">
        <v>21.774354450000001</v>
      </c>
      <c r="CV41" s="92">
        <v>0.51186356619999995</v>
      </c>
      <c r="CW41" s="80" t="s">
        <v>136</v>
      </c>
      <c r="CX41" s="80">
        <v>0</v>
      </c>
      <c r="CY41" s="80" t="s">
        <v>136</v>
      </c>
      <c r="CZ41" s="80">
        <v>0</v>
      </c>
      <c r="DA41" s="79">
        <v>14.983666127999999</v>
      </c>
      <c r="DB41" s="27">
        <v>0.24088318149999999</v>
      </c>
      <c r="DC41" s="27">
        <v>47.087280172</v>
      </c>
      <c r="DD41" s="27">
        <v>1.9817405000999999</v>
      </c>
      <c r="DE41" s="27">
        <v>16.291154206000002</v>
      </c>
      <c r="DF41" s="27">
        <v>0.43829663260000001</v>
      </c>
      <c r="DG41" s="27">
        <v>106.40036359</v>
      </c>
      <c r="DH41" s="92">
        <v>0.97774798919999995</v>
      </c>
      <c r="DI41" s="95">
        <v>1.8512165999999999E-3</v>
      </c>
      <c r="DJ41" s="96">
        <v>3.2044517999999999E-3</v>
      </c>
      <c r="DK41" s="96">
        <v>3.5085835000000002E-3</v>
      </c>
      <c r="DL41" s="96">
        <v>3.5472098999999998E-3</v>
      </c>
      <c r="DM41" s="96">
        <v>3.5593171999999998E-3</v>
      </c>
      <c r="DN41" s="96">
        <v>3.5611267000000002E-3</v>
      </c>
      <c r="DO41" s="96">
        <v>3.5629363000000002E-3</v>
      </c>
      <c r="DP41" s="96">
        <v>3.5647459000000001E-3</v>
      </c>
      <c r="DQ41" s="96">
        <v>3.5665554E-3</v>
      </c>
      <c r="DR41" s="97">
        <v>3.568365E-3</v>
      </c>
      <c r="DS41" s="93">
        <v>84.039929482999995</v>
      </c>
      <c r="DT41" s="80">
        <v>0.58811745680000005</v>
      </c>
      <c r="DU41" s="80">
        <v>41.802215494000002</v>
      </c>
      <c r="DV41" s="80">
        <v>0.30324738680000002</v>
      </c>
      <c r="DW41" s="80">
        <v>20.475807721999999</v>
      </c>
      <c r="DX41" s="80">
        <v>0.15396131169999999</v>
      </c>
      <c r="DY41" s="80">
        <v>10.002241588</v>
      </c>
      <c r="DZ41" s="80">
        <v>7.8620073400000004E-2</v>
      </c>
      <c r="EA41" s="80">
        <v>4.9884912996999997</v>
      </c>
      <c r="EB41" s="80">
        <v>4.1545026700000001E-2</v>
      </c>
      <c r="EC41" s="80">
        <v>2.5930651865000001</v>
      </c>
      <c r="ED41" s="80">
        <v>2.33292971E-2</v>
      </c>
      <c r="EE41" s="80">
        <v>1.4073271898999999</v>
      </c>
      <c r="EF41" s="80">
        <v>1.40854064E-2</v>
      </c>
      <c r="EG41" s="80">
        <v>0.80822442579999998</v>
      </c>
      <c r="EH41" s="80">
        <v>9.2048709000000003E-3</v>
      </c>
      <c r="EI41" s="80">
        <v>0.49185718340000001</v>
      </c>
      <c r="EJ41" s="80">
        <v>6.5137040000000004E-3</v>
      </c>
      <c r="EK41" s="80">
        <v>0.3183380542</v>
      </c>
      <c r="EL41" s="94">
        <v>4.9435167E-3</v>
      </c>
    </row>
    <row r="42" spans="1:142" x14ac:dyDescent="0.2">
      <c r="A42" s="79">
        <v>3700</v>
      </c>
      <c r="B42" s="27">
        <v>2393</v>
      </c>
      <c r="C42" s="79">
        <v>1838.7067511</v>
      </c>
      <c r="D42" s="27">
        <v>3650.4423744000001</v>
      </c>
      <c r="E42" s="27">
        <v>62.099479227000003</v>
      </c>
      <c r="F42" s="27">
        <v>6.6801881300000004E-2</v>
      </c>
      <c r="G42" s="79">
        <v>3.6533380623</v>
      </c>
      <c r="H42" s="27">
        <v>2.0420217E-3</v>
      </c>
      <c r="I42" s="27">
        <v>166.17361131999999</v>
      </c>
      <c r="J42" s="27">
        <v>1.1092152306</v>
      </c>
      <c r="K42" s="27">
        <v>66.794071797000001</v>
      </c>
      <c r="L42" s="27">
        <v>0.41422016319999999</v>
      </c>
      <c r="M42" s="27">
        <v>18.514120275</v>
      </c>
      <c r="N42" s="27">
        <v>0.1542150595</v>
      </c>
      <c r="O42" s="80" t="s">
        <v>136</v>
      </c>
      <c r="P42" s="80">
        <v>0</v>
      </c>
      <c r="Q42" s="27">
        <v>20.132274323000001</v>
      </c>
      <c r="R42" s="27">
        <v>3.5912282099999998E-2</v>
      </c>
      <c r="S42" s="80" t="s">
        <v>136</v>
      </c>
      <c r="T42" s="80">
        <v>0</v>
      </c>
      <c r="U42" s="80" t="s">
        <v>136</v>
      </c>
      <c r="V42" s="80">
        <v>0</v>
      </c>
      <c r="W42" s="27">
        <v>0.30205121639999999</v>
      </c>
      <c r="X42" s="27">
        <v>3.4320732E-3</v>
      </c>
      <c r="Y42" s="27">
        <v>23.868094987999999</v>
      </c>
      <c r="Z42" s="27">
        <v>0.54170169459999995</v>
      </c>
      <c r="AA42" s="80" t="s">
        <v>136</v>
      </c>
      <c r="AB42" s="80">
        <v>0</v>
      </c>
      <c r="AC42" s="27">
        <v>0</v>
      </c>
      <c r="AD42" s="27">
        <v>0</v>
      </c>
      <c r="AE42" s="80" t="s">
        <v>136</v>
      </c>
      <c r="AF42" s="80">
        <v>0</v>
      </c>
      <c r="AG42" s="80" t="s">
        <v>136</v>
      </c>
      <c r="AH42" s="80">
        <v>0</v>
      </c>
      <c r="AI42" s="27">
        <f t="shared" si="4"/>
        <v>0</v>
      </c>
      <c r="AJ42" s="27">
        <f t="shared" si="5"/>
        <v>0</v>
      </c>
      <c r="AK42" s="27">
        <v>104.17776622</v>
      </c>
      <c r="AL42" s="27">
        <v>1.4785375384999999</v>
      </c>
      <c r="AM42" s="80" t="s">
        <v>136</v>
      </c>
      <c r="AN42" s="80">
        <v>0</v>
      </c>
      <c r="AO42" s="80" t="s">
        <v>136</v>
      </c>
      <c r="AP42" s="80">
        <v>0</v>
      </c>
      <c r="AQ42" s="80" t="s">
        <v>136</v>
      </c>
      <c r="AR42" s="80">
        <v>0</v>
      </c>
      <c r="AS42" s="27">
        <v>63.118722798</v>
      </c>
      <c r="AT42" s="27">
        <v>2.2502413564000001</v>
      </c>
      <c r="AU42" s="27">
        <v>50.592783240000003</v>
      </c>
      <c r="AV42" s="27">
        <v>0.4095011133</v>
      </c>
      <c r="AW42" s="27">
        <v>22.933234855999999</v>
      </c>
      <c r="AX42" s="27">
        <v>0.2448642224</v>
      </c>
      <c r="AY42" s="27">
        <v>9.5896455517000003</v>
      </c>
      <c r="AZ42" s="27">
        <v>8.81808236E-2</v>
      </c>
      <c r="BA42" s="80">
        <f t="shared" si="6"/>
        <v>18.069902832300002</v>
      </c>
      <c r="BB42" s="80">
        <f t="shared" si="7"/>
        <v>7.6456067299999986E-2</v>
      </c>
      <c r="BC42" s="27">
        <v>0</v>
      </c>
      <c r="BD42" s="80">
        <v>0</v>
      </c>
      <c r="BE42" s="27">
        <v>125.66412139000001</v>
      </c>
      <c r="BF42" s="27">
        <v>1.4374729679</v>
      </c>
      <c r="BG42" s="79">
        <v>4.1600637999999997E-3</v>
      </c>
      <c r="BH42" s="80">
        <v>0</v>
      </c>
      <c r="BI42" s="27">
        <v>138.06576806000001</v>
      </c>
      <c r="BJ42" s="27">
        <v>4.4632025092000003</v>
      </c>
      <c r="BK42" s="27">
        <v>154.05657740000001</v>
      </c>
      <c r="BL42" s="27">
        <v>1.1635089422</v>
      </c>
      <c r="BM42" s="27">
        <v>45.447436303000003</v>
      </c>
      <c r="BN42" s="27">
        <v>0.24116795399999999</v>
      </c>
      <c r="BO42" s="27">
        <v>9.3607292600000003E-2</v>
      </c>
      <c r="BP42" s="27">
        <v>6.7987410000000005E-4</v>
      </c>
      <c r="BQ42" s="27">
        <v>0</v>
      </c>
      <c r="BR42" s="92">
        <v>0</v>
      </c>
      <c r="BS42" s="80" t="s">
        <v>136</v>
      </c>
      <c r="BT42" s="80">
        <v>0</v>
      </c>
      <c r="BU42" s="79">
        <v>0.30568883520000001</v>
      </c>
      <c r="BV42" s="27">
        <v>3.74837E-3</v>
      </c>
      <c r="BW42" s="27">
        <v>18.208431439999998</v>
      </c>
      <c r="BX42" s="27">
        <v>0.1504666895</v>
      </c>
      <c r="BY42" s="80" t="s">
        <v>136</v>
      </c>
      <c r="BZ42" s="80">
        <v>0</v>
      </c>
      <c r="CA42" s="80" t="s">
        <v>136</v>
      </c>
      <c r="CB42" s="80">
        <v>0</v>
      </c>
      <c r="CC42" s="27">
        <v>8.0938351021999999</v>
      </c>
      <c r="CD42" s="27">
        <v>8.8017601999999997E-3</v>
      </c>
      <c r="CE42" s="27">
        <v>12.038439221000001</v>
      </c>
      <c r="CF42" s="92">
        <v>2.71105219E-2</v>
      </c>
      <c r="CG42" s="80" t="s">
        <v>136</v>
      </c>
      <c r="CH42" s="80">
        <v>0</v>
      </c>
      <c r="CI42" s="80" t="s">
        <v>136</v>
      </c>
      <c r="CJ42" s="80">
        <v>0</v>
      </c>
      <c r="CK42" s="80" t="s">
        <v>136</v>
      </c>
      <c r="CL42" s="80">
        <v>0</v>
      </c>
      <c r="CM42" s="80" t="s">
        <v>136</v>
      </c>
      <c r="CN42" s="80">
        <v>0</v>
      </c>
      <c r="CO42" s="79">
        <v>6.2917815500000002E-2</v>
      </c>
      <c r="CP42" s="27">
        <v>8.2278630000000004E-4</v>
      </c>
      <c r="CQ42" s="27">
        <v>0.23913340089999999</v>
      </c>
      <c r="CR42" s="27">
        <v>2.6092869E-3</v>
      </c>
      <c r="CS42" s="27">
        <v>1.5725241429000001</v>
      </c>
      <c r="CT42" s="27">
        <v>1.7726069699999999E-2</v>
      </c>
      <c r="CU42" s="27">
        <v>22.295570845</v>
      </c>
      <c r="CV42" s="92">
        <v>0.52397562490000005</v>
      </c>
      <c r="CW42" s="80" t="s">
        <v>136</v>
      </c>
      <c r="CX42" s="80">
        <v>0</v>
      </c>
      <c r="CY42" s="80" t="s">
        <v>136</v>
      </c>
      <c r="CZ42" s="80">
        <v>0</v>
      </c>
      <c r="DA42" s="79">
        <v>15.277607672</v>
      </c>
      <c r="DB42" s="27">
        <v>0.2447358888</v>
      </c>
      <c r="DC42" s="27">
        <v>47.841115125999998</v>
      </c>
      <c r="DD42" s="27">
        <v>2.0055054675999999</v>
      </c>
      <c r="DE42" s="27">
        <v>17.015004698999999</v>
      </c>
      <c r="DF42" s="27">
        <v>0.44622109209999999</v>
      </c>
      <c r="DG42" s="27">
        <v>108.64911669</v>
      </c>
      <c r="DH42" s="92">
        <v>0.99125187579999996</v>
      </c>
      <c r="DI42" s="95">
        <v>1.9492124E-3</v>
      </c>
      <c r="DJ42" s="96">
        <v>3.3845552000000001E-3</v>
      </c>
      <c r="DK42" s="96">
        <v>3.7111458000000002E-3</v>
      </c>
      <c r="DL42" s="96">
        <v>3.7546643000000001E-3</v>
      </c>
      <c r="DM42" s="96">
        <v>3.7667156000000001E-3</v>
      </c>
      <c r="DN42" s="96">
        <v>3.7685116999999998E-3</v>
      </c>
      <c r="DO42" s="96">
        <v>3.7703077999999999E-3</v>
      </c>
      <c r="DP42" s="96">
        <v>3.7721040000000001E-3</v>
      </c>
      <c r="DQ42" s="96">
        <v>3.7739001000000002E-3</v>
      </c>
      <c r="DR42" s="97">
        <v>3.7756961999999999E-3</v>
      </c>
      <c r="DS42" s="93">
        <v>85.186922733000003</v>
      </c>
      <c r="DT42" s="80">
        <v>0.59566980550000004</v>
      </c>
      <c r="DU42" s="80">
        <v>42.586824247000003</v>
      </c>
      <c r="DV42" s="80">
        <v>0.30851585279999999</v>
      </c>
      <c r="DW42" s="80">
        <v>20.967652171000001</v>
      </c>
      <c r="DX42" s="80">
        <v>0.1573395215</v>
      </c>
      <c r="DY42" s="80">
        <v>10.306328846</v>
      </c>
      <c r="DZ42" s="80">
        <v>8.0756398800000004E-2</v>
      </c>
      <c r="EA42" s="80">
        <v>5.1695362087000003</v>
      </c>
      <c r="EB42" s="80">
        <v>4.2848678799999998E-2</v>
      </c>
      <c r="EC42" s="80">
        <v>2.6980965788</v>
      </c>
      <c r="ED42" s="80">
        <v>2.4109223999999999E-2</v>
      </c>
      <c r="EE42" s="80">
        <v>1.4660223939999999</v>
      </c>
      <c r="EF42" s="80">
        <v>1.4537625300000001E-2</v>
      </c>
      <c r="EG42" s="80">
        <v>0.83996668740000002</v>
      </c>
      <c r="EH42" s="80">
        <v>9.4685688000000004E-3</v>
      </c>
      <c r="EI42" s="80">
        <v>0.50817440849999995</v>
      </c>
      <c r="EJ42" s="80">
        <v>6.6659711999999998E-3</v>
      </c>
      <c r="EK42" s="80">
        <v>0.32681053980000002</v>
      </c>
      <c r="EL42" s="94">
        <v>5.0313717000000004E-3</v>
      </c>
    </row>
    <row r="43" spans="1:142" x14ac:dyDescent="0.2">
      <c r="A43" s="79">
        <v>3800</v>
      </c>
      <c r="B43" s="27">
        <v>2385</v>
      </c>
      <c r="C43" s="79">
        <v>1868.974565</v>
      </c>
      <c r="D43" s="27">
        <v>3749.5175072000002</v>
      </c>
      <c r="E43" s="27">
        <v>63.757510703000001</v>
      </c>
      <c r="F43" s="27">
        <v>6.7828495700000005E-2</v>
      </c>
      <c r="G43" s="79">
        <v>3.8479295226999999</v>
      </c>
      <c r="H43" s="27">
        <v>2.1312897E-3</v>
      </c>
      <c r="I43" s="27">
        <v>167.63242339000001</v>
      </c>
      <c r="J43" s="27">
        <v>1.1187038518000001</v>
      </c>
      <c r="K43" s="27">
        <v>67.963181625000004</v>
      </c>
      <c r="L43" s="27">
        <v>0.42198108000000001</v>
      </c>
      <c r="M43" s="27">
        <v>18.925940399000002</v>
      </c>
      <c r="N43" s="27">
        <v>0.15764153910000001</v>
      </c>
      <c r="O43" s="80" t="s">
        <v>136</v>
      </c>
      <c r="P43" s="80">
        <v>0</v>
      </c>
      <c r="Q43" s="27">
        <v>21.162399271999998</v>
      </c>
      <c r="R43" s="27">
        <v>3.7441560499999998E-2</v>
      </c>
      <c r="S43" s="80" t="s">
        <v>136</v>
      </c>
      <c r="T43" s="80">
        <v>0</v>
      </c>
      <c r="U43" s="80" t="s">
        <v>136</v>
      </c>
      <c r="V43" s="80">
        <v>0</v>
      </c>
      <c r="W43" s="27">
        <v>0.32757915599999998</v>
      </c>
      <c r="X43" s="27">
        <v>3.6490231E-3</v>
      </c>
      <c r="Y43" s="27">
        <v>24.629446571999999</v>
      </c>
      <c r="Z43" s="27">
        <v>0.55678891119999996</v>
      </c>
      <c r="AA43" s="80" t="s">
        <v>136</v>
      </c>
      <c r="AB43" s="80">
        <v>0</v>
      </c>
      <c r="AC43" s="27">
        <v>0</v>
      </c>
      <c r="AD43" s="27">
        <v>0</v>
      </c>
      <c r="AE43" s="80" t="s">
        <v>136</v>
      </c>
      <c r="AF43" s="80">
        <v>0</v>
      </c>
      <c r="AG43" s="80" t="s">
        <v>136</v>
      </c>
      <c r="AH43" s="80">
        <v>0</v>
      </c>
      <c r="AI43" s="27">
        <f t="shared" si="4"/>
        <v>0</v>
      </c>
      <c r="AJ43" s="27">
        <f t="shared" si="5"/>
        <v>0</v>
      </c>
      <c r="AK43" s="27">
        <v>105.83441075</v>
      </c>
      <c r="AL43" s="27">
        <v>1.4937723066999999</v>
      </c>
      <c r="AM43" s="80" t="s">
        <v>136</v>
      </c>
      <c r="AN43" s="80">
        <v>0</v>
      </c>
      <c r="AO43" s="80" t="s">
        <v>136</v>
      </c>
      <c r="AP43" s="80">
        <v>0</v>
      </c>
      <c r="AQ43" s="80" t="s">
        <v>136</v>
      </c>
      <c r="AR43" s="80">
        <v>0</v>
      </c>
      <c r="AS43" s="27">
        <v>64.245800790999994</v>
      </c>
      <c r="AT43" s="27">
        <v>2.2801711186000002</v>
      </c>
      <c r="AU43" s="27">
        <v>51.789992945000002</v>
      </c>
      <c r="AV43" s="27">
        <v>0.41638069970000002</v>
      </c>
      <c r="AW43" s="27">
        <v>23.544953107000001</v>
      </c>
      <c r="AX43" s="27">
        <v>0.24919196900000001</v>
      </c>
      <c r="AY43" s="27">
        <v>9.7999224708000003</v>
      </c>
      <c r="AZ43" s="27">
        <v>8.9400053800000004E-2</v>
      </c>
      <c r="BA43" s="80">
        <f t="shared" si="6"/>
        <v>18.445117367199998</v>
      </c>
      <c r="BB43" s="80">
        <f t="shared" si="7"/>
        <v>7.778867690000002E-2</v>
      </c>
      <c r="BC43" s="27">
        <v>0</v>
      </c>
      <c r="BD43" s="80">
        <v>0</v>
      </c>
      <c r="BE43" s="27">
        <v>128.35178581</v>
      </c>
      <c r="BF43" s="27">
        <v>1.4586742756</v>
      </c>
      <c r="BG43" s="79">
        <v>4.3812277000000004E-3</v>
      </c>
      <c r="BH43" s="80">
        <v>0</v>
      </c>
      <c r="BI43" s="27">
        <v>139.76309119000001</v>
      </c>
      <c r="BJ43" s="27">
        <v>4.5018881394000001</v>
      </c>
      <c r="BK43" s="27">
        <v>159.28405620000001</v>
      </c>
      <c r="BL43" s="27">
        <v>1.1999813472</v>
      </c>
      <c r="BM43" s="27">
        <v>46.766741097999997</v>
      </c>
      <c r="BN43" s="27">
        <v>0.24669672440000001</v>
      </c>
      <c r="BO43" s="27">
        <v>9.4437231400000002E-2</v>
      </c>
      <c r="BP43" s="27">
        <v>6.9975340000000003E-4</v>
      </c>
      <c r="BQ43" s="27">
        <v>0</v>
      </c>
      <c r="BR43" s="92">
        <v>0</v>
      </c>
      <c r="BS43" s="80" t="s">
        <v>136</v>
      </c>
      <c r="BT43" s="80">
        <v>0</v>
      </c>
      <c r="BU43" s="79">
        <v>0.3202719235</v>
      </c>
      <c r="BV43" s="27">
        <v>3.9230543000000001E-3</v>
      </c>
      <c r="BW43" s="27">
        <v>18.605668476000002</v>
      </c>
      <c r="BX43" s="27">
        <v>0.1537184848</v>
      </c>
      <c r="BY43" s="80" t="s">
        <v>136</v>
      </c>
      <c r="BZ43" s="80">
        <v>0</v>
      </c>
      <c r="CA43" s="80" t="s">
        <v>136</v>
      </c>
      <c r="CB43" s="80">
        <v>0</v>
      </c>
      <c r="CC43" s="27">
        <v>8.6209773750000007</v>
      </c>
      <c r="CD43" s="27">
        <v>9.2617784999999998E-3</v>
      </c>
      <c r="CE43" s="27">
        <v>12.541421896999999</v>
      </c>
      <c r="CF43" s="92">
        <v>2.8179781899999999E-2</v>
      </c>
      <c r="CG43" s="80" t="s">
        <v>136</v>
      </c>
      <c r="CH43" s="80">
        <v>0</v>
      </c>
      <c r="CI43" s="80" t="s">
        <v>136</v>
      </c>
      <c r="CJ43" s="80">
        <v>0</v>
      </c>
      <c r="CK43" s="80" t="s">
        <v>136</v>
      </c>
      <c r="CL43" s="80">
        <v>0</v>
      </c>
      <c r="CM43" s="80" t="s">
        <v>136</v>
      </c>
      <c r="CN43" s="80">
        <v>0</v>
      </c>
      <c r="CO43" s="79">
        <v>6.8768571200000003E-2</v>
      </c>
      <c r="CP43" s="27">
        <v>8.6187139999999998E-4</v>
      </c>
      <c r="CQ43" s="27">
        <v>0.25881058480000002</v>
      </c>
      <c r="CR43" s="27">
        <v>2.7871517000000001E-3</v>
      </c>
      <c r="CS43" s="27">
        <v>1.6738207914000001</v>
      </c>
      <c r="CT43" s="27">
        <v>1.89523009E-2</v>
      </c>
      <c r="CU43" s="27">
        <v>22.955625780999998</v>
      </c>
      <c r="CV43" s="92">
        <v>0.53783661039999997</v>
      </c>
      <c r="CW43" s="80" t="s">
        <v>136</v>
      </c>
      <c r="CX43" s="80">
        <v>0</v>
      </c>
      <c r="CY43" s="80" t="s">
        <v>136</v>
      </c>
      <c r="CZ43" s="80">
        <v>0</v>
      </c>
      <c r="DA43" s="79">
        <v>15.606884945999999</v>
      </c>
      <c r="DB43" s="27">
        <v>0.248791656</v>
      </c>
      <c r="DC43" s="27">
        <v>48.638915845</v>
      </c>
      <c r="DD43" s="27">
        <v>2.0313794625999999</v>
      </c>
      <c r="DE43" s="27">
        <v>17.702655877000002</v>
      </c>
      <c r="DF43" s="27">
        <v>0.45509038039999999</v>
      </c>
      <c r="DG43" s="27">
        <v>110.64912993999999</v>
      </c>
      <c r="DH43" s="92">
        <v>1.0035838952</v>
      </c>
      <c r="DI43" s="95">
        <v>2.0355567999999998E-3</v>
      </c>
      <c r="DJ43" s="96">
        <v>3.5391611999999999E-3</v>
      </c>
      <c r="DK43" s="96">
        <v>3.8898105999999998E-3</v>
      </c>
      <c r="DL43" s="96">
        <v>3.9385916999999998E-3</v>
      </c>
      <c r="DM43" s="96">
        <v>3.9545936000000004E-3</v>
      </c>
      <c r="DN43" s="96">
        <v>3.9603820000000001E-3</v>
      </c>
      <c r="DO43" s="96">
        <v>3.9661703999999999E-3</v>
      </c>
      <c r="DP43" s="96">
        <v>3.9719587000000001E-3</v>
      </c>
      <c r="DQ43" s="96">
        <v>3.9777470999999998E-3</v>
      </c>
      <c r="DR43" s="97">
        <v>3.9835354999999996E-3</v>
      </c>
      <c r="DS43" s="93">
        <v>86.310312476999997</v>
      </c>
      <c r="DT43" s="80">
        <v>0.60314729219999996</v>
      </c>
      <c r="DU43" s="80">
        <v>43.362596617000001</v>
      </c>
      <c r="DV43" s="80">
        <v>0.31381839350000001</v>
      </c>
      <c r="DW43" s="80">
        <v>21.460053161000001</v>
      </c>
      <c r="DX43" s="80">
        <v>0.1608248837</v>
      </c>
      <c r="DY43" s="80">
        <v>10.607695042</v>
      </c>
      <c r="DZ43" s="80">
        <v>8.2950175500000001E-2</v>
      </c>
      <c r="EA43" s="80">
        <v>5.3522905924000002</v>
      </c>
      <c r="EB43" s="80">
        <v>4.4226793600000001E-2</v>
      </c>
      <c r="EC43" s="80">
        <v>2.8082647769000002</v>
      </c>
      <c r="ED43" s="80">
        <v>2.49803039E-2</v>
      </c>
      <c r="EE43" s="80">
        <v>1.5346120541999999</v>
      </c>
      <c r="EF43" s="80">
        <v>1.51161934E-2</v>
      </c>
      <c r="EG43" s="80">
        <v>0.8801119999</v>
      </c>
      <c r="EH43" s="80">
        <v>9.8479749000000005E-3</v>
      </c>
      <c r="EI43" s="80">
        <v>0.53124978629999997</v>
      </c>
      <c r="EJ43" s="80">
        <v>6.9183055999999998E-3</v>
      </c>
      <c r="EK43" s="80">
        <v>0.34004554640000001</v>
      </c>
      <c r="EL43" s="94">
        <v>5.2050224000000003E-3</v>
      </c>
    </row>
    <row r="44" spans="1:142" x14ac:dyDescent="0.2">
      <c r="A44" s="79">
        <v>3900</v>
      </c>
      <c r="B44" s="27">
        <v>2259</v>
      </c>
      <c r="C44" s="79">
        <v>1899.0125862</v>
      </c>
      <c r="D44" s="27">
        <v>3849.9196010000001</v>
      </c>
      <c r="E44" s="27">
        <v>65.756115833999999</v>
      </c>
      <c r="F44" s="27">
        <v>6.8978842600000007E-2</v>
      </c>
      <c r="G44" s="79">
        <v>4.0975551594999997</v>
      </c>
      <c r="H44" s="27">
        <v>2.2290435000000002E-3</v>
      </c>
      <c r="I44" s="27">
        <v>169.02126971000001</v>
      </c>
      <c r="J44" s="27">
        <v>1.1278727355</v>
      </c>
      <c r="K44" s="27">
        <v>68.904977015</v>
      </c>
      <c r="L44" s="27">
        <v>0.42821403920000001</v>
      </c>
      <c r="M44" s="27">
        <v>19.401514306999999</v>
      </c>
      <c r="N44" s="27">
        <v>0.16137988079999999</v>
      </c>
      <c r="O44" s="80" t="s">
        <v>136</v>
      </c>
      <c r="P44" s="80">
        <v>0</v>
      </c>
      <c r="Q44" s="27">
        <v>22.150161738000001</v>
      </c>
      <c r="R44" s="27">
        <v>3.8748424400000002E-2</v>
      </c>
      <c r="S44" s="80" t="s">
        <v>136</v>
      </c>
      <c r="T44" s="80">
        <v>0</v>
      </c>
      <c r="U44" s="80" t="s">
        <v>136</v>
      </c>
      <c r="V44" s="80">
        <v>0</v>
      </c>
      <c r="W44" s="27">
        <v>0.34471665460000001</v>
      </c>
      <c r="X44" s="27">
        <v>3.8339095000000001E-3</v>
      </c>
      <c r="Y44" s="27">
        <v>25.263763654000002</v>
      </c>
      <c r="Z44" s="27">
        <v>0.57055499300000001</v>
      </c>
      <c r="AA44" s="80" t="s">
        <v>136</v>
      </c>
      <c r="AB44" s="80">
        <v>0</v>
      </c>
      <c r="AC44" s="27">
        <v>0</v>
      </c>
      <c r="AD44" s="27">
        <v>0</v>
      </c>
      <c r="AE44" s="80" t="s">
        <v>136</v>
      </c>
      <c r="AF44" s="80">
        <v>0</v>
      </c>
      <c r="AG44" s="80" t="s">
        <v>136</v>
      </c>
      <c r="AH44" s="80">
        <v>0</v>
      </c>
      <c r="AI44" s="27">
        <f t="shared" si="4"/>
        <v>0</v>
      </c>
      <c r="AJ44" s="27">
        <f t="shared" si="5"/>
        <v>0</v>
      </c>
      <c r="AK44" s="27">
        <v>107.19335228</v>
      </c>
      <c r="AL44" s="27">
        <v>1.5067426363</v>
      </c>
      <c r="AM44" s="80" t="s">
        <v>136</v>
      </c>
      <c r="AN44" s="80">
        <v>0</v>
      </c>
      <c r="AO44" s="80" t="s">
        <v>136</v>
      </c>
      <c r="AP44" s="80">
        <v>0</v>
      </c>
      <c r="AQ44" s="80" t="s">
        <v>136</v>
      </c>
      <c r="AR44" s="80">
        <v>0</v>
      </c>
      <c r="AS44" s="27">
        <v>65.322513306000005</v>
      </c>
      <c r="AT44" s="27">
        <v>2.3066544418000001</v>
      </c>
      <c r="AU44" s="27">
        <v>52.911222920999997</v>
      </c>
      <c r="AV44" s="27">
        <v>0.4231324977</v>
      </c>
      <c r="AW44" s="27">
        <v>24.095138399</v>
      </c>
      <c r="AX44" s="27">
        <v>0.25349399239999998</v>
      </c>
      <c r="AY44" s="27">
        <v>9.9184292399</v>
      </c>
      <c r="AZ44" s="27">
        <v>9.0261584000000006E-2</v>
      </c>
      <c r="BA44" s="80">
        <f t="shared" si="6"/>
        <v>18.897655282099997</v>
      </c>
      <c r="BB44" s="80">
        <f t="shared" si="7"/>
        <v>7.9376921300000014E-2</v>
      </c>
      <c r="BC44" s="27">
        <v>0</v>
      </c>
      <c r="BD44" s="80">
        <v>0</v>
      </c>
      <c r="BE44" s="27">
        <v>131.21895271</v>
      </c>
      <c r="BF44" s="27">
        <v>1.4811093806</v>
      </c>
      <c r="BG44" s="79">
        <v>4.5904465000000004E-3</v>
      </c>
      <c r="BH44" s="80">
        <v>0</v>
      </c>
      <c r="BI44" s="27">
        <v>141.44226227999999</v>
      </c>
      <c r="BJ44" s="27">
        <v>4.5390961982000002</v>
      </c>
      <c r="BK44" s="27">
        <v>164.19460337999999</v>
      </c>
      <c r="BL44" s="27">
        <v>1.2344317854</v>
      </c>
      <c r="BM44" s="27">
        <v>47.909856695000002</v>
      </c>
      <c r="BN44" s="27">
        <v>0.25133573100000001</v>
      </c>
      <c r="BO44" s="27">
        <v>0.11429358219999999</v>
      </c>
      <c r="BP44" s="27">
        <v>7.1647900000000001E-4</v>
      </c>
      <c r="BQ44" s="27">
        <v>0</v>
      </c>
      <c r="BR44" s="92">
        <v>0</v>
      </c>
      <c r="BS44" s="80" t="s">
        <v>136</v>
      </c>
      <c r="BT44" s="80">
        <v>0</v>
      </c>
      <c r="BU44" s="79">
        <v>0.32590521189999999</v>
      </c>
      <c r="BV44" s="27">
        <v>4.0169773000000002E-3</v>
      </c>
      <c r="BW44" s="27">
        <v>19.075609095000001</v>
      </c>
      <c r="BX44" s="27">
        <v>0.15736290359999999</v>
      </c>
      <c r="BY44" s="80" t="s">
        <v>136</v>
      </c>
      <c r="BZ44" s="80">
        <v>0</v>
      </c>
      <c r="CA44" s="80" t="s">
        <v>136</v>
      </c>
      <c r="CB44" s="80">
        <v>0</v>
      </c>
      <c r="CC44" s="27">
        <v>9.1067211949000004</v>
      </c>
      <c r="CD44" s="27">
        <v>9.6207003999999995E-3</v>
      </c>
      <c r="CE44" s="27">
        <v>13.043440543000001</v>
      </c>
      <c r="CF44" s="92">
        <v>2.9127724000000001E-2</v>
      </c>
      <c r="CG44" s="80" t="s">
        <v>136</v>
      </c>
      <c r="CH44" s="80">
        <v>0</v>
      </c>
      <c r="CI44" s="80" t="s">
        <v>136</v>
      </c>
      <c r="CJ44" s="80">
        <v>0</v>
      </c>
      <c r="CK44" s="80" t="s">
        <v>136</v>
      </c>
      <c r="CL44" s="80">
        <v>0</v>
      </c>
      <c r="CM44" s="80" t="s">
        <v>136</v>
      </c>
      <c r="CN44" s="80">
        <v>0</v>
      </c>
      <c r="CO44" s="79">
        <v>7.2650265699999994E-2</v>
      </c>
      <c r="CP44" s="27">
        <v>9.1087830000000005E-4</v>
      </c>
      <c r="CQ44" s="27">
        <v>0.27206638900000002</v>
      </c>
      <c r="CR44" s="27">
        <v>2.9230312E-3</v>
      </c>
      <c r="CS44" s="27">
        <v>1.7156235751</v>
      </c>
      <c r="CT44" s="27">
        <v>1.9306842800000001E-2</v>
      </c>
      <c r="CU44" s="27">
        <v>23.548140079</v>
      </c>
      <c r="CV44" s="92">
        <v>0.55124815019999995</v>
      </c>
      <c r="CW44" s="80" t="s">
        <v>136</v>
      </c>
      <c r="CX44" s="80">
        <v>0</v>
      </c>
      <c r="CY44" s="80" t="s">
        <v>136</v>
      </c>
      <c r="CZ44" s="80">
        <v>0</v>
      </c>
      <c r="DA44" s="79">
        <v>15.960498132</v>
      </c>
      <c r="DB44" s="27">
        <v>0.25327855869999999</v>
      </c>
      <c r="DC44" s="27">
        <v>49.362015175000003</v>
      </c>
      <c r="DD44" s="27">
        <v>2.0533758830000002</v>
      </c>
      <c r="DE44" s="27">
        <v>18.493711212000001</v>
      </c>
      <c r="DF44" s="27">
        <v>0.46404502130000003</v>
      </c>
      <c r="DG44" s="27">
        <v>112.7252415</v>
      </c>
      <c r="DH44" s="92">
        <v>1.0170643592999999</v>
      </c>
      <c r="DI44" s="95">
        <v>2.1322797999999998E-3</v>
      </c>
      <c r="DJ44" s="96">
        <v>3.7204684999999999E-3</v>
      </c>
      <c r="DK44" s="96">
        <v>4.1010469000000004E-3</v>
      </c>
      <c r="DL44" s="96">
        <v>4.1512963000000002E-3</v>
      </c>
      <c r="DM44" s="96">
        <v>4.1672067000000004E-3</v>
      </c>
      <c r="DN44" s="96">
        <v>4.1729454000000001E-3</v>
      </c>
      <c r="DO44" s="96">
        <v>4.1786842000000003E-3</v>
      </c>
      <c r="DP44" s="96">
        <v>4.1844229999999996E-3</v>
      </c>
      <c r="DQ44" s="96">
        <v>4.1901617999999998E-3</v>
      </c>
      <c r="DR44" s="97">
        <v>4.1959006E-3</v>
      </c>
      <c r="DS44" s="93">
        <v>87.414045315999999</v>
      </c>
      <c r="DT44" s="80">
        <v>0.61058197430000005</v>
      </c>
      <c r="DU44" s="80">
        <v>44.137648738000003</v>
      </c>
      <c r="DV44" s="80">
        <v>0.31917828440000001</v>
      </c>
      <c r="DW44" s="80">
        <v>21.963233437</v>
      </c>
      <c r="DX44" s="80">
        <v>0.1644306431</v>
      </c>
      <c r="DY44" s="80">
        <v>10.932582475</v>
      </c>
      <c r="DZ44" s="80">
        <v>8.5360811600000003E-2</v>
      </c>
      <c r="EA44" s="80">
        <v>5.5610364536999999</v>
      </c>
      <c r="EB44" s="80">
        <v>4.5843222900000001E-2</v>
      </c>
      <c r="EC44" s="80">
        <v>2.9428038333000002</v>
      </c>
      <c r="ED44" s="80">
        <v>2.60634101E-2</v>
      </c>
      <c r="EE44" s="80">
        <v>1.6256490035</v>
      </c>
      <c r="EF44" s="80">
        <v>1.5879467899999999E-2</v>
      </c>
      <c r="EG44" s="80">
        <v>0.94332777170000004</v>
      </c>
      <c r="EH44" s="80">
        <v>1.04002985E-2</v>
      </c>
      <c r="EI44" s="80">
        <v>0.57683904500000005</v>
      </c>
      <c r="EJ44" s="80">
        <v>7.3324699999999998E-3</v>
      </c>
      <c r="EK44" s="80">
        <v>0.37217473020000003</v>
      </c>
      <c r="EL44" s="94">
        <v>5.5087108000000003E-3</v>
      </c>
    </row>
    <row r="45" spans="1:142" x14ac:dyDescent="0.2">
      <c r="A45" s="79">
        <v>4000</v>
      </c>
      <c r="B45" s="27">
        <v>2225</v>
      </c>
      <c r="C45" s="79">
        <v>1928.2798815000001</v>
      </c>
      <c r="D45" s="27">
        <v>3950.3901605000001</v>
      </c>
      <c r="E45" s="27">
        <v>67.461587864999998</v>
      </c>
      <c r="F45" s="27">
        <v>6.9938461699999996E-2</v>
      </c>
      <c r="G45" s="79">
        <v>4.3700709216</v>
      </c>
      <c r="H45" s="27">
        <v>2.3334329000000002E-3</v>
      </c>
      <c r="I45" s="27">
        <v>170.32929945000001</v>
      </c>
      <c r="J45" s="27">
        <v>1.136946539</v>
      </c>
      <c r="K45" s="27">
        <v>69.867756667999998</v>
      </c>
      <c r="L45" s="27">
        <v>0.4350428294</v>
      </c>
      <c r="M45" s="27">
        <v>19.764766738999999</v>
      </c>
      <c r="N45" s="27">
        <v>0.16418102740000001</v>
      </c>
      <c r="O45" s="80" t="s">
        <v>136</v>
      </c>
      <c r="P45" s="80">
        <v>0</v>
      </c>
      <c r="Q45" s="27">
        <v>23.167940003999998</v>
      </c>
      <c r="R45" s="27">
        <v>4.0160403300000001E-2</v>
      </c>
      <c r="S45" s="80" t="s">
        <v>136</v>
      </c>
      <c r="T45" s="80">
        <v>0</v>
      </c>
      <c r="U45" s="80" t="s">
        <v>136</v>
      </c>
      <c r="V45" s="80">
        <v>0</v>
      </c>
      <c r="W45" s="27">
        <v>0.35227641669999998</v>
      </c>
      <c r="X45" s="27">
        <v>3.9319078000000004E-3</v>
      </c>
      <c r="Y45" s="27">
        <v>25.948822410999998</v>
      </c>
      <c r="Z45" s="27">
        <v>0.58491964640000005</v>
      </c>
      <c r="AA45" s="80" t="s">
        <v>136</v>
      </c>
      <c r="AB45" s="80">
        <v>0</v>
      </c>
      <c r="AC45" s="27">
        <v>0</v>
      </c>
      <c r="AD45" s="27">
        <v>0</v>
      </c>
      <c r="AE45" s="80" t="s">
        <v>136</v>
      </c>
      <c r="AF45" s="80">
        <v>0</v>
      </c>
      <c r="AG45" s="80" t="s">
        <v>136</v>
      </c>
      <c r="AH45" s="80">
        <v>0</v>
      </c>
      <c r="AI45" s="27">
        <f t="shared" si="4"/>
        <v>0</v>
      </c>
      <c r="AJ45" s="27">
        <f t="shared" si="5"/>
        <v>0</v>
      </c>
      <c r="AK45" s="27">
        <v>108.63329802</v>
      </c>
      <c r="AL45" s="27">
        <v>1.5192672250000001</v>
      </c>
      <c r="AM45" s="80" t="s">
        <v>136</v>
      </c>
      <c r="AN45" s="80">
        <v>0</v>
      </c>
      <c r="AO45" s="80" t="s">
        <v>136</v>
      </c>
      <c r="AP45" s="80">
        <v>0</v>
      </c>
      <c r="AQ45" s="80" t="s">
        <v>136</v>
      </c>
      <c r="AR45" s="80">
        <v>0</v>
      </c>
      <c r="AS45" s="27">
        <v>66.382993862000006</v>
      </c>
      <c r="AT45" s="27">
        <v>2.3321125086999999</v>
      </c>
      <c r="AU45" s="27">
        <v>54.039198745</v>
      </c>
      <c r="AV45" s="27">
        <v>0.42928716230000002</v>
      </c>
      <c r="AW45" s="27">
        <v>24.595532952999999</v>
      </c>
      <c r="AX45" s="27">
        <v>0.25723619250000002</v>
      </c>
      <c r="AY45" s="27">
        <v>10.075012514000001</v>
      </c>
      <c r="AZ45" s="27">
        <v>9.1237176200000006E-2</v>
      </c>
      <c r="BA45" s="80">
        <f t="shared" si="6"/>
        <v>19.368653278000004</v>
      </c>
      <c r="BB45" s="80">
        <f t="shared" si="7"/>
        <v>8.0813793600000017E-2</v>
      </c>
      <c r="BC45" s="27">
        <v>0</v>
      </c>
      <c r="BD45" s="80">
        <v>0</v>
      </c>
      <c r="BE45" s="27">
        <v>134.17894612000001</v>
      </c>
      <c r="BF45" s="27">
        <v>1.5016420512999999</v>
      </c>
      <c r="BG45" s="79">
        <v>4.804755E-3</v>
      </c>
      <c r="BH45" s="80">
        <v>0</v>
      </c>
      <c r="BI45" s="27">
        <v>143.33154915</v>
      </c>
      <c r="BJ45" s="27">
        <v>4.5789994637999998</v>
      </c>
      <c r="BK45" s="27">
        <v>169.17699261000001</v>
      </c>
      <c r="BL45" s="27">
        <v>1.2682250302</v>
      </c>
      <c r="BM45" s="27">
        <v>49.029434930999997</v>
      </c>
      <c r="BN45" s="27">
        <v>0.2560073625</v>
      </c>
      <c r="BO45" s="27">
        <v>0.17350000439999999</v>
      </c>
      <c r="BP45" s="27">
        <v>7.9721320000000003E-4</v>
      </c>
      <c r="BQ45" s="27">
        <v>0</v>
      </c>
      <c r="BR45" s="92">
        <v>0</v>
      </c>
      <c r="BS45" s="80" t="s">
        <v>136</v>
      </c>
      <c r="BT45" s="80">
        <v>0</v>
      </c>
      <c r="BU45" s="79">
        <v>0.32536516650000002</v>
      </c>
      <c r="BV45" s="27">
        <v>4.0079208999999998E-3</v>
      </c>
      <c r="BW45" s="27">
        <v>19.439401573000001</v>
      </c>
      <c r="BX45" s="27">
        <v>0.1601731065</v>
      </c>
      <c r="BY45" s="80" t="s">
        <v>136</v>
      </c>
      <c r="BZ45" s="80">
        <v>0</v>
      </c>
      <c r="CA45" s="80" t="s">
        <v>136</v>
      </c>
      <c r="CB45" s="80">
        <v>0</v>
      </c>
      <c r="CC45" s="27">
        <v>9.7340567219</v>
      </c>
      <c r="CD45" s="27">
        <v>1.0115896399999999E-2</v>
      </c>
      <c r="CE45" s="27">
        <v>13.433883282</v>
      </c>
      <c r="CF45" s="92">
        <v>3.00445069E-2</v>
      </c>
      <c r="CG45" s="80" t="s">
        <v>136</v>
      </c>
      <c r="CH45" s="80">
        <v>0</v>
      </c>
      <c r="CI45" s="80" t="s">
        <v>136</v>
      </c>
      <c r="CJ45" s="80">
        <v>0</v>
      </c>
      <c r="CK45" s="80" t="s">
        <v>136</v>
      </c>
      <c r="CL45" s="80">
        <v>0</v>
      </c>
      <c r="CM45" s="80" t="s">
        <v>136</v>
      </c>
      <c r="CN45" s="80">
        <v>0</v>
      </c>
      <c r="CO45" s="79">
        <v>7.34731302E-2</v>
      </c>
      <c r="CP45" s="27">
        <v>9.2681779999999997E-4</v>
      </c>
      <c r="CQ45" s="27">
        <v>0.27880328640000002</v>
      </c>
      <c r="CR45" s="27">
        <v>3.0050900000000002E-3</v>
      </c>
      <c r="CS45" s="27">
        <v>1.8063720448</v>
      </c>
      <c r="CT45" s="27">
        <v>2.05471105E-2</v>
      </c>
      <c r="CU45" s="27">
        <v>24.142450365999998</v>
      </c>
      <c r="CV45" s="92">
        <v>0.56437253580000002</v>
      </c>
      <c r="CW45" s="80" t="s">
        <v>136</v>
      </c>
      <c r="CX45" s="80">
        <v>0</v>
      </c>
      <c r="CY45" s="80" t="s">
        <v>136</v>
      </c>
      <c r="CZ45" s="80">
        <v>0</v>
      </c>
      <c r="DA45" s="79">
        <v>16.298549241</v>
      </c>
      <c r="DB45" s="27">
        <v>0.25738692769999999</v>
      </c>
      <c r="DC45" s="27">
        <v>50.084444619999999</v>
      </c>
      <c r="DD45" s="27">
        <v>2.074725581</v>
      </c>
      <c r="DE45" s="27">
        <v>19.323312745999999</v>
      </c>
      <c r="DF45" s="27">
        <v>0.47270102079999998</v>
      </c>
      <c r="DG45" s="27">
        <v>114.85563337000001</v>
      </c>
      <c r="DH45" s="92">
        <v>1.0289410304</v>
      </c>
      <c r="DI45" s="95">
        <v>2.2340458999999999E-3</v>
      </c>
      <c r="DJ45" s="96">
        <v>3.8981329000000002E-3</v>
      </c>
      <c r="DK45" s="96">
        <v>4.3088659999999997E-3</v>
      </c>
      <c r="DL45" s="96">
        <v>4.3686239000000002E-3</v>
      </c>
      <c r="DM45" s="96">
        <v>4.3844525000000002E-3</v>
      </c>
      <c r="DN45" s="96">
        <v>4.3901451999999999E-3</v>
      </c>
      <c r="DO45" s="96">
        <v>4.3958377999999999E-3</v>
      </c>
      <c r="DP45" s="96">
        <v>4.4015304999999996E-3</v>
      </c>
      <c r="DQ45" s="96">
        <v>4.4072230999999996E-3</v>
      </c>
      <c r="DR45" s="97">
        <v>4.4129158000000002E-3</v>
      </c>
      <c r="DS45" s="93">
        <v>88.448228795999995</v>
      </c>
      <c r="DT45" s="80">
        <v>0.6179415077</v>
      </c>
      <c r="DU45" s="80">
        <v>44.869175339999998</v>
      </c>
      <c r="DV45" s="80">
        <v>0.32461689160000001</v>
      </c>
      <c r="DW45" s="80">
        <v>22.445722984</v>
      </c>
      <c r="DX45" s="80">
        <v>0.16826713030000001</v>
      </c>
      <c r="DY45" s="80">
        <v>11.248721012000001</v>
      </c>
      <c r="DZ45" s="80">
        <v>8.8097190899999997E-2</v>
      </c>
      <c r="EA45" s="80">
        <v>5.7671788204999999</v>
      </c>
      <c r="EB45" s="80">
        <v>4.7832702900000003E-2</v>
      </c>
      <c r="EC45" s="80">
        <v>3.0832137510000002</v>
      </c>
      <c r="ED45" s="80">
        <v>2.7586179299999999E-2</v>
      </c>
      <c r="EE45" s="80">
        <v>1.7232188262000001</v>
      </c>
      <c r="EF45" s="80">
        <v>1.70768034E-2</v>
      </c>
      <c r="EG45" s="80">
        <v>1.0121451258</v>
      </c>
      <c r="EH45" s="80">
        <v>1.13706177E-2</v>
      </c>
      <c r="EI45" s="80">
        <v>0.62523547270000002</v>
      </c>
      <c r="EJ45" s="80">
        <v>8.1355043000000005E-3</v>
      </c>
      <c r="EK45" s="80">
        <v>0.40932223439999998</v>
      </c>
      <c r="EL45" s="94">
        <v>6.2069487999999997E-3</v>
      </c>
    </row>
    <row r="46" spans="1:142" x14ac:dyDescent="0.2">
      <c r="A46" s="79">
        <v>4100</v>
      </c>
      <c r="B46" s="27">
        <v>2142</v>
      </c>
      <c r="C46" s="79">
        <v>1957.2004709</v>
      </c>
      <c r="D46" s="27">
        <v>4049.4295284999998</v>
      </c>
      <c r="E46" s="27">
        <v>69.350711528999994</v>
      </c>
      <c r="F46" s="27">
        <v>7.1047608600000006E-2</v>
      </c>
      <c r="G46" s="79">
        <v>4.6158537948999996</v>
      </c>
      <c r="H46" s="27">
        <v>2.4374323999999999E-3</v>
      </c>
      <c r="I46" s="27">
        <v>171.66446377</v>
      </c>
      <c r="J46" s="27">
        <v>1.1456906965</v>
      </c>
      <c r="K46" s="27">
        <v>70.894839316000002</v>
      </c>
      <c r="L46" s="27">
        <v>0.44146162410000001</v>
      </c>
      <c r="M46" s="27">
        <v>20.244229933</v>
      </c>
      <c r="N46" s="27">
        <v>0.1677040024</v>
      </c>
      <c r="O46" s="80" t="s">
        <v>136</v>
      </c>
      <c r="P46" s="80">
        <v>0</v>
      </c>
      <c r="Q46" s="27">
        <v>24.160512014999998</v>
      </c>
      <c r="R46" s="27">
        <v>4.1672674200000002E-2</v>
      </c>
      <c r="S46" s="80" t="s">
        <v>136</v>
      </c>
      <c r="T46" s="80">
        <v>0</v>
      </c>
      <c r="U46" s="80" t="s">
        <v>136</v>
      </c>
      <c r="V46" s="80">
        <v>0</v>
      </c>
      <c r="W46" s="27">
        <v>0.36723921539999999</v>
      </c>
      <c r="X46" s="27">
        <v>4.0524052000000003E-3</v>
      </c>
      <c r="Y46" s="27">
        <v>26.643986163000001</v>
      </c>
      <c r="Z46" s="27">
        <v>0.59929139070000004</v>
      </c>
      <c r="AA46" s="80" t="s">
        <v>136</v>
      </c>
      <c r="AB46" s="80">
        <v>0</v>
      </c>
      <c r="AC46" s="27">
        <v>0</v>
      </c>
      <c r="AD46" s="27">
        <v>0</v>
      </c>
      <c r="AE46" s="80" t="s">
        <v>136</v>
      </c>
      <c r="AF46" s="80">
        <v>0</v>
      </c>
      <c r="AG46" s="80" t="s">
        <v>136</v>
      </c>
      <c r="AH46" s="80">
        <v>0</v>
      </c>
      <c r="AI46" s="27">
        <f t="shared" si="4"/>
        <v>0</v>
      </c>
      <c r="AJ46" s="27">
        <f t="shared" si="5"/>
        <v>0</v>
      </c>
      <c r="AK46" s="27">
        <v>110.10619484999999</v>
      </c>
      <c r="AL46" s="27">
        <v>1.5314393796000001</v>
      </c>
      <c r="AM46" s="80" t="s">
        <v>136</v>
      </c>
      <c r="AN46" s="80">
        <v>0</v>
      </c>
      <c r="AO46" s="80" t="s">
        <v>136</v>
      </c>
      <c r="AP46" s="80">
        <v>0</v>
      </c>
      <c r="AQ46" s="80" t="s">
        <v>136</v>
      </c>
      <c r="AR46" s="80">
        <v>0</v>
      </c>
      <c r="AS46" s="27">
        <v>67.383629529000004</v>
      </c>
      <c r="AT46" s="27">
        <v>2.3594406309</v>
      </c>
      <c r="AU46" s="27">
        <v>55.157749518000003</v>
      </c>
      <c r="AV46" s="27">
        <v>0.43604736669999999</v>
      </c>
      <c r="AW46" s="27">
        <v>25.109348613000002</v>
      </c>
      <c r="AX46" s="27">
        <v>0.26142711340000002</v>
      </c>
      <c r="AY46" s="27">
        <v>10.224243576999999</v>
      </c>
      <c r="AZ46" s="27">
        <v>9.2298689000000003E-2</v>
      </c>
      <c r="BA46" s="80">
        <f t="shared" si="6"/>
        <v>19.824157327999998</v>
      </c>
      <c r="BB46" s="80">
        <f t="shared" si="7"/>
        <v>8.2321564299999983E-2</v>
      </c>
      <c r="BC46" s="27">
        <v>0</v>
      </c>
      <c r="BD46" s="80">
        <v>0</v>
      </c>
      <c r="BE46" s="27">
        <v>137.14183496000001</v>
      </c>
      <c r="BF46" s="27">
        <v>1.5230228835999999</v>
      </c>
      <c r="BG46" s="79">
        <v>5.0107372000000004E-3</v>
      </c>
      <c r="BH46" s="80">
        <v>0</v>
      </c>
      <c r="BI46" s="27">
        <v>145.17326226</v>
      </c>
      <c r="BJ46" s="27">
        <v>4.6182071789999997</v>
      </c>
      <c r="BK46" s="27">
        <v>174.12775221000001</v>
      </c>
      <c r="BL46" s="27">
        <v>1.3027022209000001</v>
      </c>
      <c r="BM46" s="27">
        <v>49.981009815999997</v>
      </c>
      <c r="BN46" s="27">
        <v>0.25995408889999999</v>
      </c>
      <c r="BO46" s="27">
        <v>0.17650649509999999</v>
      </c>
      <c r="BP46" s="27">
        <v>7.9329230000000001E-4</v>
      </c>
      <c r="BQ46" s="27">
        <v>0</v>
      </c>
      <c r="BR46" s="92">
        <v>0</v>
      </c>
      <c r="BS46" s="80" t="s">
        <v>136</v>
      </c>
      <c r="BT46" s="80">
        <v>0</v>
      </c>
      <c r="BU46" s="79">
        <v>0.33089375059999998</v>
      </c>
      <c r="BV46" s="27">
        <v>4.1218682E-3</v>
      </c>
      <c r="BW46" s="27">
        <v>19.913336181999998</v>
      </c>
      <c r="BX46" s="27">
        <v>0.16358213420000001</v>
      </c>
      <c r="BY46" s="80" t="s">
        <v>136</v>
      </c>
      <c r="BZ46" s="80">
        <v>0</v>
      </c>
      <c r="CA46" s="80" t="s">
        <v>136</v>
      </c>
      <c r="CB46" s="80">
        <v>0</v>
      </c>
      <c r="CC46" s="27">
        <v>10.244373902</v>
      </c>
      <c r="CD46" s="27">
        <v>1.0566602899999999E-2</v>
      </c>
      <c r="CE46" s="27">
        <v>13.916138113000001</v>
      </c>
      <c r="CF46" s="92">
        <v>3.11060713E-2</v>
      </c>
      <c r="CG46" s="80" t="s">
        <v>136</v>
      </c>
      <c r="CH46" s="80">
        <v>0</v>
      </c>
      <c r="CI46" s="80" t="s">
        <v>136</v>
      </c>
      <c r="CJ46" s="80">
        <v>0</v>
      </c>
      <c r="CK46" s="80" t="s">
        <v>136</v>
      </c>
      <c r="CL46" s="80">
        <v>0</v>
      </c>
      <c r="CM46" s="80" t="s">
        <v>136</v>
      </c>
      <c r="CN46" s="80">
        <v>0</v>
      </c>
      <c r="CO46" s="79">
        <v>7.4802864699999999E-2</v>
      </c>
      <c r="CP46" s="27">
        <v>9.3038099999999998E-4</v>
      </c>
      <c r="CQ46" s="27">
        <v>0.29243635070000001</v>
      </c>
      <c r="CR46" s="27">
        <v>3.1220241999999998E-3</v>
      </c>
      <c r="CS46" s="27">
        <v>1.8690577629</v>
      </c>
      <c r="CT46" s="27">
        <v>2.13692025E-2</v>
      </c>
      <c r="CU46" s="27">
        <v>24.7749284</v>
      </c>
      <c r="CV46" s="92">
        <v>0.57792218829999997</v>
      </c>
      <c r="CW46" s="80" t="s">
        <v>136</v>
      </c>
      <c r="CX46" s="80">
        <v>0</v>
      </c>
      <c r="CY46" s="80" t="s">
        <v>136</v>
      </c>
      <c r="CZ46" s="80">
        <v>0</v>
      </c>
      <c r="DA46" s="79">
        <v>16.618370509999998</v>
      </c>
      <c r="DB46" s="27">
        <v>0.26205989870000002</v>
      </c>
      <c r="DC46" s="27">
        <v>50.765259018999998</v>
      </c>
      <c r="DD46" s="27">
        <v>2.0973807322</v>
      </c>
      <c r="DE46" s="27">
        <v>20.227174842</v>
      </c>
      <c r="DF46" s="27">
        <v>0.48205964890000003</v>
      </c>
      <c r="DG46" s="27">
        <v>116.91466011999999</v>
      </c>
      <c r="DH46" s="92">
        <v>1.0409632347</v>
      </c>
      <c r="DI46" s="95">
        <v>2.3387026E-3</v>
      </c>
      <c r="DJ46" s="96">
        <v>4.0790996000000003E-3</v>
      </c>
      <c r="DK46" s="96">
        <v>4.5117951999999999E-3</v>
      </c>
      <c r="DL46" s="96">
        <v>4.5774924E-3</v>
      </c>
      <c r="DM46" s="96">
        <v>4.5932428000000003E-3</v>
      </c>
      <c r="DN46" s="96">
        <v>4.5988950000000004E-3</v>
      </c>
      <c r="DO46" s="96">
        <v>4.6045471999999997E-3</v>
      </c>
      <c r="DP46" s="96">
        <v>4.6101995000000003E-3</v>
      </c>
      <c r="DQ46" s="96">
        <v>4.6158516999999996E-3</v>
      </c>
      <c r="DR46" s="97">
        <v>4.6215038999999998E-3</v>
      </c>
      <c r="DS46" s="93">
        <v>89.496676429000004</v>
      </c>
      <c r="DT46" s="80">
        <v>0.62489130439999996</v>
      </c>
      <c r="DU46" s="80">
        <v>45.601435717000001</v>
      </c>
      <c r="DV46" s="80">
        <v>0.32957696559999999</v>
      </c>
      <c r="DW46" s="80">
        <v>22.920594719</v>
      </c>
      <c r="DX46" s="80">
        <v>0.17154384440000001</v>
      </c>
      <c r="DY46" s="80">
        <v>11.54115758</v>
      </c>
      <c r="DZ46" s="80">
        <v>9.0189007500000001E-2</v>
      </c>
      <c r="EA46" s="80">
        <v>5.9454948086000003</v>
      </c>
      <c r="EB46" s="80">
        <v>4.9152400499999999E-2</v>
      </c>
      <c r="EC46" s="80">
        <v>3.1902879786999998</v>
      </c>
      <c r="ED46" s="80">
        <v>2.8402340299999999E-2</v>
      </c>
      <c r="EE46" s="80">
        <v>1.7870657054000001</v>
      </c>
      <c r="EF46" s="80">
        <v>1.7582012399999999E-2</v>
      </c>
      <c r="EG46" s="80">
        <v>1.0513512652000001</v>
      </c>
      <c r="EH46" s="80">
        <v>1.1688231800000001E-2</v>
      </c>
      <c r="EI46" s="80">
        <v>0.64938324739999997</v>
      </c>
      <c r="EJ46" s="80">
        <v>8.3350027E-3</v>
      </c>
      <c r="EK46" s="80">
        <v>0.42159074470000002</v>
      </c>
      <c r="EL46" s="94">
        <v>6.3108069000000003E-3</v>
      </c>
    </row>
    <row r="47" spans="1:142" x14ac:dyDescent="0.2">
      <c r="A47" s="79">
        <v>4200</v>
      </c>
      <c r="B47" s="27">
        <v>2043</v>
      </c>
      <c r="C47" s="79">
        <v>1985.4217179</v>
      </c>
      <c r="D47" s="27">
        <v>4148.8022394999998</v>
      </c>
      <c r="E47" s="27">
        <v>71.005513933000003</v>
      </c>
      <c r="F47" s="27">
        <v>7.2008468699999995E-2</v>
      </c>
      <c r="G47" s="79">
        <v>4.8181749688000002</v>
      </c>
      <c r="H47" s="27">
        <v>2.5124243999999998E-3</v>
      </c>
      <c r="I47" s="27">
        <v>172.96167052999999</v>
      </c>
      <c r="J47" s="27">
        <v>1.1542290185999999</v>
      </c>
      <c r="K47" s="27">
        <v>71.896815005999997</v>
      </c>
      <c r="L47" s="27">
        <v>0.44775452049999998</v>
      </c>
      <c r="M47" s="27">
        <v>20.611905851</v>
      </c>
      <c r="N47" s="27">
        <v>0.1705962526</v>
      </c>
      <c r="O47" s="80" t="s">
        <v>136</v>
      </c>
      <c r="P47" s="80">
        <v>0</v>
      </c>
      <c r="Q47" s="27">
        <v>25.133218526</v>
      </c>
      <c r="R47" s="27">
        <v>4.3267440999999997E-2</v>
      </c>
      <c r="S47" s="80" t="s">
        <v>136</v>
      </c>
      <c r="T47" s="80">
        <v>0</v>
      </c>
      <c r="U47" s="80" t="s">
        <v>136</v>
      </c>
      <c r="V47" s="80">
        <v>0</v>
      </c>
      <c r="W47" s="27">
        <v>0.37474221349999998</v>
      </c>
      <c r="X47" s="27">
        <v>4.1723608999999998E-3</v>
      </c>
      <c r="Y47" s="27">
        <v>27.216200821000001</v>
      </c>
      <c r="Z47" s="27">
        <v>0.61082698300000005</v>
      </c>
      <c r="AA47" s="80" t="s">
        <v>136</v>
      </c>
      <c r="AB47" s="80">
        <v>0</v>
      </c>
      <c r="AC47" s="27">
        <v>0</v>
      </c>
      <c r="AD47" s="27">
        <v>0</v>
      </c>
      <c r="AE47" s="80" t="s">
        <v>136</v>
      </c>
      <c r="AF47" s="80">
        <v>0</v>
      </c>
      <c r="AG47" s="80" t="s">
        <v>136</v>
      </c>
      <c r="AH47" s="80">
        <v>0</v>
      </c>
      <c r="AI47" s="27">
        <f t="shared" si="4"/>
        <v>0</v>
      </c>
      <c r="AJ47" s="27">
        <f t="shared" si="5"/>
        <v>0</v>
      </c>
      <c r="AK47" s="27">
        <v>111.54457035999999</v>
      </c>
      <c r="AL47" s="27">
        <v>1.5441341678</v>
      </c>
      <c r="AM47" s="80" t="s">
        <v>136</v>
      </c>
      <c r="AN47" s="80">
        <v>0</v>
      </c>
      <c r="AO47" s="80" t="s">
        <v>136</v>
      </c>
      <c r="AP47" s="80">
        <v>0</v>
      </c>
      <c r="AQ47" s="80" t="s">
        <v>136</v>
      </c>
      <c r="AR47" s="80">
        <v>0</v>
      </c>
      <c r="AS47" s="27">
        <v>68.437874140999995</v>
      </c>
      <c r="AT47" s="27">
        <v>2.3865921108000001</v>
      </c>
      <c r="AU47" s="27">
        <v>56.284022952000001</v>
      </c>
      <c r="AV47" s="27">
        <v>0.44235813930000001</v>
      </c>
      <c r="AW47" s="27">
        <v>25.589998442999999</v>
      </c>
      <c r="AX47" s="27">
        <v>0.26532789020000003</v>
      </c>
      <c r="AY47" s="27">
        <v>10.359119271999999</v>
      </c>
      <c r="AZ47" s="27">
        <v>9.32027463E-2</v>
      </c>
      <c r="BA47" s="80">
        <f t="shared" si="6"/>
        <v>20.334905237000001</v>
      </c>
      <c r="BB47" s="80">
        <f t="shared" si="7"/>
        <v>8.3827502799999953E-2</v>
      </c>
      <c r="BC47" s="27">
        <v>0</v>
      </c>
      <c r="BD47" s="80">
        <v>0</v>
      </c>
      <c r="BE47" s="27">
        <v>140.15953085000001</v>
      </c>
      <c r="BF47" s="27">
        <v>1.5452589220999999</v>
      </c>
      <c r="BG47" s="79">
        <v>5.1746194999999998E-3</v>
      </c>
      <c r="BH47" s="80">
        <v>0</v>
      </c>
      <c r="BI47" s="27">
        <v>146.87274288</v>
      </c>
      <c r="BJ47" s="27">
        <v>4.6544544969999997</v>
      </c>
      <c r="BK47" s="27">
        <v>178.80837448</v>
      </c>
      <c r="BL47" s="27">
        <v>1.3345716949999999</v>
      </c>
      <c r="BM47" s="27">
        <v>51.226450442000001</v>
      </c>
      <c r="BN47" s="27">
        <v>0.26488676420000001</v>
      </c>
      <c r="BO47" s="27">
        <v>0.18613742010000001</v>
      </c>
      <c r="BP47" s="27">
        <v>7.9212900000000003E-4</v>
      </c>
      <c r="BQ47" s="27">
        <v>0</v>
      </c>
      <c r="BR47" s="92">
        <v>0</v>
      </c>
      <c r="BS47" s="80" t="s">
        <v>136</v>
      </c>
      <c r="BT47" s="80">
        <v>0</v>
      </c>
      <c r="BU47" s="79">
        <v>0.3499231579</v>
      </c>
      <c r="BV47" s="27">
        <v>4.3398244000000001E-3</v>
      </c>
      <c r="BW47" s="27">
        <v>20.261982693</v>
      </c>
      <c r="BX47" s="27">
        <v>0.1662564282</v>
      </c>
      <c r="BY47" s="80" t="s">
        <v>136</v>
      </c>
      <c r="BZ47" s="80">
        <v>0</v>
      </c>
      <c r="CA47" s="80" t="s">
        <v>136</v>
      </c>
      <c r="CB47" s="80">
        <v>0</v>
      </c>
      <c r="CC47" s="27">
        <v>10.738850381000001</v>
      </c>
      <c r="CD47" s="27">
        <v>1.09961765E-2</v>
      </c>
      <c r="CE47" s="27">
        <v>14.394368145</v>
      </c>
      <c r="CF47" s="92">
        <v>3.2271264600000002E-2</v>
      </c>
      <c r="CG47" s="80" t="s">
        <v>136</v>
      </c>
      <c r="CH47" s="80">
        <v>0</v>
      </c>
      <c r="CI47" s="80" t="s">
        <v>136</v>
      </c>
      <c r="CJ47" s="80">
        <v>0</v>
      </c>
      <c r="CK47" s="80" t="s">
        <v>136</v>
      </c>
      <c r="CL47" s="80">
        <v>0</v>
      </c>
      <c r="CM47" s="80" t="s">
        <v>136</v>
      </c>
      <c r="CN47" s="80">
        <v>0</v>
      </c>
      <c r="CO47" s="79">
        <v>7.7394603199999995E-2</v>
      </c>
      <c r="CP47" s="27">
        <v>1.0002781000000001E-3</v>
      </c>
      <c r="CQ47" s="27">
        <v>0.29734761030000001</v>
      </c>
      <c r="CR47" s="27">
        <v>3.1720826999999999E-3</v>
      </c>
      <c r="CS47" s="27">
        <v>1.9360864357000001</v>
      </c>
      <c r="CT47" s="27">
        <v>2.1902665700000001E-2</v>
      </c>
      <c r="CU47" s="27">
        <v>25.280114385000001</v>
      </c>
      <c r="CV47" s="92">
        <v>0.58892431730000006</v>
      </c>
      <c r="CW47" s="80" t="s">
        <v>136</v>
      </c>
      <c r="CX47" s="80">
        <v>0</v>
      </c>
      <c r="CY47" s="80" t="s">
        <v>136</v>
      </c>
      <c r="CZ47" s="80">
        <v>0</v>
      </c>
      <c r="DA47" s="79">
        <v>16.961057951000001</v>
      </c>
      <c r="DB47" s="27">
        <v>0.2670128329</v>
      </c>
      <c r="DC47" s="27">
        <v>51.476816190000001</v>
      </c>
      <c r="DD47" s="27">
        <v>2.1195792778999998</v>
      </c>
      <c r="DE47" s="27">
        <v>21.173205537000001</v>
      </c>
      <c r="DF47" s="27">
        <v>0.49218218050000001</v>
      </c>
      <c r="DG47" s="27">
        <v>118.98632531</v>
      </c>
      <c r="DH47" s="92">
        <v>1.0530767416</v>
      </c>
      <c r="DI47" s="95">
        <v>2.4142189E-3</v>
      </c>
      <c r="DJ47" s="96">
        <v>4.2219822000000001E-3</v>
      </c>
      <c r="DK47" s="96">
        <v>4.6766352999999998E-3</v>
      </c>
      <c r="DL47" s="96">
        <v>4.7437299000000002E-3</v>
      </c>
      <c r="DM47" s="96">
        <v>4.7594022000000003E-3</v>
      </c>
      <c r="DN47" s="96">
        <v>4.7650137E-3</v>
      </c>
      <c r="DO47" s="96">
        <v>4.7706251000000002E-3</v>
      </c>
      <c r="DP47" s="96">
        <v>4.7762365999999999E-3</v>
      </c>
      <c r="DQ47" s="96">
        <v>4.781848E-3</v>
      </c>
      <c r="DR47" s="97">
        <v>4.7874594000000001E-3</v>
      </c>
      <c r="DS47" s="93">
        <v>90.528978488000007</v>
      </c>
      <c r="DT47" s="80">
        <v>0.63177543839999994</v>
      </c>
      <c r="DU47" s="80">
        <v>46.318493048999997</v>
      </c>
      <c r="DV47" s="80">
        <v>0.3344686181</v>
      </c>
      <c r="DW47" s="80">
        <v>23.390736795999999</v>
      </c>
      <c r="DX47" s="80">
        <v>0.17486240210000001</v>
      </c>
      <c r="DY47" s="80">
        <v>11.838643381000001</v>
      </c>
      <c r="DZ47" s="80">
        <v>9.2386816699999999E-2</v>
      </c>
      <c r="EA47" s="80">
        <v>6.1271232223999998</v>
      </c>
      <c r="EB47" s="80">
        <v>5.0572108999999997E-2</v>
      </c>
      <c r="EC47" s="80">
        <v>3.2922741404</v>
      </c>
      <c r="ED47" s="80">
        <v>2.9280236800000001E-2</v>
      </c>
      <c r="EE47" s="80">
        <v>1.8504476453000001</v>
      </c>
      <c r="EF47" s="80">
        <v>1.81807129E-2</v>
      </c>
      <c r="EG47" s="80">
        <v>1.0873717784000001</v>
      </c>
      <c r="EH47" s="80">
        <v>1.20804325E-2</v>
      </c>
      <c r="EI47" s="80">
        <v>0.67227803239999995</v>
      </c>
      <c r="EJ47" s="80">
        <v>8.6211342999999996E-3</v>
      </c>
      <c r="EK47" s="80">
        <v>0.43587539409999998</v>
      </c>
      <c r="EL47" s="94">
        <v>6.5226190000000003E-3</v>
      </c>
    </row>
    <row r="48" spans="1:142" x14ac:dyDescent="0.2">
      <c r="A48" s="79">
        <v>4300</v>
      </c>
      <c r="B48" s="27">
        <v>1976</v>
      </c>
      <c r="C48" s="79">
        <v>2013.0707305000001</v>
      </c>
      <c r="D48" s="27">
        <v>4249.6449472000004</v>
      </c>
      <c r="E48" s="27">
        <v>72.533916285999993</v>
      </c>
      <c r="F48" s="27">
        <v>7.2937860100000002E-2</v>
      </c>
      <c r="G48" s="79">
        <v>5.0619342720000002</v>
      </c>
      <c r="H48" s="27">
        <v>2.6133010000000002E-3</v>
      </c>
      <c r="I48" s="27">
        <v>174.17827272</v>
      </c>
      <c r="J48" s="27">
        <v>1.1621839606</v>
      </c>
      <c r="K48" s="27">
        <v>72.739223234999997</v>
      </c>
      <c r="L48" s="27">
        <v>0.4526878044</v>
      </c>
      <c r="M48" s="27">
        <v>21.020858232999998</v>
      </c>
      <c r="N48" s="27">
        <v>0.17375974290000001</v>
      </c>
      <c r="O48" s="80" t="s">
        <v>136</v>
      </c>
      <c r="P48" s="80">
        <v>0</v>
      </c>
      <c r="Q48" s="27">
        <v>26.005127170000002</v>
      </c>
      <c r="R48" s="27">
        <v>4.4537334800000002E-2</v>
      </c>
      <c r="S48" s="80" t="s">
        <v>136</v>
      </c>
      <c r="T48" s="80">
        <v>0</v>
      </c>
      <c r="U48" s="80" t="s">
        <v>136</v>
      </c>
      <c r="V48" s="80">
        <v>0</v>
      </c>
      <c r="W48" s="27">
        <v>0.40648972020000002</v>
      </c>
      <c r="X48" s="27">
        <v>4.4547203999999998E-3</v>
      </c>
      <c r="Y48" s="27">
        <v>27.876653100999999</v>
      </c>
      <c r="Z48" s="27">
        <v>0.62244663789999999</v>
      </c>
      <c r="AA48" s="80" t="s">
        <v>136</v>
      </c>
      <c r="AB48" s="80">
        <v>0</v>
      </c>
      <c r="AC48" s="27">
        <v>0</v>
      </c>
      <c r="AD48" s="27">
        <v>0</v>
      </c>
      <c r="AE48" s="80" t="s">
        <v>136</v>
      </c>
      <c r="AF48" s="80">
        <v>0</v>
      </c>
      <c r="AG48" s="80" t="s">
        <v>136</v>
      </c>
      <c r="AH48" s="80">
        <v>0</v>
      </c>
      <c r="AI48" s="27">
        <f t="shared" si="4"/>
        <v>0</v>
      </c>
      <c r="AJ48" s="27">
        <f t="shared" si="5"/>
        <v>0</v>
      </c>
      <c r="AK48" s="27">
        <v>113.05648066000001</v>
      </c>
      <c r="AL48" s="27">
        <v>1.5566602126</v>
      </c>
      <c r="AM48" s="80" t="s">
        <v>136</v>
      </c>
      <c r="AN48" s="80">
        <v>0</v>
      </c>
      <c r="AO48" s="80" t="s">
        <v>136</v>
      </c>
      <c r="AP48" s="80">
        <v>0</v>
      </c>
      <c r="AQ48" s="80" t="s">
        <v>136</v>
      </c>
      <c r="AR48" s="80">
        <v>0</v>
      </c>
      <c r="AS48" s="27">
        <v>69.376808105999999</v>
      </c>
      <c r="AT48" s="27">
        <v>2.4108063366999999</v>
      </c>
      <c r="AU48" s="27">
        <v>57.326129246000001</v>
      </c>
      <c r="AV48" s="27">
        <v>0.44870312820000002</v>
      </c>
      <c r="AW48" s="27">
        <v>26.054743582</v>
      </c>
      <c r="AX48" s="27">
        <v>0.26912238939999999</v>
      </c>
      <c r="AY48" s="27">
        <v>10.508537895</v>
      </c>
      <c r="AZ48" s="27">
        <v>9.4251681099999998E-2</v>
      </c>
      <c r="BA48" s="80">
        <f t="shared" si="6"/>
        <v>20.762847768999997</v>
      </c>
      <c r="BB48" s="80">
        <f t="shared" si="7"/>
        <v>8.5329057700000044E-2</v>
      </c>
      <c r="BC48" s="27">
        <v>0</v>
      </c>
      <c r="BD48" s="80">
        <v>0</v>
      </c>
      <c r="BE48" s="27">
        <v>143.11358149</v>
      </c>
      <c r="BF48" s="27">
        <v>1.5650383567999999</v>
      </c>
      <c r="BG48" s="79">
        <v>5.3851790000000004E-3</v>
      </c>
      <c r="BH48" s="80">
        <v>0</v>
      </c>
      <c r="BI48" s="27">
        <v>148.41558484000001</v>
      </c>
      <c r="BJ48" s="27">
        <v>4.6894252596000001</v>
      </c>
      <c r="BK48" s="27">
        <v>183.54761461999999</v>
      </c>
      <c r="BL48" s="27">
        <v>1.3669206373</v>
      </c>
      <c r="BM48" s="27">
        <v>52.458081391999997</v>
      </c>
      <c r="BN48" s="27">
        <v>0.26931131200000002</v>
      </c>
      <c r="BO48" s="27">
        <v>0.20053819789999999</v>
      </c>
      <c r="BP48" s="27">
        <v>7.9260929999999999E-4</v>
      </c>
      <c r="BQ48" s="27">
        <v>0</v>
      </c>
      <c r="BR48" s="92">
        <v>0</v>
      </c>
      <c r="BS48" s="80" t="s">
        <v>136</v>
      </c>
      <c r="BT48" s="80">
        <v>0</v>
      </c>
      <c r="BU48" s="79">
        <v>0.37197915780000002</v>
      </c>
      <c r="BV48" s="27">
        <v>4.4919822999999999E-3</v>
      </c>
      <c r="BW48" s="27">
        <v>20.648879076</v>
      </c>
      <c r="BX48" s="27">
        <v>0.16926776060000001</v>
      </c>
      <c r="BY48" s="80" t="s">
        <v>136</v>
      </c>
      <c r="BZ48" s="80">
        <v>0</v>
      </c>
      <c r="CA48" s="80" t="s">
        <v>136</v>
      </c>
      <c r="CB48" s="80">
        <v>0</v>
      </c>
      <c r="CC48" s="27">
        <v>11.20853119</v>
      </c>
      <c r="CD48" s="27">
        <v>1.13859345E-2</v>
      </c>
      <c r="CE48" s="27">
        <v>14.796595978999999</v>
      </c>
      <c r="CF48" s="92">
        <v>3.3151400300000002E-2</v>
      </c>
      <c r="CG48" s="80" t="s">
        <v>136</v>
      </c>
      <c r="CH48" s="80">
        <v>0</v>
      </c>
      <c r="CI48" s="80" t="s">
        <v>136</v>
      </c>
      <c r="CJ48" s="80">
        <v>0</v>
      </c>
      <c r="CK48" s="80" t="s">
        <v>136</v>
      </c>
      <c r="CL48" s="80">
        <v>0</v>
      </c>
      <c r="CM48" s="80" t="s">
        <v>136</v>
      </c>
      <c r="CN48" s="80">
        <v>0</v>
      </c>
      <c r="CO48" s="79">
        <v>8.3901101000000006E-2</v>
      </c>
      <c r="CP48" s="27">
        <v>1.0721041E-3</v>
      </c>
      <c r="CQ48" s="27">
        <v>0.32258861919999998</v>
      </c>
      <c r="CR48" s="27">
        <v>3.3826162999999999E-3</v>
      </c>
      <c r="CS48" s="27">
        <v>2.0229505962999998</v>
      </c>
      <c r="CT48" s="27">
        <v>2.2457317000000001E-2</v>
      </c>
      <c r="CU48" s="27">
        <v>25.853702504000001</v>
      </c>
      <c r="CV48" s="92">
        <v>0.5999893208</v>
      </c>
      <c r="CW48" s="80" t="s">
        <v>136</v>
      </c>
      <c r="CX48" s="80">
        <v>0</v>
      </c>
      <c r="CY48" s="80" t="s">
        <v>136</v>
      </c>
      <c r="CZ48" s="80">
        <v>0</v>
      </c>
      <c r="DA48" s="79">
        <v>17.242373532999999</v>
      </c>
      <c r="DB48" s="27">
        <v>0.27081027790000001</v>
      </c>
      <c r="DC48" s="27">
        <v>52.134434573999997</v>
      </c>
      <c r="DD48" s="27">
        <v>2.1399960589</v>
      </c>
      <c r="DE48" s="27">
        <v>22.162919945999999</v>
      </c>
      <c r="DF48" s="27">
        <v>0.50133298800000003</v>
      </c>
      <c r="DG48" s="27">
        <v>120.95066154</v>
      </c>
      <c r="DH48" s="92">
        <v>1.0637053688</v>
      </c>
      <c r="DI48" s="95">
        <v>2.5122118000000001E-3</v>
      </c>
      <c r="DJ48" s="96">
        <v>4.3918658999999999E-3</v>
      </c>
      <c r="DK48" s="96">
        <v>4.8799474000000001E-3</v>
      </c>
      <c r="DL48" s="96">
        <v>4.9567737999999997E-3</v>
      </c>
      <c r="DM48" s="96">
        <v>4.9723783000000001E-3</v>
      </c>
      <c r="DN48" s="96">
        <v>4.9779528999999998E-3</v>
      </c>
      <c r="DO48" s="96">
        <v>4.9835275000000004E-3</v>
      </c>
      <c r="DP48" s="96">
        <v>4.9891019999999996E-3</v>
      </c>
      <c r="DQ48" s="96">
        <v>4.9946766000000002E-3</v>
      </c>
      <c r="DR48" s="97">
        <v>5.0002511999999999E-3</v>
      </c>
      <c r="DS48" s="93">
        <v>91.512982809999997</v>
      </c>
      <c r="DT48" s="80">
        <v>0.63824539650000001</v>
      </c>
      <c r="DU48" s="80">
        <v>47.027696890000001</v>
      </c>
      <c r="DV48" s="80">
        <v>0.33921625770000002</v>
      </c>
      <c r="DW48" s="80">
        <v>23.872393730999999</v>
      </c>
      <c r="DX48" s="80">
        <v>0.17816064140000001</v>
      </c>
      <c r="DY48" s="80">
        <v>12.153148647</v>
      </c>
      <c r="DZ48" s="80">
        <v>9.4589262199999996E-2</v>
      </c>
      <c r="EA48" s="80">
        <v>6.3278592058000003</v>
      </c>
      <c r="EB48" s="80">
        <v>5.20232084E-2</v>
      </c>
      <c r="EC48" s="80">
        <v>3.4214070643999999</v>
      </c>
      <c r="ED48" s="80">
        <v>3.0259175900000001E-2</v>
      </c>
      <c r="EE48" s="80">
        <v>1.9378235345000001</v>
      </c>
      <c r="EF48" s="80">
        <v>1.8870722900000001E-2</v>
      </c>
      <c r="EG48" s="80">
        <v>1.1502286477999999</v>
      </c>
      <c r="EH48" s="80">
        <v>1.2592143E-2</v>
      </c>
      <c r="EI48" s="80">
        <v>0.71813764499999999</v>
      </c>
      <c r="EJ48" s="80">
        <v>9.002398E-3</v>
      </c>
      <c r="EK48" s="80">
        <v>0.46898930750000001</v>
      </c>
      <c r="EL48" s="94">
        <v>6.8039549E-3</v>
      </c>
    </row>
    <row r="49" spans="1:142" x14ac:dyDescent="0.2">
      <c r="A49" s="79">
        <v>4400</v>
      </c>
      <c r="B49" s="27">
        <v>1932</v>
      </c>
      <c r="C49" s="79">
        <v>2040.5419343999999</v>
      </c>
      <c r="D49" s="27">
        <v>4349.9021565000003</v>
      </c>
      <c r="E49" s="27">
        <v>74.370727282999994</v>
      </c>
      <c r="F49" s="27">
        <v>7.3959021299999997E-2</v>
      </c>
      <c r="G49" s="79">
        <v>5.2407513759000004</v>
      </c>
      <c r="H49" s="27">
        <v>2.6888923000000001E-3</v>
      </c>
      <c r="I49" s="27">
        <v>175.36254027000001</v>
      </c>
      <c r="J49" s="27">
        <v>1.1702589447</v>
      </c>
      <c r="K49" s="27">
        <v>73.655337075999995</v>
      </c>
      <c r="L49" s="27">
        <v>0.45866168169999999</v>
      </c>
      <c r="M49" s="27">
        <v>21.460725110999999</v>
      </c>
      <c r="N49" s="27">
        <v>0.17714558959999999</v>
      </c>
      <c r="O49" s="80" t="s">
        <v>136</v>
      </c>
      <c r="P49" s="80">
        <v>0</v>
      </c>
      <c r="Q49" s="27">
        <v>26.960651873</v>
      </c>
      <c r="R49" s="27">
        <v>4.5951889599999997E-2</v>
      </c>
      <c r="S49" s="80" t="s">
        <v>136</v>
      </c>
      <c r="T49" s="80">
        <v>0</v>
      </c>
      <c r="U49" s="80" t="s">
        <v>136</v>
      </c>
      <c r="V49" s="80">
        <v>0</v>
      </c>
      <c r="W49" s="27">
        <v>0.41463675179999998</v>
      </c>
      <c r="X49" s="27">
        <v>4.5342389999999998E-3</v>
      </c>
      <c r="Y49" s="27">
        <v>28.581676166000001</v>
      </c>
      <c r="Z49" s="27">
        <v>0.6370391795</v>
      </c>
      <c r="AA49" s="80" t="s">
        <v>136</v>
      </c>
      <c r="AB49" s="80">
        <v>0</v>
      </c>
      <c r="AC49" s="27">
        <v>0</v>
      </c>
      <c r="AD49" s="27">
        <v>0</v>
      </c>
      <c r="AE49" s="80" t="s">
        <v>136</v>
      </c>
      <c r="AF49" s="80">
        <v>0</v>
      </c>
      <c r="AG49" s="80" t="s">
        <v>136</v>
      </c>
      <c r="AH49" s="80">
        <v>0</v>
      </c>
      <c r="AI49" s="27">
        <f t="shared" si="4"/>
        <v>0</v>
      </c>
      <c r="AJ49" s="27">
        <f t="shared" si="5"/>
        <v>0</v>
      </c>
      <c r="AK49" s="27">
        <v>114.34583408</v>
      </c>
      <c r="AL49" s="27">
        <v>1.5675412528999999</v>
      </c>
      <c r="AM49" s="80" t="s">
        <v>136</v>
      </c>
      <c r="AN49" s="80">
        <v>0</v>
      </c>
      <c r="AO49" s="80" t="s">
        <v>136</v>
      </c>
      <c r="AP49" s="80">
        <v>0</v>
      </c>
      <c r="AQ49" s="80" t="s">
        <v>136</v>
      </c>
      <c r="AR49" s="80">
        <v>0</v>
      </c>
      <c r="AS49" s="27">
        <v>70.368165793000003</v>
      </c>
      <c r="AT49" s="27">
        <v>2.4335694953</v>
      </c>
      <c r="AU49" s="27">
        <v>58.238975021000002</v>
      </c>
      <c r="AV49" s="27">
        <v>0.45447672360000002</v>
      </c>
      <c r="AW49" s="27">
        <v>26.500055153999998</v>
      </c>
      <c r="AX49" s="27">
        <v>0.27287256399999998</v>
      </c>
      <c r="AY49" s="27">
        <v>10.65969072</v>
      </c>
      <c r="AZ49" s="27">
        <v>9.5187029899999998E-2</v>
      </c>
      <c r="BA49" s="80">
        <f t="shared" si="6"/>
        <v>21.079229147000007</v>
      </c>
      <c r="BB49" s="80">
        <f t="shared" si="7"/>
        <v>8.6417129700000039E-2</v>
      </c>
      <c r="BC49" s="27">
        <v>0</v>
      </c>
      <c r="BD49" s="80">
        <v>0</v>
      </c>
      <c r="BE49" s="27">
        <v>146.07070797</v>
      </c>
      <c r="BF49" s="27">
        <v>1.5843792303999999</v>
      </c>
      <c r="BG49" s="79">
        <v>5.5769052000000001E-3</v>
      </c>
      <c r="BH49" s="80">
        <v>0</v>
      </c>
      <c r="BI49" s="27">
        <v>149.90641966999999</v>
      </c>
      <c r="BJ49" s="27">
        <v>4.7222883875999999</v>
      </c>
      <c r="BK49" s="27">
        <v>188.55000314</v>
      </c>
      <c r="BL49" s="27">
        <v>1.4012277987999999</v>
      </c>
      <c r="BM49" s="27">
        <v>53.500127810999999</v>
      </c>
      <c r="BN49" s="27">
        <v>0.27377011769999998</v>
      </c>
      <c r="BO49" s="27">
        <v>0.20002232110000001</v>
      </c>
      <c r="BP49" s="27">
        <v>8.1588760000000005E-4</v>
      </c>
      <c r="BQ49" s="27">
        <v>0</v>
      </c>
      <c r="BR49" s="92">
        <v>0</v>
      </c>
      <c r="BS49" s="80" t="s">
        <v>136</v>
      </c>
      <c r="BT49" s="80">
        <v>0</v>
      </c>
      <c r="BU49" s="79">
        <v>0.37698582539999997</v>
      </c>
      <c r="BV49" s="27">
        <v>4.5285211999999998E-3</v>
      </c>
      <c r="BW49" s="27">
        <v>21.083739285</v>
      </c>
      <c r="BX49" s="27">
        <v>0.17261706839999999</v>
      </c>
      <c r="BY49" s="80" t="s">
        <v>136</v>
      </c>
      <c r="BZ49" s="80">
        <v>0</v>
      </c>
      <c r="CA49" s="80" t="s">
        <v>136</v>
      </c>
      <c r="CB49" s="80">
        <v>0</v>
      </c>
      <c r="CC49" s="27">
        <v>11.713795451999999</v>
      </c>
      <c r="CD49" s="27">
        <v>1.18015436E-2</v>
      </c>
      <c r="CE49" s="27">
        <v>15.246856421</v>
      </c>
      <c r="CF49" s="92">
        <v>3.4150345999999998E-2</v>
      </c>
      <c r="CG49" s="80" t="s">
        <v>136</v>
      </c>
      <c r="CH49" s="80">
        <v>0</v>
      </c>
      <c r="CI49" s="80" t="s">
        <v>136</v>
      </c>
      <c r="CJ49" s="80">
        <v>0</v>
      </c>
      <c r="CK49" s="80" t="s">
        <v>136</v>
      </c>
      <c r="CL49" s="80">
        <v>0</v>
      </c>
      <c r="CM49" s="80" t="s">
        <v>136</v>
      </c>
      <c r="CN49" s="80">
        <v>0</v>
      </c>
      <c r="CO49" s="79">
        <v>8.3813841099999994E-2</v>
      </c>
      <c r="CP49" s="27">
        <v>1.0795609999999999E-3</v>
      </c>
      <c r="CQ49" s="27">
        <v>0.33082291069999997</v>
      </c>
      <c r="CR49" s="27">
        <v>3.4546780000000001E-3</v>
      </c>
      <c r="CS49" s="27">
        <v>2.0574499381</v>
      </c>
      <c r="CT49" s="27">
        <v>2.2854125100000001E-2</v>
      </c>
      <c r="CU49" s="27">
        <v>26.524226228</v>
      </c>
      <c r="CV49" s="92">
        <v>0.61418505440000004</v>
      </c>
      <c r="CW49" s="80" t="s">
        <v>136</v>
      </c>
      <c r="CX49" s="80">
        <v>0</v>
      </c>
      <c r="CY49" s="80" t="s">
        <v>136</v>
      </c>
      <c r="CZ49" s="80">
        <v>0</v>
      </c>
      <c r="DA49" s="79">
        <v>17.50859105</v>
      </c>
      <c r="DB49" s="27">
        <v>0.27379501740000001</v>
      </c>
      <c r="DC49" s="27">
        <v>52.859574742</v>
      </c>
      <c r="DD49" s="27">
        <v>2.1597744778000001</v>
      </c>
      <c r="DE49" s="27">
        <v>23.074683</v>
      </c>
      <c r="DF49" s="27">
        <v>0.50933984050000003</v>
      </c>
      <c r="DG49" s="27">
        <v>122.99602496999999</v>
      </c>
      <c r="DH49" s="92">
        <v>1.0750393898999999</v>
      </c>
      <c r="DI49" s="95">
        <v>2.5865084000000001E-3</v>
      </c>
      <c r="DJ49" s="96">
        <v>4.5187980000000001E-3</v>
      </c>
      <c r="DK49" s="96">
        <v>5.0250818000000001E-3</v>
      </c>
      <c r="DL49" s="96">
        <v>5.1096301E-3</v>
      </c>
      <c r="DM49" s="96">
        <v>5.1285788999999998E-3</v>
      </c>
      <c r="DN49" s="96">
        <v>5.1375335000000003E-3</v>
      </c>
      <c r="DO49" s="96">
        <v>5.1447682999999998E-3</v>
      </c>
      <c r="DP49" s="96">
        <v>5.1520031000000001E-3</v>
      </c>
      <c r="DQ49" s="96">
        <v>5.1592379000000004E-3</v>
      </c>
      <c r="DR49" s="97">
        <v>5.1664726999999999E-3</v>
      </c>
      <c r="DS49" s="93">
        <v>92.451161115999994</v>
      </c>
      <c r="DT49" s="80">
        <v>0.64478587860000003</v>
      </c>
      <c r="DU49" s="80">
        <v>47.692840378</v>
      </c>
      <c r="DV49" s="80">
        <v>0.34405166250000002</v>
      </c>
      <c r="DW49" s="80">
        <v>24.310976119999999</v>
      </c>
      <c r="DX49" s="80">
        <v>0.18153242950000001</v>
      </c>
      <c r="DY49" s="80">
        <v>12.438837599999999</v>
      </c>
      <c r="DZ49" s="80">
        <v>9.6938959300000002E-2</v>
      </c>
      <c r="EA49" s="80">
        <v>6.5058304056000003</v>
      </c>
      <c r="EB49" s="80">
        <v>5.3639129600000002E-2</v>
      </c>
      <c r="EC49" s="80">
        <v>3.5366938926000002</v>
      </c>
      <c r="ED49" s="80">
        <v>3.14346899E-2</v>
      </c>
      <c r="EE49" s="80">
        <v>2.0129581699000001</v>
      </c>
      <c r="EF49" s="80">
        <v>1.9752465300000001E-2</v>
      </c>
      <c r="EG49" s="80">
        <v>1.2014008327000001</v>
      </c>
      <c r="EH49" s="80">
        <v>1.3279182699999999E-2</v>
      </c>
      <c r="EI49" s="80">
        <v>0.75354495249999998</v>
      </c>
      <c r="EJ49" s="80">
        <v>9.5528825000000001E-3</v>
      </c>
      <c r="EK49" s="80">
        <v>0.49467554629999999</v>
      </c>
      <c r="EL49" s="94">
        <v>7.2617754E-3</v>
      </c>
    </row>
    <row r="50" spans="1:142" x14ac:dyDescent="0.2">
      <c r="A50" s="79">
        <v>4500</v>
      </c>
      <c r="B50" s="27">
        <v>1943</v>
      </c>
      <c r="C50" s="79">
        <v>2067.4839066999998</v>
      </c>
      <c r="D50" s="27">
        <v>4448.4126453999997</v>
      </c>
      <c r="E50" s="27">
        <v>76.125224118000006</v>
      </c>
      <c r="F50" s="27">
        <v>7.49941883E-2</v>
      </c>
      <c r="G50" s="79">
        <v>5.4764207860000003</v>
      </c>
      <c r="H50" s="27">
        <v>2.7818030999999998E-3</v>
      </c>
      <c r="I50" s="27">
        <v>176.5306156</v>
      </c>
      <c r="J50" s="27">
        <v>1.1779548643</v>
      </c>
      <c r="K50" s="27">
        <v>74.605861275999999</v>
      </c>
      <c r="L50" s="27">
        <v>0.46495721909999999</v>
      </c>
      <c r="M50" s="27">
        <v>21.837604118000002</v>
      </c>
      <c r="N50" s="27">
        <v>0.1798446755</v>
      </c>
      <c r="O50" s="80" t="s">
        <v>136</v>
      </c>
      <c r="P50" s="80">
        <v>0</v>
      </c>
      <c r="Q50" s="27">
        <v>27.84726852</v>
      </c>
      <c r="R50" s="27">
        <v>4.7180672999999999E-2</v>
      </c>
      <c r="S50" s="80" t="s">
        <v>136</v>
      </c>
      <c r="T50" s="80">
        <v>0</v>
      </c>
      <c r="U50" s="80" t="s">
        <v>136</v>
      </c>
      <c r="V50" s="80">
        <v>0</v>
      </c>
      <c r="W50" s="27">
        <v>0.41276962709999998</v>
      </c>
      <c r="X50" s="27">
        <v>4.5139274000000002E-3</v>
      </c>
      <c r="Y50" s="27">
        <v>29.146646467</v>
      </c>
      <c r="Z50" s="27">
        <v>0.64821546139999997</v>
      </c>
      <c r="AA50" s="80" t="s">
        <v>136</v>
      </c>
      <c r="AB50" s="80">
        <v>0</v>
      </c>
      <c r="AC50" s="27">
        <v>0</v>
      </c>
      <c r="AD50" s="27">
        <v>0</v>
      </c>
      <c r="AE50" s="80" t="s">
        <v>136</v>
      </c>
      <c r="AF50" s="80">
        <v>0</v>
      </c>
      <c r="AG50" s="80" t="s">
        <v>136</v>
      </c>
      <c r="AH50" s="80">
        <v>0</v>
      </c>
      <c r="AI50" s="27">
        <f t="shared" si="4"/>
        <v>0</v>
      </c>
      <c r="AJ50" s="27">
        <f t="shared" si="5"/>
        <v>0</v>
      </c>
      <c r="AK50" s="27">
        <v>115.62419522</v>
      </c>
      <c r="AL50" s="27">
        <v>1.5782957291999999</v>
      </c>
      <c r="AM50" s="80" t="s">
        <v>136</v>
      </c>
      <c r="AN50" s="80">
        <v>0</v>
      </c>
      <c r="AO50" s="80" t="s">
        <v>136</v>
      </c>
      <c r="AP50" s="80">
        <v>0</v>
      </c>
      <c r="AQ50" s="80" t="s">
        <v>136</v>
      </c>
      <c r="AR50" s="80">
        <v>0</v>
      </c>
      <c r="AS50" s="27">
        <v>71.318177066999993</v>
      </c>
      <c r="AT50" s="27">
        <v>2.4565346733000002</v>
      </c>
      <c r="AU50" s="27">
        <v>59.294718486999997</v>
      </c>
      <c r="AV50" s="27">
        <v>0.46035774280000002</v>
      </c>
      <c r="AW50" s="27">
        <v>26.959529066000002</v>
      </c>
      <c r="AX50" s="27">
        <v>0.27651037919999999</v>
      </c>
      <c r="AY50" s="27">
        <v>10.824422327000001</v>
      </c>
      <c r="AZ50" s="27">
        <v>9.6108429699999998E-2</v>
      </c>
      <c r="BA50" s="80">
        <f t="shared" si="6"/>
        <v>21.510767093999995</v>
      </c>
      <c r="BB50" s="80">
        <f t="shared" si="7"/>
        <v>8.7738933900000038E-2</v>
      </c>
      <c r="BC50" s="27">
        <v>0</v>
      </c>
      <c r="BD50" s="80">
        <v>0</v>
      </c>
      <c r="BE50" s="27">
        <v>149.43286044000001</v>
      </c>
      <c r="BF50" s="27">
        <v>1.6056091260000001</v>
      </c>
      <c r="BG50" s="79">
        <v>5.7696044000000004E-3</v>
      </c>
      <c r="BH50" s="80">
        <v>0</v>
      </c>
      <c r="BI50" s="27">
        <v>151.38223721</v>
      </c>
      <c r="BJ50" s="27">
        <v>4.7541825502000004</v>
      </c>
      <c r="BK50" s="27">
        <v>193.71445918000001</v>
      </c>
      <c r="BL50" s="27">
        <v>1.4370162100999999</v>
      </c>
      <c r="BM50" s="27">
        <v>54.502362122999997</v>
      </c>
      <c r="BN50" s="27">
        <v>0.27777985230000002</v>
      </c>
      <c r="BO50" s="27">
        <v>0.20984166900000001</v>
      </c>
      <c r="BP50" s="27">
        <v>8.2845580000000002E-4</v>
      </c>
      <c r="BQ50" s="27">
        <v>0</v>
      </c>
      <c r="BR50" s="92">
        <v>0</v>
      </c>
      <c r="BS50" s="80" t="s">
        <v>136</v>
      </c>
      <c r="BT50" s="80">
        <v>0</v>
      </c>
      <c r="BU50" s="79">
        <v>0.40543363040000002</v>
      </c>
      <c r="BV50" s="27">
        <v>4.6777965999999999E-3</v>
      </c>
      <c r="BW50" s="27">
        <v>21.432170487</v>
      </c>
      <c r="BX50" s="27">
        <v>0.17516687880000001</v>
      </c>
      <c r="BY50" s="80" t="s">
        <v>136</v>
      </c>
      <c r="BZ50" s="80">
        <v>0</v>
      </c>
      <c r="CA50" s="80" t="s">
        <v>136</v>
      </c>
      <c r="CB50" s="80">
        <v>0</v>
      </c>
      <c r="CC50" s="27">
        <v>12.269239955</v>
      </c>
      <c r="CD50" s="27">
        <v>1.2215213000000001E-2</v>
      </c>
      <c r="CE50" s="27">
        <v>15.578028565</v>
      </c>
      <c r="CF50" s="92">
        <v>3.4965459900000002E-2</v>
      </c>
      <c r="CG50" s="80" t="s">
        <v>136</v>
      </c>
      <c r="CH50" s="80">
        <v>0</v>
      </c>
      <c r="CI50" s="80" t="s">
        <v>136</v>
      </c>
      <c r="CJ50" s="80">
        <v>0</v>
      </c>
      <c r="CK50" s="80" t="s">
        <v>136</v>
      </c>
      <c r="CL50" s="80">
        <v>0</v>
      </c>
      <c r="CM50" s="80" t="s">
        <v>136</v>
      </c>
      <c r="CN50" s="80">
        <v>0</v>
      </c>
      <c r="CO50" s="79">
        <v>8.34118789E-2</v>
      </c>
      <c r="CP50" s="27">
        <v>1.0746242E-3</v>
      </c>
      <c r="CQ50" s="27">
        <v>0.32935774820000002</v>
      </c>
      <c r="CR50" s="27">
        <v>3.4393030999999999E-3</v>
      </c>
      <c r="CS50" s="27">
        <v>2.1272373293000002</v>
      </c>
      <c r="CT50" s="27">
        <v>2.34898074E-2</v>
      </c>
      <c r="CU50" s="27">
        <v>27.019409138</v>
      </c>
      <c r="CV50" s="92">
        <v>0.62472565400000002</v>
      </c>
      <c r="CW50" s="80" t="s">
        <v>136</v>
      </c>
      <c r="CX50" s="80">
        <v>0</v>
      </c>
      <c r="CY50" s="80" t="s">
        <v>136</v>
      </c>
      <c r="CZ50" s="80">
        <v>0</v>
      </c>
      <c r="DA50" s="79">
        <v>17.791803075000001</v>
      </c>
      <c r="DB50" s="27">
        <v>0.27766151080000001</v>
      </c>
      <c r="DC50" s="27">
        <v>53.526373992000003</v>
      </c>
      <c r="DD50" s="27">
        <v>2.1788731626</v>
      </c>
      <c r="DE50" s="27">
        <v>24.081453694</v>
      </c>
      <c r="DF50" s="27">
        <v>0.51810551760000001</v>
      </c>
      <c r="DG50" s="27">
        <v>125.35140674</v>
      </c>
      <c r="DH50" s="92">
        <v>1.0875036084</v>
      </c>
      <c r="DI50" s="95">
        <v>2.6799534999999998E-3</v>
      </c>
      <c r="DJ50" s="96">
        <v>4.6837464999999997E-3</v>
      </c>
      <c r="DK50" s="96">
        <v>5.2156720000000002E-3</v>
      </c>
      <c r="DL50" s="96">
        <v>5.3046776E-3</v>
      </c>
      <c r="DM50" s="96">
        <v>5.3235449999999998E-3</v>
      </c>
      <c r="DN50" s="96">
        <v>5.3324527000000004E-3</v>
      </c>
      <c r="DO50" s="96">
        <v>5.3396494000000003E-3</v>
      </c>
      <c r="DP50" s="96">
        <v>5.3468461000000002E-3</v>
      </c>
      <c r="DQ50" s="96">
        <v>5.3540428000000001E-3</v>
      </c>
      <c r="DR50" s="97">
        <v>5.3612395E-3</v>
      </c>
      <c r="DS50" s="93">
        <v>93.392517577999996</v>
      </c>
      <c r="DT50" s="80">
        <v>0.65103476930000004</v>
      </c>
      <c r="DU50" s="80">
        <v>48.368434915999998</v>
      </c>
      <c r="DV50" s="80">
        <v>0.34864933129999998</v>
      </c>
      <c r="DW50" s="80">
        <v>24.765580263</v>
      </c>
      <c r="DX50" s="80">
        <v>0.18472237820000001</v>
      </c>
      <c r="DY50" s="80">
        <v>12.736243127</v>
      </c>
      <c r="DZ50" s="80">
        <v>9.90816801E-2</v>
      </c>
      <c r="EA50" s="80">
        <v>6.6918298984</v>
      </c>
      <c r="EB50" s="80">
        <v>5.5031204299999997E-2</v>
      </c>
      <c r="EC50" s="80">
        <v>3.6523327788</v>
      </c>
      <c r="ED50" s="80">
        <v>3.2345806099999999E-2</v>
      </c>
      <c r="EE50" s="80">
        <v>2.0893939298999999</v>
      </c>
      <c r="EF50" s="80">
        <v>2.0380744100000001E-2</v>
      </c>
      <c r="EG50" s="80">
        <v>1.2520733039</v>
      </c>
      <c r="EH50" s="80">
        <v>1.37167378E-2</v>
      </c>
      <c r="EI50" s="80">
        <v>0.78838415910000004</v>
      </c>
      <c r="EJ50" s="80">
        <v>9.8668378000000001E-3</v>
      </c>
      <c r="EK50" s="80">
        <v>0.51805621800000001</v>
      </c>
      <c r="EL50" s="94">
        <v>7.4844163000000003E-3</v>
      </c>
    </row>
    <row r="51" spans="1:142" x14ac:dyDescent="0.2">
      <c r="A51" s="79">
        <v>4600</v>
      </c>
      <c r="B51" s="27">
        <v>1904</v>
      </c>
      <c r="C51" s="79">
        <v>2093.8859819999998</v>
      </c>
      <c r="D51" s="27">
        <v>4550.3793402000001</v>
      </c>
      <c r="E51" s="27">
        <v>77.767246373000006</v>
      </c>
      <c r="F51" s="27">
        <v>7.5827039400000004E-2</v>
      </c>
      <c r="G51" s="79">
        <v>5.7275488786000004</v>
      </c>
      <c r="H51" s="27">
        <v>2.8722636000000001E-3</v>
      </c>
      <c r="I51" s="27">
        <v>177.50769073999999</v>
      </c>
      <c r="J51" s="27">
        <v>1.1845352897999999</v>
      </c>
      <c r="K51" s="27">
        <v>75.489303160999995</v>
      </c>
      <c r="L51" s="27">
        <v>0.47039231819999999</v>
      </c>
      <c r="M51" s="27">
        <v>22.296696009000001</v>
      </c>
      <c r="N51" s="27">
        <v>0.18344653429999999</v>
      </c>
      <c r="O51" s="80" t="s">
        <v>136</v>
      </c>
      <c r="P51" s="80">
        <v>0</v>
      </c>
      <c r="Q51" s="27">
        <v>29.011271874999998</v>
      </c>
      <c r="R51" s="27">
        <v>4.8739706399999999E-2</v>
      </c>
      <c r="S51" s="80" t="s">
        <v>136</v>
      </c>
      <c r="T51" s="80">
        <v>0</v>
      </c>
      <c r="U51" s="80" t="s">
        <v>136</v>
      </c>
      <c r="V51" s="80">
        <v>0</v>
      </c>
      <c r="W51" s="27">
        <v>0.41609706130000002</v>
      </c>
      <c r="X51" s="27">
        <v>4.5504732000000003E-3</v>
      </c>
      <c r="Y51" s="27">
        <v>29.814248284000001</v>
      </c>
      <c r="Z51" s="27">
        <v>0.66119487850000003</v>
      </c>
      <c r="AA51" s="80" t="s">
        <v>136</v>
      </c>
      <c r="AB51" s="80">
        <v>0</v>
      </c>
      <c r="AC51" s="27">
        <v>0</v>
      </c>
      <c r="AD51" s="27">
        <v>0</v>
      </c>
      <c r="AE51" s="80" t="s">
        <v>136</v>
      </c>
      <c r="AF51" s="80">
        <v>0</v>
      </c>
      <c r="AG51" s="80" t="s">
        <v>136</v>
      </c>
      <c r="AH51" s="80">
        <v>0</v>
      </c>
      <c r="AI51" s="27">
        <f t="shared" si="4"/>
        <v>0</v>
      </c>
      <c r="AJ51" s="27">
        <f t="shared" si="5"/>
        <v>0</v>
      </c>
      <c r="AK51" s="27">
        <v>116.89668171</v>
      </c>
      <c r="AL51" s="27">
        <v>1.5889707969</v>
      </c>
      <c r="AM51" s="80" t="s">
        <v>136</v>
      </c>
      <c r="AN51" s="80">
        <v>0</v>
      </c>
      <c r="AO51" s="80" t="s">
        <v>136</v>
      </c>
      <c r="AP51" s="80">
        <v>0</v>
      </c>
      <c r="AQ51" s="80" t="s">
        <v>136</v>
      </c>
      <c r="AR51" s="80">
        <v>0</v>
      </c>
      <c r="AS51" s="27">
        <v>72.313482211999997</v>
      </c>
      <c r="AT51" s="27">
        <v>2.4796984031</v>
      </c>
      <c r="AU51" s="27">
        <v>60.291840960000002</v>
      </c>
      <c r="AV51" s="27">
        <v>0.46600234680000002</v>
      </c>
      <c r="AW51" s="27">
        <v>27.410883511000002</v>
      </c>
      <c r="AX51" s="27">
        <v>0.28014291879999997</v>
      </c>
      <c r="AY51" s="27">
        <v>10.910165691</v>
      </c>
      <c r="AZ51" s="27">
        <v>9.6794527500000005E-2</v>
      </c>
      <c r="BA51" s="80">
        <f t="shared" si="6"/>
        <v>21.970791758000004</v>
      </c>
      <c r="BB51" s="80">
        <f t="shared" si="7"/>
        <v>8.9064900500000044E-2</v>
      </c>
      <c r="BC51" s="27">
        <v>0</v>
      </c>
      <c r="BD51" s="80">
        <v>0</v>
      </c>
      <c r="BE51" s="27">
        <v>152.74373413999999</v>
      </c>
      <c r="BF51" s="27">
        <v>1.6265821084000001</v>
      </c>
      <c r="BG51" s="79">
        <v>5.9542826999999998E-3</v>
      </c>
      <c r="BH51" s="80">
        <v>0</v>
      </c>
      <c r="BI51" s="27">
        <v>152.96752280000001</v>
      </c>
      <c r="BJ51" s="27">
        <v>4.7837749899000004</v>
      </c>
      <c r="BK51" s="27">
        <v>198.83512938999999</v>
      </c>
      <c r="BL51" s="27">
        <v>1.4712141394</v>
      </c>
      <c r="BM51" s="27">
        <v>55.577932015999998</v>
      </c>
      <c r="BN51" s="27">
        <v>0.28198500139999999</v>
      </c>
      <c r="BO51" s="27">
        <v>0.23122698010000001</v>
      </c>
      <c r="BP51" s="27">
        <v>8.466328E-4</v>
      </c>
      <c r="BQ51" s="27">
        <v>0</v>
      </c>
      <c r="BR51" s="92">
        <v>0</v>
      </c>
      <c r="BS51" s="80" t="s">
        <v>136</v>
      </c>
      <c r="BT51" s="80">
        <v>0</v>
      </c>
      <c r="BU51" s="79">
        <v>0.41267873770000002</v>
      </c>
      <c r="BV51" s="27">
        <v>4.8128143E-3</v>
      </c>
      <c r="BW51" s="27">
        <v>21.884017271000001</v>
      </c>
      <c r="BX51" s="27">
        <v>0.17863372</v>
      </c>
      <c r="BY51" s="80" t="s">
        <v>136</v>
      </c>
      <c r="BZ51" s="80">
        <v>0</v>
      </c>
      <c r="CA51" s="80" t="s">
        <v>136</v>
      </c>
      <c r="CB51" s="80">
        <v>0</v>
      </c>
      <c r="CC51" s="27">
        <v>12.927717271000001</v>
      </c>
      <c r="CD51" s="27">
        <v>1.26975887E-2</v>
      </c>
      <c r="CE51" s="27">
        <v>16.083554603</v>
      </c>
      <c r="CF51" s="92">
        <v>3.6042117700000001E-2</v>
      </c>
      <c r="CG51" s="80" t="s">
        <v>136</v>
      </c>
      <c r="CH51" s="80">
        <v>0</v>
      </c>
      <c r="CI51" s="80" t="s">
        <v>136</v>
      </c>
      <c r="CJ51" s="80">
        <v>0</v>
      </c>
      <c r="CK51" s="80" t="s">
        <v>136</v>
      </c>
      <c r="CL51" s="80">
        <v>0</v>
      </c>
      <c r="CM51" s="80" t="s">
        <v>136</v>
      </c>
      <c r="CN51" s="80">
        <v>0</v>
      </c>
      <c r="CO51" s="79">
        <v>8.3038513600000002E-2</v>
      </c>
      <c r="CP51" s="27">
        <v>1.0700174000000001E-3</v>
      </c>
      <c r="CQ51" s="27">
        <v>0.33305854769999998</v>
      </c>
      <c r="CR51" s="27">
        <v>3.4804558000000002E-3</v>
      </c>
      <c r="CS51" s="27">
        <v>2.199341472</v>
      </c>
      <c r="CT51" s="27">
        <v>2.4605016899999999E-2</v>
      </c>
      <c r="CU51" s="27">
        <v>27.614906812000001</v>
      </c>
      <c r="CV51" s="92">
        <v>0.63658986159999997</v>
      </c>
      <c r="CW51" s="80" t="s">
        <v>136</v>
      </c>
      <c r="CX51" s="80">
        <v>0</v>
      </c>
      <c r="CY51" s="80" t="s">
        <v>136</v>
      </c>
      <c r="CZ51" s="80">
        <v>0</v>
      </c>
      <c r="DA51" s="79">
        <v>18.115118549000002</v>
      </c>
      <c r="DB51" s="27">
        <v>0.28163520440000001</v>
      </c>
      <c r="DC51" s="27">
        <v>54.198363661999998</v>
      </c>
      <c r="DD51" s="27">
        <v>2.1980631986999999</v>
      </c>
      <c r="DE51" s="27">
        <v>25.156508262999999</v>
      </c>
      <c r="DF51" s="27">
        <v>0.52705041470000003</v>
      </c>
      <c r="DG51" s="27">
        <v>127.58722588000001</v>
      </c>
      <c r="DH51" s="92">
        <v>1.0995316936999999</v>
      </c>
      <c r="DI51" s="95">
        <v>2.7709155999999999E-3</v>
      </c>
      <c r="DJ51" s="96">
        <v>4.8458696000000002E-3</v>
      </c>
      <c r="DK51" s="96">
        <v>5.3984167999999999E-3</v>
      </c>
      <c r="DL51" s="96">
        <v>5.4916178999999997E-3</v>
      </c>
      <c r="DM51" s="96">
        <v>5.5104031000000001E-3</v>
      </c>
      <c r="DN51" s="96">
        <v>5.5192618000000004E-3</v>
      </c>
      <c r="DO51" s="96">
        <v>5.5264177999999999E-3</v>
      </c>
      <c r="DP51" s="96">
        <v>5.5335738999999998E-3</v>
      </c>
      <c r="DQ51" s="96">
        <v>5.5407299000000002E-3</v>
      </c>
      <c r="DR51" s="97">
        <v>5.5478858999999997E-3</v>
      </c>
      <c r="DS51" s="93">
        <v>94.170739354000006</v>
      </c>
      <c r="DT51" s="80">
        <v>0.65628077080000002</v>
      </c>
      <c r="DU51" s="80">
        <v>48.913000748999998</v>
      </c>
      <c r="DV51" s="80">
        <v>0.3523616014</v>
      </c>
      <c r="DW51" s="80">
        <v>25.125982089000001</v>
      </c>
      <c r="DX51" s="80">
        <v>0.18722022050000001</v>
      </c>
      <c r="DY51" s="80">
        <v>12.95789703</v>
      </c>
      <c r="DZ51" s="80">
        <v>0.1006381494</v>
      </c>
      <c r="EA51" s="80">
        <v>6.8289189751999997</v>
      </c>
      <c r="EB51" s="80">
        <v>5.5997590799999997E-2</v>
      </c>
      <c r="EC51" s="80">
        <v>3.7367382099999999</v>
      </c>
      <c r="ED51" s="80">
        <v>3.2934142800000003E-2</v>
      </c>
      <c r="EE51" s="80">
        <v>2.1412425812000002</v>
      </c>
      <c r="EF51" s="80">
        <v>2.07364043E-2</v>
      </c>
      <c r="EG51" s="80">
        <v>1.2842103451</v>
      </c>
      <c r="EH51" s="80">
        <v>1.39329634E-2</v>
      </c>
      <c r="EI51" s="80">
        <v>0.80830798719999997</v>
      </c>
      <c r="EJ51" s="80">
        <v>9.9982036E-3</v>
      </c>
      <c r="EK51" s="80">
        <v>0.53068365340000001</v>
      </c>
      <c r="EL51" s="94">
        <v>7.5638679E-3</v>
      </c>
    </row>
    <row r="52" spans="1:142" x14ac:dyDescent="0.2">
      <c r="A52" s="79">
        <v>4700</v>
      </c>
      <c r="B52" s="27">
        <v>1746</v>
      </c>
      <c r="C52" s="79">
        <v>2119.8832459999999</v>
      </c>
      <c r="D52" s="27">
        <v>4649.0467294999999</v>
      </c>
      <c r="E52" s="27">
        <v>79.439799620000002</v>
      </c>
      <c r="F52" s="27">
        <v>7.6620173799999997E-2</v>
      </c>
      <c r="G52" s="79">
        <v>5.9565855897000004</v>
      </c>
      <c r="H52" s="27">
        <v>2.9567628000000002E-3</v>
      </c>
      <c r="I52" s="27">
        <v>178.62932427000001</v>
      </c>
      <c r="J52" s="27">
        <v>1.1917485519</v>
      </c>
      <c r="K52" s="27">
        <v>76.305881451000005</v>
      </c>
      <c r="L52" s="27">
        <v>0.47518202430000001</v>
      </c>
      <c r="M52" s="27">
        <v>22.677059524000001</v>
      </c>
      <c r="N52" s="27">
        <v>0.18632444540000001</v>
      </c>
      <c r="O52" s="80" t="s">
        <v>136</v>
      </c>
      <c r="P52" s="80">
        <v>0</v>
      </c>
      <c r="Q52" s="27">
        <v>29.974167006999998</v>
      </c>
      <c r="R52" s="27">
        <v>5.0037420200000002E-2</v>
      </c>
      <c r="S52" s="80" t="s">
        <v>136</v>
      </c>
      <c r="T52" s="80">
        <v>0</v>
      </c>
      <c r="U52" s="80" t="s">
        <v>136</v>
      </c>
      <c r="V52" s="80">
        <v>0</v>
      </c>
      <c r="W52" s="27">
        <v>0.44884826160000002</v>
      </c>
      <c r="X52" s="27">
        <v>4.8742587999999996E-3</v>
      </c>
      <c r="Y52" s="27">
        <v>30.436803658999999</v>
      </c>
      <c r="Z52" s="27">
        <v>0.67373838730000002</v>
      </c>
      <c r="AA52" s="80" t="s">
        <v>136</v>
      </c>
      <c r="AB52" s="80">
        <v>0</v>
      </c>
      <c r="AC52" s="27">
        <v>0</v>
      </c>
      <c r="AD52" s="27">
        <v>0</v>
      </c>
      <c r="AE52" s="80" t="s">
        <v>136</v>
      </c>
      <c r="AF52" s="80">
        <v>0</v>
      </c>
      <c r="AG52" s="80" t="s">
        <v>136</v>
      </c>
      <c r="AH52" s="80">
        <v>0</v>
      </c>
      <c r="AI52" s="27">
        <f t="shared" si="4"/>
        <v>0</v>
      </c>
      <c r="AJ52" s="27">
        <f t="shared" si="5"/>
        <v>0</v>
      </c>
      <c r="AK52" s="27">
        <v>117.96475323999999</v>
      </c>
      <c r="AL52" s="27">
        <v>1.5989664847</v>
      </c>
      <c r="AM52" s="80" t="s">
        <v>136</v>
      </c>
      <c r="AN52" s="80">
        <v>0</v>
      </c>
      <c r="AO52" s="80" t="s">
        <v>136</v>
      </c>
      <c r="AP52" s="80">
        <v>0</v>
      </c>
      <c r="AQ52" s="80" t="s">
        <v>136</v>
      </c>
      <c r="AR52" s="80">
        <v>0</v>
      </c>
      <c r="AS52" s="27">
        <v>73.161803559999996</v>
      </c>
      <c r="AT52" s="27">
        <v>2.5023532626999998</v>
      </c>
      <c r="AU52" s="27">
        <v>61.319058028999997</v>
      </c>
      <c r="AV52" s="27">
        <v>0.47167993060000002</v>
      </c>
      <c r="AW52" s="27">
        <v>27.890129730999998</v>
      </c>
      <c r="AX52" s="27">
        <v>0.28363351739999998</v>
      </c>
      <c r="AY52" s="27">
        <v>11.06737343</v>
      </c>
      <c r="AZ52" s="27">
        <v>9.7717123899999994E-2</v>
      </c>
      <c r="BA52" s="80">
        <f t="shared" si="6"/>
        <v>22.361554867999999</v>
      </c>
      <c r="BB52" s="80">
        <f t="shared" si="7"/>
        <v>9.032928930000006E-2</v>
      </c>
      <c r="BC52" s="27">
        <v>0</v>
      </c>
      <c r="BD52" s="80">
        <v>0</v>
      </c>
      <c r="BE52" s="27">
        <v>155.65428790000001</v>
      </c>
      <c r="BF52" s="27">
        <v>1.6439736375</v>
      </c>
      <c r="BG52" s="79">
        <v>6.1497519E-3</v>
      </c>
      <c r="BH52" s="80">
        <v>0</v>
      </c>
      <c r="BI52" s="27">
        <v>154.45813118999999</v>
      </c>
      <c r="BJ52" s="27">
        <v>4.8142383924000001</v>
      </c>
      <c r="BK52" s="27">
        <v>203.45326115</v>
      </c>
      <c r="BL52" s="27">
        <v>1.5017232588</v>
      </c>
      <c r="BM52" s="27">
        <v>56.716970832999998</v>
      </c>
      <c r="BN52" s="27">
        <v>0.28691995419999999</v>
      </c>
      <c r="BO52" s="27">
        <v>0.25229765929999998</v>
      </c>
      <c r="BP52" s="27">
        <v>8.6269910000000001E-4</v>
      </c>
      <c r="BQ52" s="27">
        <v>0</v>
      </c>
      <c r="BR52" s="92">
        <v>0</v>
      </c>
      <c r="BS52" s="80" t="s">
        <v>136</v>
      </c>
      <c r="BT52" s="80">
        <v>0</v>
      </c>
      <c r="BU52" s="79">
        <v>0.43402467950000001</v>
      </c>
      <c r="BV52" s="27">
        <v>5.09671E-3</v>
      </c>
      <c r="BW52" s="27">
        <v>22.243034844</v>
      </c>
      <c r="BX52" s="27">
        <v>0.1812277353</v>
      </c>
      <c r="BY52" s="80" t="s">
        <v>136</v>
      </c>
      <c r="BZ52" s="80">
        <v>0</v>
      </c>
      <c r="CA52" s="80" t="s">
        <v>136</v>
      </c>
      <c r="CB52" s="80">
        <v>0</v>
      </c>
      <c r="CC52" s="27">
        <v>13.459589719</v>
      </c>
      <c r="CD52" s="27">
        <v>1.3098374899999999E-2</v>
      </c>
      <c r="CE52" s="27">
        <v>16.514577288000002</v>
      </c>
      <c r="CF52" s="92">
        <v>3.6939045300000001E-2</v>
      </c>
      <c r="CG52" s="80" t="s">
        <v>136</v>
      </c>
      <c r="CH52" s="80">
        <v>0</v>
      </c>
      <c r="CI52" s="80" t="s">
        <v>136</v>
      </c>
      <c r="CJ52" s="80">
        <v>0</v>
      </c>
      <c r="CK52" s="80" t="s">
        <v>136</v>
      </c>
      <c r="CL52" s="80">
        <v>0</v>
      </c>
      <c r="CM52" s="80" t="s">
        <v>136</v>
      </c>
      <c r="CN52" s="80">
        <v>0</v>
      </c>
      <c r="CO52" s="79">
        <v>8.9217185300000001E-2</v>
      </c>
      <c r="CP52" s="27">
        <v>1.1034221E-3</v>
      </c>
      <c r="CQ52" s="27">
        <v>0.35963107630000002</v>
      </c>
      <c r="CR52" s="27">
        <v>3.7708366999999999E-3</v>
      </c>
      <c r="CS52" s="27">
        <v>2.2690833674999999</v>
      </c>
      <c r="CT52" s="27">
        <v>2.5365043E-2</v>
      </c>
      <c r="CU52" s="27">
        <v>28.167720291999998</v>
      </c>
      <c r="CV52" s="92">
        <v>0.64837334420000003</v>
      </c>
      <c r="CW52" s="80" t="s">
        <v>136</v>
      </c>
      <c r="CX52" s="80">
        <v>0</v>
      </c>
      <c r="CY52" s="80" t="s">
        <v>136</v>
      </c>
      <c r="CZ52" s="80">
        <v>0</v>
      </c>
      <c r="DA52" s="79">
        <v>18.348395025999999</v>
      </c>
      <c r="DB52" s="27">
        <v>0.2848028293</v>
      </c>
      <c r="DC52" s="27">
        <v>54.813408533999997</v>
      </c>
      <c r="DD52" s="27">
        <v>2.2175504334</v>
      </c>
      <c r="DE52" s="27">
        <v>26.016670060999999</v>
      </c>
      <c r="DF52" s="27">
        <v>0.53445895889999995</v>
      </c>
      <c r="DG52" s="27">
        <v>129.63761783000001</v>
      </c>
      <c r="DH52" s="92">
        <v>1.1095146785000001</v>
      </c>
      <c r="DI52" s="95">
        <v>2.8544627000000001E-3</v>
      </c>
      <c r="DJ52" s="96">
        <v>5.0021969999999999E-3</v>
      </c>
      <c r="DK52" s="96">
        <v>5.5813546000000004E-3</v>
      </c>
      <c r="DL52" s="96">
        <v>5.6818397E-3</v>
      </c>
      <c r="DM52" s="96">
        <v>5.7036448000000002E-3</v>
      </c>
      <c r="DN52" s="96">
        <v>5.7139173999999999E-3</v>
      </c>
      <c r="DO52" s="96">
        <v>5.7224957999999996E-3</v>
      </c>
      <c r="DP52" s="96">
        <v>5.7310742000000001E-3</v>
      </c>
      <c r="DQ52" s="96">
        <v>5.7381960999999997E-3</v>
      </c>
      <c r="DR52" s="97">
        <v>5.7453180000000001E-3</v>
      </c>
      <c r="DS52" s="93">
        <v>95.082341202999999</v>
      </c>
      <c r="DT52" s="80">
        <v>0.6621854761</v>
      </c>
      <c r="DU52" s="80">
        <v>49.573050064</v>
      </c>
      <c r="DV52" s="80">
        <v>0.35674007670000002</v>
      </c>
      <c r="DW52" s="80">
        <v>25.567967662000001</v>
      </c>
      <c r="DX52" s="80">
        <v>0.19025186660000001</v>
      </c>
      <c r="DY52" s="80">
        <v>13.247339591999999</v>
      </c>
      <c r="DZ52" s="80">
        <v>0.1026881407</v>
      </c>
      <c r="EA52" s="80">
        <v>7.0159742037999999</v>
      </c>
      <c r="EB52" s="80">
        <v>5.7364926199999999E-2</v>
      </c>
      <c r="EC52" s="80">
        <v>3.8545484902</v>
      </c>
      <c r="ED52" s="80">
        <v>3.3835944499999999E-2</v>
      </c>
      <c r="EE52" s="80">
        <v>2.2196851631999999</v>
      </c>
      <c r="EF52" s="80">
        <v>2.1369213000000001E-2</v>
      </c>
      <c r="EG52" s="80">
        <v>1.3389051067</v>
      </c>
      <c r="EH52" s="80">
        <v>1.4394686699999999E-2</v>
      </c>
      <c r="EI52" s="80">
        <v>0.84849449970000002</v>
      </c>
      <c r="EJ52" s="80">
        <v>1.0355041299999999E-2</v>
      </c>
      <c r="EK52" s="80">
        <v>0.55973531170000002</v>
      </c>
      <c r="EL52" s="94">
        <v>7.8385238000000003E-3</v>
      </c>
    </row>
    <row r="53" spans="1:142" x14ac:dyDescent="0.2">
      <c r="A53" s="79">
        <v>4800</v>
      </c>
      <c r="B53" s="27">
        <v>1699</v>
      </c>
      <c r="C53" s="79">
        <v>2145.3430161000001</v>
      </c>
      <c r="D53" s="27">
        <v>4750.5691666000002</v>
      </c>
      <c r="E53" s="27">
        <v>80.949009185999998</v>
      </c>
      <c r="F53" s="27">
        <v>7.7461376999999998E-2</v>
      </c>
      <c r="G53" s="79">
        <v>6.1917001186</v>
      </c>
      <c r="H53" s="27">
        <v>3.0466997000000002E-3</v>
      </c>
      <c r="I53" s="27">
        <v>179.60471150000001</v>
      </c>
      <c r="J53" s="27">
        <v>1.1980858594999999</v>
      </c>
      <c r="K53" s="27">
        <v>77.199287886999997</v>
      </c>
      <c r="L53" s="27">
        <v>0.48093565970000002</v>
      </c>
      <c r="M53" s="27">
        <v>23.110066014000001</v>
      </c>
      <c r="N53" s="27">
        <v>0.18940944500000001</v>
      </c>
      <c r="O53" s="80" t="s">
        <v>136</v>
      </c>
      <c r="P53" s="80">
        <v>0</v>
      </c>
      <c r="Q53" s="27">
        <v>31.064747123</v>
      </c>
      <c r="R53" s="27">
        <v>5.1561541000000002E-2</v>
      </c>
      <c r="S53" s="80" t="s">
        <v>136</v>
      </c>
      <c r="T53" s="80">
        <v>0</v>
      </c>
      <c r="U53" s="80" t="s">
        <v>136</v>
      </c>
      <c r="V53" s="80">
        <v>0</v>
      </c>
      <c r="W53" s="27">
        <v>0.467289232</v>
      </c>
      <c r="X53" s="27">
        <v>5.0197276000000001E-3</v>
      </c>
      <c r="Y53" s="27">
        <v>31.002947580000001</v>
      </c>
      <c r="Z53" s="27">
        <v>0.68517625120000003</v>
      </c>
      <c r="AA53" s="80" t="s">
        <v>136</v>
      </c>
      <c r="AB53" s="80">
        <v>0</v>
      </c>
      <c r="AC53" s="27">
        <v>0</v>
      </c>
      <c r="AD53" s="27">
        <v>0</v>
      </c>
      <c r="AE53" s="80" t="s">
        <v>136</v>
      </c>
      <c r="AF53" s="80">
        <v>0</v>
      </c>
      <c r="AG53" s="80" t="s">
        <v>136</v>
      </c>
      <c r="AH53" s="80">
        <v>0</v>
      </c>
      <c r="AI53" s="27">
        <f t="shared" si="4"/>
        <v>0</v>
      </c>
      <c r="AJ53" s="27">
        <f t="shared" si="5"/>
        <v>0</v>
      </c>
      <c r="AK53" s="27">
        <v>119.27304144</v>
      </c>
      <c r="AL53" s="27">
        <v>1.6087097510999999</v>
      </c>
      <c r="AM53" s="80" t="s">
        <v>136</v>
      </c>
      <c r="AN53" s="80">
        <v>0</v>
      </c>
      <c r="AO53" s="80" t="s">
        <v>136</v>
      </c>
      <c r="AP53" s="80">
        <v>0</v>
      </c>
      <c r="AQ53" s="80" t="s">
        <v>136</v>
      </c>
      <c r="AR53" s="80">
        <v>0</v>
      </c>
      <c r="AS53" s="27">
        <v>73.942085634999998</v>
      </c>
      <c r="AT53" s="27">
        <v>2.5218050399999998</v>
      </c>
      <c r="AU53" s="27">
        <v>62.286855666999998</v>
      </c>
      <c r="AV53" s="27">
        <v>0.47702968379999999</v>
      </c>
      <c r="AW53" s="27">
        <v>28.265365578000001</v>
      </c>
      <c r="AX53" s="27">
        <v>0.28705514910000002</v>
      </c>
      <c r="AY53" s="27">
        <v>11.19592306</v>
      </c>
      <c r="AZ53" s="27">
        <v>9.8373676300000004E-2</v>
      </c>
      <c r="BA53" s="80">
        <f t="shared" si="6"/>
        <v>22.825567028999998</v>
      </c>
      <c r="BB53" s="80">
        <f t="shared" si="7"/>
        <v>9.1600858399999985E-2</v>
      </c>
      <c r="BC53" s="27">
        <v>0</v>
      </c>
      <c r="BD53" s="80">
        <v>0</v>
      </c>
      <c r="BE53" s="27">
        <v>158.8086036</v>
      </c>
      <c r="BF53" s="27">
        <v>1.6640139031000001</v>
      </c>
      <c r="BG53" s="79">
        <v>6.3299044999999996E-3</v>
      </c>
      <c r="BH53" s="80">
        <v>0</v>
      </c>
      <c r="BI53" s="27">
        <v>155.92230008000001</v>
      </c>
      <c r="BJ53" s="27">
        <v>4.8445643988000002</v>
      </c>
      <c r="BK53" s="27">
        <v>207.63888134999999</v>
      </c>
      <c r="BL53" s="27">
        <v>1.529214364</v>
      </c>
      <c r="BM53" s="27">
        <v>57.716723844999997</v>
      </c>
      <c r="BN53" s="27">
        <v>0.29133942429999998</v>
      </c>
      <c r="BO53" s="27">
        <v>0.25053093739999999</v>
      </c>
      <c r="BP53" s="27">
        <v>8.5806719999999997E-4</v>
      </c>
      <c r="BQ53" s="27">
        <v>0</v>
      </c>
      <c r="BR53" s="92">
        <v>0</v>
      </c>
      <c r="BS53" s="80" t="s">
        <v>136</v>
      </c>
      <c r="BT53" s="80">
        <v>0</v>
      </c>
      <c r="BU53" s="79">
        <v>0.4517132157</v>
      </c>
      <c r="BV53" s="27">
        <v>5.2263446000000002E-3</v>
      </c>
      <c r="BW53" s="27">
        <v>22.658352797999999</v>
      </c>
      <c r="BX53" s="27">
        <v>0.18418310039999999</v>
      </c>
      <c r="BY53" s="80" t="s">
        <v>136</v>
      </c>
      <c r="BZ53" s="80">
        <v>0</v>
      </c>
      <c r="CA53" s="80" t="s">
        <v>136</v>
      </c>
      <c r="CB53" s="80">
        <v>0</v>
      </c>
      <c r="CC53" s="27">
        <v>14.038026619</v>
      </c>
      <c r="CD53" s="27">
        <v>1.35398549E-2</v>
      </c>
      <c r="CE53" s="27">
        <v>17.026720503</v>
      </c>
      <c r="CF53" s="92">
        <v>3.8021685999999999E-2</v>
      </c>
      <c r="CG53" s="80" t="s">
        <v>136</v>
      </c>
      <c r="CH53" s="80">
        <v>0</v>
      </c>
      <c r="CI53" s="80" t="s">
        <v>136</v>
      </c>
      <c r="CJ53" s="80">
        <v>0</v>
      </c>
      <c r="CK53" s="80" t="s">
        <v>136</v>
      </c>
      <c r="CL53" s="80">
        <v>0</v>
      </c>
      <c r="CM53" s="80" t="s">
        <v>136</v>
      </c>
      <c r="CN53" s="80">
        <v>0</v>
      </c>
      <c r="CO53" s="79">
        <v>9.0936874000000001E-2</v>
      </c>
      <c r="CP53" s="27">
        <v>1.1110378000000001E-3</v>
      </c>
      <c r="CQ53" s="27">
        <v>0.37635235810000001</v>
      </c>
      <c r="CR53" s="27">
        <v>3.9086896999999997E-3</v>
      </c>
      <c r="CS53" s="27">
        <v>2.3224268055000001</v>
      </c>
      <c r="CT53" s="27">
        <v>2.5865672199999998E-2</v>
      </c>
      <c r="CU53" s="27">
        <v>28.680520774000001</v>
      </c>
      <c r="CV53" s="92">
        <v>0.6593105789</v>
      </c>
      <c r="CW53" s="80" t="s">
        <v>136</v>
      </c>
      <c r="CX53" s="80">
        <v>0</v>
      </c>
      <c r="CY53" s="80" t="s">
        <v>136</v>
      </c>
      <c r="CZ53" s="80">
        <v>0</v>
      </c>
      <c r="DA53" s="79">
        <v>18.626796144</v>
      </c>
      <c r="DB53" s="27">
        <v>0.28869114099999998</v>
      </c>
      <c r="DC53" s="27">
        <v>55.315289491000001</v>
      </c>
      <c r="DD53" s="27">
        <v>2.2331138990000001</v>
      </c>
      <c r="DE53" s="27">
        <v>27.086396328999999</v>
      </c>
      <c r="DF53" s="27">
        <v>0.54344405139999996</v>
      </c>
      <c r="DG53" s="27">
        <v>131.72220727000001</v>
      </c>
      <c r="DH53" s="92">
        <v>1.1205698517</v>
      </c>
      <c r="DI53" s="95">
        <v>2.9417425E-3</v>
      </c>
      <c r="DJ53" s="96">
        <v>5.1552860999999998E-3</v>
      </c>
      <c r="DK53" s="96">
        <v>5.7582516999999996E-3</v>
      </c>
      <c r="DL53" s="96">
        <v>5.8611749000000001E-3</v>
      </c>
      <c r="DM53" s="96">
        <v>5.8843497999999999E-3</v>
      </c>
      <c r="DN53" s="96">
        <v>5.8960247000000004E-3</v>
      </c>
      <c r="DO53" s="96">
        <v>5.9045640999999998E-3</v>
      </c>
      <c r="DP53" s="96">
        <v>5.9131035999999996E-3</v>
      </c>
      <c r="DQ53" s="96">
        <v>5.9201940000000002E-3</v>
      </c>
      <c r="DR53" s="97">
        <v>5.9272843999999998E-3</v>
      </c>
      <c r="DS53" s="93">
        <v>95.866057339999998</v>
      </c>
      <c r="DT53" s="80">
        <v>0.66732702960000001</v>
      </c>
      <c r="DU53" s="80">
        <v>50.135103764999997</v>
      </c>
      <c r="DV53" s="80">
        <v>0.36051946039999999</v>
      </c>
      <c r="DW53" s="80">
        <v>25.935982775999999</v>
      </c>
      <c r="DX53" s="80">
        <v>0.1927740184</v>
      </c>
      <c r="DY53" s="80">
        <v>13.474822294000001</v>
      </c>
      <c r="DZ53" s="80">
        <v>0.104287371</v>
      </c>
      <c r="EA53" s="80">
        <v>7.1557226913000003</v>
      </c>
      <c r="EB53" s="80">
        <v>5.8371600500000002E-2</v>
      </c>
      <c r="EC53" s="80">
        <v>3.9344355500999999</v>
      </c>
      <c r="ED53" s="80">
        <v>3.4440073100000003E-2</v>
      </c>
      <c r="EE53" s="80">
        <v>2.2667492292999998</v>
      </c>
      <c r="EF53" s="80">
        <v>2.17433213E-2</v>
      </c>
      <c r="EG53" s="80">
        <v>1.3649655461000001</v>
      </c>
      <c r="EH53" s="80">
        <v>1.4616946400000001E-2</v>
      </c>
      <c r="EI53" s="80">
        <v>0.86226697350000003</v>
      </c>
      <c r="EJ53" s="80">
        <v>1.0486869399999999E-2</v>
      </c>
      <c r="EK53" s="80">
        <v>0.5696058302</v>
      </c>
      <c r="EL53" s="94">
        <v>7.9376151999999995E-3</v>
      </c>
    </row>
    <row r="54" spans="1:142" x14ac:dyDescent="0.2">
      <c r="A54" s="79">
        <v>4900</v>
      </c>
      <c r="B54" s="27">
        <v>1683</v>
      </c>
      <c r="C54" s="79">
        <v>2170.4795583</v>
      </c>
      <c r="D54" s="27">
        <v>4850.3676888</v>
      </c>
      <c r="E54" s="27">
        <v>82.535688766000007</v>
      </c>
      <c r="F54" s="27">
        <v>7.8258822699999994E-2</v>
      </c>
      <c r="G54" s="79">
        <v>6.4335486230000001</v>
      </c>
      <c r="H54" s="27">
        <v>3.129083E-3</v>
      </c>
      <c r="I54" s="27">
        <v>180.57543724999999</v>
      </c>
      <c r="J54" s="27">
        <v>1.2044374287999999</v>
      </c>
      <c r="K54" s="27">
        <v>78.021716732000002</v>
      </c>
      <c r="L54" s="27">
        <v>0.48617696329999999</v>
      </c>
      <c r="M54" s="27">
        <v>23.390674978</v>
      </c>
      <c r="N54" s="27">
        <v>0.19159058070000001</v>
      </c>
      <c r="O54" s="80" t="s">
        <v>136</v>
      </c>
      <c r="P54" s="80">
        <v>0</v>
      </c>
      <c r="Q54" s="27">
        <v>32.067748700000003</v>
      </c>
      <c r="R54" s="27">
        <v>5.2836979200000002E-2</v>
      </c>
      <c r="S54" s="80" t="s">
        <v>136</v>
      </c>
      <c r="T54" s="80">
        <v>0</v>
      </c>
      <c r="U54" s="80" t="s">
        <v>136</v>
      </c>
      <c r="V54" s="80">
        <v>0</v>
      </c>
      <c r="W54" s="27">
        <v>0.4701169576</v>
      </c>
      <c r="X54" s="27">
        <v>5.0444032000000003E-3</v>
      </c>
      <c r="Y54" s="27">
        <v>31.665578695000001</v>
      </c>
      <c r="Z54" s="27">
        <v>0.69920706340000005</v>
      </c>
      <c r="AA54" s="80" t="s">
        <v>136</v>
      </c>
      <c r="AB54" s="80">
        <v>0</v>
      </c>
      <c r="AC54" s="27">
        <v>0</v>
      </c>
      <c r="AD54" s="27">
        <v>0</v>
      </c>
      <c r="AE54" s="80" t="s">
        <v>136</v>
      </c>
      <c r="AF54" s="80">
        <v>0</v>
      </c>
      <c r="AG54" s="80" t="s">
        <v>136</v>
      </c>
      <c r="AH54" s="80">
        <v>0</v>
      </c>
      <c r="AI54" s="27">
        <f t="shared" si="4"/>
        <v>0</v>
      </c>
      <c r="AJ54" s="27">
        <f t="shared" si="5"/>
        <v>0</v>
      </c>
      <c r="AK54" s="27">
        <v>120.49526768</v>
      </c>
      <c r="AL54" s="27">
        <v>1.6182783494999999</v>
      </c>
      <c r="AM54" s="80" t="s">
        <v>136</v>
      </c>
      <c r="AN54" s="80">
        <v>0</v>
      </c>
      <c r="AO54" s="80" t="s">
        <v>136</v>
      </c>
      <c r="AP54" s="80">
        <v>0</v>
      </c>
      <c r="AQ54" s="80" t="s">
        <v>136</v>
      </c>
      <c r="AR54" s="80">
        <v>0</v>
      </c>
      <c r="AS54" s="27">
        <v>74.822106164000004</v>
      </c>
      <c r="AT54" s="27">
        <v>2.5424676683</v>
      </c>
      <c r="AU54" s="27">
        <v>63.266668629999998</v>
      </c>
      <c r="AV54" s="27">
        <v>0.48233566030000002</v>
      </c>
      <c r="AW54" s="27">
        <v>28.750648037000001</v>
      </c>
      <c r="AX54" s="27">
        <v>0.29064407489999999</v>
      </c>
      <c r="AY54" s="27">
        <v>11.287764159</v>
      </c>
      <c r="AZ54" s="27">
        <v>9.8992034699999995E-2</v>
      </c>
      <c r="BA54" s="80">
        <f t="shared" si="6"/>
        <v>23.228256433999995</v>
      </c>
      <c r="BB54" s="80">
        <f t="shared" si="7"/>
        <v>9.2699550700000022E-2</v>
      </c>
      <c r="BC54" s="27">
        <v>0</v>
      </c>
      <c r="BD54" s="80">
        <v>0</v>
      </c>
      <c r="BE54" s="27">
        <v>161.83861340000001</v>
      </c>
      <c r="BF54" s="27">
        <v>1.6829199321999999</v>
      </c>
      <c r="BG54" s="79">
        <v>6.5033191000000001E-3</v>
      </c>
      <c r="BH54" s="80">
        <v>0</v>
      </c>
      <c r="BI54" s="27">
        <v>157.23640312000001</v>
      </c>
      <c r="BJ54" s="27">
        <v>4.8725001474000003</v>
      </c>
      <c r="BK54" s="27">
        <v>212.51019120999999</v>
      </c>
      <c r="BL54" s="27">
        <v>1.5612298531</v>
      </c>
      <c r="BM54" s="27">
        <v>58.686306064999997</v>
      </c>
      <c r="BN54" s="27">
        <v>0.29497404440000002</v>
      </c>
      <c r="BO54" s="27">
        <v>0.2518800524</v>
      </c>
      <c r="BP54" s="27">
        <v>8.5947780000000004E-4</v>
      </c>
      <c r="BQ54" s="27">
        <v>0</v>
      </c>
      <c r="BR54" s="92">
        <v>0</v>
      </c>
      <c r="BS54" s="80" t="s">
        <v>136</v>
      </c>
      <c r="BT54" s="80">
        <v>0</v>
      </c>
      <c r="BU54" s="79">
        <v>0.46683474730000002</v>
      </c>
      <c r="BV54" s="27">
        <v>5.3734893000000001E-3</v>
      </c>
      <c r="BW54" s="27">
        <v>22.923840231</v>
      </c>
      <c r="BX54" s="27">
        <v>0.18621709140000001</v>
      </c>
      <c r="BY54" s="80" t="s">
        <v>136</v>
      </c>
      <c r="BZ54" s="80">
        <v>0</v>
      </c>
      <c r="CA54" s="80" t="s">
        <v>136</v>
      </c>
      <c r="CB54" s="80">
        <v>0</v>
      </c>
      <c r="CC54" s="27">
        <v>14.571355998</v>
      </c>
      <c r="CD54" s="27">
        <v>1.3939018500000001E-2</v>
      </c>
      <c r="CE54" s="27">
        <v>17.496392702000001</v>
      </c>
      <c r="CF54" s="92">
        <v>3.8897960799999999E-2</v>
      </c>
      <c r="CG54" s="80" t="s">
        <v>136</v>
      </c>
      <c r="CH54" s="80">
        <v>0</v>
      </c>
      <c r="CI54" s="80" t="s">
        <v>136</v>
      </c>
      <c r="CJ54" s="80">
        <v>0</v>
      </c>
      <c r="CK54" s="80" t="s">
        <v>136</v>
      </c>
      <c r="CL54" s="80">
        <v>0</v>
      </c>
      <c r="CM54" s="80" t="s">
        <v>136</v>
      </c>
      <c r="CN54" s="80">
        <v>0</v>
      </c>
      <c r="CO54" s="79">
        <v>9.4285806400000005E-2</v>
      </c>
      <c r="CP54" s="27">
        <v>1.1399005000000001E-3</v>
      </c>
      <c r="CQ54" s="27">
        <v>0.37583115119999999</v>
      </c>
      <c r="CR54" s="27">
        <v>3.9045027E-3</v>
      </c>
      <c r="CS54" s="27">
        <v>2.400620816</v>
      </c>
      <c r="CT54" s="27">
        <v>2.6457035699999999E-2</v>
      </c>
      <c r="CU54" s="27">
        <v>29.264957880000001</v>
      </c>
      <c r="CV54" s="92">
        <v>0.67275002770000003</v>
      </c>
      <c r="CW54" s="80" t="s">
        <v>136</v>
      </c>
      <c r="CX54" s="80">
        <v>0</v>
      </c>
      <c r="CY54" s="80" t="s">
        <v>136</v>
      </c>
      <c r="CZ54" s="80">
        <v>0</v>
      </c>
      <c r="DA54" s="79">
        <v>18.929933268999999</v>
      </c>
      <c r="DB54" s="27">
        <v>0.29274060629999998</v>
      </c>
      <c r="DC54" s="27">
        <v>55.892172893999998</v>
      </c>
      <c r="DD54" s="27">
        <v>2.2497270618999998</v>
      </c>
      <c r="DE54" s="27">
        <v>28.031617737000001</v>
      </c>
      <c r="DF54" s="27">
        <v>0.55148712789999998</v>
      </c>
      <c r="DG54" s="27">
        <v>133.80699566000001</v>
      </c>
      <c r="DH54" s="92">
        <v>1.1314328041999999</v>
      </c>
      <c r="DI54" s="95">
        <v>3.0215009999999998E-3</v>
      </c>
      <c r="DJ54" s="96">
        <v>5.3072394999999998E-3</v>
      </c>
      <c r="DK54" s="96">
        <v>5.9311205000000004E-3</v>
      </c>
      <c r="DL54" s="96">
        <v>6.0367290999999998E-3</v>
      </c>
      <c r="DM54" s="96">
        <v>6.0598223E-3</v>
      </c>
      <c r="DN54" s="96">
        <v>6.0714450999999996E-3</v>
      </c>
      <c r="DO54" s="96">
        <v>6.0799460000000001E-3</v>
      </c>
      <c r="DP54" s="96">
        <v>6.0884468999999998E-3</v>
      </c>
      <c r="DQ54" s="96">
        <v>6.0955043000000004E-3</v>
      </c>
      <c r="DR54" s="97">
        <v>6.1025617999999997E-3</v>
      </c>
      <c r="DS54" s="93">
        <v>96.643765631999997</v>
      </c>
      <c r="DT54" s="80">
        <v>0.67256054909999996</v>
      </c>
      <c r="DU54" s="80">
        <v>50.696145727999998</v>
      </c>
      <c r="DV54" s="80">
        <v>0.36440572300000001</v>
      </c>
      <c r="DW54" s="80">
        <v>26.307947606999999</v>
      </c>
      <c r="DX54" s="80">
        <v>0.19547968160000001</v>
      </c>
      <c r="DY54" s="80">
        <v>13.724647901999999</v>
      </c>
      <c r="DZ54" s="80">
        <v>0.1061930932</v>
      </c>
      <c r="EA54" s="80">
        <v>7.3189930606000004</v>
      </c>
      <c r="EB54" s="80">
        <v>5.9692840900000002E-2</v>
      </c>
      <c r="EC54" s="80">
        <v>4.0428299865000001</v>
      </c>
      <c r="ED54" s="80">
        <v>3.5384310500000002E-2</v>
      </c>
      <c r="EE54" s="80">
        <v>2.3421819777000001</v>
      </c>
      <c r="EF54" s="80">
        <v>2.24445562E-2</v>
      </c>
      <c r="EG54" s="80">
        <v>1.4194720827</v>
      </c>
      <c r="EH54" s="80">
        <v>1.5168120300000001E-2</v>
      </c>
      <c r="EI54" s="80">
        <v>0.90128364979999998</v>
      </c>
      <c r="EJ54" s="80">
        <v>1.09236343E-2</v>
      </c>
      <c r="EK54" s="80">
        <v>0.59823740240000001</v>
      </c>
      <c r="EL54" s="94">
        <v>8.2959560999999998E-3</v>
      </c>
    </row>
    <row r="55" spans="1:142" x14ac:dyDescent="0.2">
      <c r="A55" s="79">
        <v>5000</v>
      </c>
      <c r="B55" s="27">
        <v>1673</v>
      </c>
      <c r="C55" s="79">
        <v>2195.3173665999998</v>
      </c>
      <c r="D55" s="27">
        <v>4951.0721470999997</v>
      </c>
      <c r="E55" s="27">
        <v>84.223180709000005</v>
      </c>
      <c r="F55" s="27">
        <v>7.9130581300000002E-2</v>
      </c>
      <c r="G55" s="79">
        <v>6.6998077317</v>
      </c>
      <c r="H55" s="27">
        <v>3.2190368E-3</v>
      </c>
      <c r="I55" s="27">
        <v>181.63510059000001</v>
      </c>
      <c r="J55" s="27">
        <v>1.2115783691999999</v>
      </c>
      <c r="K55" s="27">
        <v>78.811474516000004</v>
      </c>
      <c r="L55" s="27">
        <v>0.49135191789999999</v>
      </c>
      <c r="M55" s="27">
        <v>23.833404374000001</v>
      </c>
      <c r="N55" s="27">
        <v>0.1948881858</v>
      </c>
      <c r="O55" s="80" t="s">
        <v>136</v>
      </c>
      <c r="P55" s="80">
        <v>0</v>
      </c>
      <c r="Q55" s="27">
        <v>33.005497153999997</v>
      </c>
      <c r="R55" s="27">
        <v>5.4080346899999999E-2</v>
      </c>
      <c r="S55" s="80" t="s">
        <v>136</v>
      </c>
      <c r="T55" s="80">
        <v>0</v>
      </c>
      <c r="U55" s="80" t="s">
        <v>136</v>
      </c>
      <c r="V55" s="80">
        <v>0</v>
      </c>
      <c r="W55" s="27">
        <v>0.4778431038</v>
      </c>
      <c r="X55" s="27">
        <v>5.1137313000000004E-3</v>
      </c>
      <c r="Y55" s="27">
        <v>32.29461878</v>
      </c>
      <c r="Z55" s="27">
        <v>0.71221913189999997</v>
      </c>
      <c r="AA55" s="80" t="s">
        <v>136</v>
      </c>
      <c r="AB55" s="80">
        <v>0</v>
      </c>
      <c r="AC55" s="27">
        <v>0</v>
      </c>
      <c r="AD55" s="27">
        <v>0</v>
      </c>
      <c r="AE55" s="80" t="s">
        <v>136</v>
      </c>
      <c r="AF55" s="80">
        <v>0</v>
      </c>
      <c r="AG55" s="80" t="s">
        <v>136</v>
      </c>
      <c r="AH55" s="80">
        <v>0</v>
      </c>
      <c r="AI55" s="27">
        <f t="shared" si="4"/>
        <v>0</v>
      </c>
      <c r="AJ55" s="27">
        <f t="shared" si="5"/>
        <v>0</v>
      </c>
      <c r="AK55" s="27">
        <v>121.69595545999999</v>
      </c>
      <c r="AL55" s="27">
        <v>1.6284905333999999</v>
      </c>
      <c r="AM55" s="80" t="s">
        <v>136</v>
      </c>
      <c r="AN55" s="80">
        <v>0</v>
      </c>
      <c r="AO55" s="80" t="s">
        <v>136</v>
      </c>
      <c r="AP55" s="80">
        <v>0</v>
      </c>
      <c r="AQ55" s="80" t="s">
        <v>136</v>
      </c>
      <c r="AR55" s="80">
        <v>0</v>
      </c>
      <c r="AS55" s="27">
        <v>75.685861670999998</v>
      </c>
      <c r="AT55" s="27">
        <v>2.5651964380000001</v>
      </c>
      <c r="AU55" s="27">
        <v>64.345067979999996</v>
      </c>
      <c r="AV55" s="27">
        <v>0.48801081829999998</v>
      </c>
      <c r="AW55" s="27">
        <v>29.21301124</v>
      </c>
      <c r="AX55" s="27">
        <v>0.29424269199999997</v>
      </c>
      <c r="AY55" s="27">
        <v>11.432938472</v>
      </c>
      <c r="AZ55" s="27">
        <v>9.9736950199999994E-2</v>
      </c>
      <c r="BA55" s="80">
        <f t="shared" si="6"/>
        <v>23.699118267999992</v>
      </c>
      <c r="BB55" s="80">
        <f t="shared" si="7"/>
        <v>9.4031176100000002E-2</v>
      </c>
      <c r="BC55" s="27">
        <v>0</v>
      </c>
      <c r="BD55" s="80">
        <v>0</v>
      </c>
      <c r="BE55" s="27">
        <v>164.77510047000001</v>
      </c>
      <c r="BF55" s="27">
        <v>1.7015429691999999</v>
      </c>
      <c r="BG55" s="79">
        <v>6.7278657000000002E-3</v>
      </c>
      <c r="BH55" s="80">
        <v>0</v>
      </c>
      <c r="BI55" s="27">
        <v>158.66311440999999</v>
      </c>
      <c r="BJ55" s="27">
        <v>4.9034446771000004</v>
      </c>
      <c r="BK55" s="27">
        <v>217.32227454</v>
      </c>
      <c r="BL55" s="27">
        <v>1.5940138264999999</v>
      </c>
      <c r="BM55" s="27">
        <v>59.764456443999997</v>
      </c>
      <c r="BN55" s="27">
        <v>0.29956074589999998</v>
      </c>
      <c r="BO55" s="27">
        <v>0.25777769049999999</v>
      </c>
      <c r="BP55" s="27">
        <v>8.6960179999999996E-4</v>
      </c>
      <c r="BQ55" s="27">
        <v>0</v>
      </c>
      <c r="BR55" s="92">
        <v>0</v>
      </c>
      <c r="BS55" s="80" t="s">
        <v>136</v>
      </c>
      <c r="BT55" s="80">
        <v>0</v>
      </c>
      <c r="BU55" s="79">
        <v>0.47347987530000002</v>
      </c>
      <c r="BV55" s="27">
        <v>5.4321821999999999E-3</v>
      </c>
      <c r="BW55" s="27">
        <v>23.359924499000002</v>
      </c>
      <c r="BX55" s="27">
        <v>0.18945600360000001</v>
      </c>
      <c r="BY55" s="80" t="s">
        <v>136</v>
      </c>
      <c r="BZ55" s="80">
        <v>0</v>
      </c>
      <c r="CA55" s="80" t="s">
        <v>136</v>
      </c>
      <c r="CB55" s="80">
        <v>0</v>
      </c>
      <c r="CC55" s="27">
        <v>15.132651709999999</v>
      </c>
      <c r="CD55" s="27">
        <v>1.43636671E-2</v>
      </c>
      <c r="CE55" s="27">
        <v>17.872845443999999</v>
      </c>
      <c r="CF55" s="92">
        <v>3.9716679800000002E-2</v>
      </c>
      <c r="CG55" s="80" t="s">
        <v>136</v>
      </c>
      <c r="CH55" s="80">
        <v>0</v>
      </c>
      <c r="CI55" s="80" t="s">
        <v>136</v>
      </c>
      <c r="CJ55" s="80">
        <v>0</v>
      </c>
      <c r="CK55" s="80" t="s">
        <v>136</v>
      </c>
      <c r="CL55" s="80">
        <v>0</v>
      </c>
      <c r="CM55" s="80" t="s">
        <v>136</v>
      </c>
      <c r="CN55" s="80">
        <v>0</v>
      </c>
      <c r="CO55" s="79">
        <v>9.4497692999999994E-2</v>
      </c>
      <c r="CP55" s="27">
        <v>1.1429056E-3</v>
      </c>
      <c r="CQ55" s="27">
        <v>0.38334541080000001</v>
      </c>
      <c r="CR55" s="27">
        <v>3.9708258000000001E-3</v>
      </c>
      <c r="CS55" s="27">
        <v>2.4529535133000002</v>
      </c>
      <c r="CT55" s="27">
        <v>2.7042472000000001E-2</v>
      </c>
      <c r="CU55" s="27">
        <v>29.841665266</v>
      </c>
      <c r="CV55" s="92">
        <v>0.68517665989999998</v>
      </c>
      <c r="CW55" s="80" t="s">
        <v>136</v>
      </c>
      <c r="CX55" s="80">
        <v>0</v>
      </c>
      <c r="CY55" s="80" t="s">
        <v>136</v>
      </c>
      <c r="CZ55" s="80">
        <v>0</v>
      </c>
      <c r="DA55" s="79">
        <v>19.190232984000001</v>
      </c>
      <c r="DB55" s="27">
        <v>0.29631202750000002</v>
      </c>
      <c r="DC55" s="27">
        <v>56.495628687</v>
      </c>
      <c r="DD55" s="27">
        <v>2.2688844105000001</v>
      </c>
      <c r="DE55" s="27">
        <v>28.968409858000001</v>
      </c>
      <c r="DF55" s="27">
        <v>0.55941217809999999</v>
      </c>
      <c r="DG55" s="27">
        <v>135.80669062000001</v>
      </c>
      <c r="DH55" s="92">
        <v>1.142130791</v>
      </c>
      <c r="DI55" s="95">
        <v>3.1103894E-3</v>
      </c>
      <c r="DJ55" s="96">
        <v>5.4712672000000002E-3</v>
      </c>
      <c r="DK55" s="96">
        <v>6.1261620999999997E-3</v>
      </c>
      <c r="DL55" s="96">
        <v>6.2463392999999997E-3</v>
      </c>
      <c r="DM55" s="96">
        <v>6.2747399000000004E-3</v>
      </c>
      <c r="DN55" s="96">
        <v>6.2917004E-3</v>
      </c>
      <c r="DO55" s="96">
        <v>6.3016063000000001E-3</v>
      </c>
      <c r="DP55" s="96">
        <v>6.3115120999999996E-3</v>
      </c>
      <c r="DQ55" s="96">
        <v>6.3199794E-3</v>
      </c>
      <c r="DR55" s="97">
        <v>6.3284467000000004E-3</v>
      </c>
      <c r="DS55" s="93">
        <v>97.519274612000004</v>
      </c>
      <c r="DT55" s="80">
        <v>0.67850298129999997</v>
      </c>
      <c r="DU55" s="80">
        <v>51.341026737</v>
      </c>
      <c r="DV55" s="80">
        <v>0.36886594340000001</v>
      </c>
      <c r="DW55" s="80">
        <v>26.747070015999999</v>
      </c>
      <c r="DX55" s="80">
        <v>0.19859857829999999</v>
      </c>
      <c r="DY55" s="80">
        <v>14.014953366</v>
      </c>
      <c r="DZ55" s="80">
        <v>0.10833265459999999</v>
      </c>
      <c r="EA55" s="80">
        <v>7.5159217553</v>
      </c>
      <c r="EB55" s="80">
        <v>6.1193691600000003E-2</v>
      </c>
      <c r="EC55" s="80">
        <v>4.1740982217000004</v>
      </c>
      <c r="ED55" s="80">
        <v>3.6437033600000002E-2</v>
      </c>
      <c r="EE55" s="80">
        <v>2.4342187059999998</v>
      </c>
      <c r="EF55" s="80">
        <v>2.3213385999999999E-2</v>
      </c>
      <c r="EG55" s="80">
        <v>1.4824951533999999</v>
      </c>
      <c r="EH55" s="80">
        <v>1.5728861300000001E-2</v>
      </c>
      <c r="EI55" s="80">
        <v>0.94461212179999998</v>
      </c>
      <c r="EJ55" s="80">
        <v>1.13336928E-2</v>
      </c>
      <c r="EK55" s="80">
        <v>0.62775617839999998</v>
      </c>
      <c r="EL55" s="94">
        <v>8.6004332000000003E-3</v>
      </c>
    </row>
    <row r="56" spans="1:142" x14ac:dyDescent="0.2">
      <c r="A56" s="79">
        <v>5100</v>
      </c>
      <c r="B56" s="27">
        <v>1562</v>
      </c>
      <c r="C56" s="79">
        <v>2219.7122113</v>
      </c>
      <c r="D56" s="27">
        <v>5050.2130493000004</v>
      </c>
      <c r="E56" s="27">
        <v>85.843828681000005</v>
      </c>
      <c r="F56" s="27">
        <v>8.0019027399999998E-2</v>
      </c>
      <c r="G56" s="79">
        <v>6.9156707459</v>
      </c>
      <c r="H56" s="27">
        <v>3.2927178E-3</v>
      </c>
      <c r="I56" s="27">
        <v>182.62366022</v>
      </c>
      <c r="J56" s="27">
        <v>1.2180100159</v>
      </c>
      <c r="K56" s="27">
        <v>79.697244557000005</v>
      </c>
      <c r="L56" s="27">
        <v>0.49720419129999999</v>
      </c>
      <c r="M56" s="27">
        <v>24.243714609000001</v>
      </c>
      <c r="N56" s="27">
        <v>0.1978868801</v>
      </c>
      <c r="O56" s="80" t="s">
        <v>136</v>
      </c>
      <c r="P56" s="80">
        <v>0</v>
      </c>
      <c r="Q56" s="27">
        <v>33.958863557000001</v>
      </c>
      <c r="R56" s="27">
        <v>5.5367252700000001E-2</v>
      </c>
      <c r="S56" s="80" t="s">
        <v>136</v>
      </c>
      <c r="T56" s="80">
        <v>0</v>
      </c>
      <c r="U56" s="80" t="s">
        <v>136</v>
      </c>
      <c r="V56" s="80">
        <v>0</v>
      </c>
      <c r="W56" s="27">
        <v>0.48876556700000001</v>
      </c>
      <c r="X56" s="27">
        <v>5.2192426E-3</v>
      </c>
      <c r="Y56" s="27">
        <v>32.849419734999998</v>
      </c>
      <c r="Z56" s="27">
        <v>0.72305224369999999</v>
      </c>
      <c r="AA56" s="80" t="s">
        <v>136</v>
      </c>
      <c r="AB56" s="80">
        <v>0</v>
      </c>
      <c r="AC56" s="27">
        <v>0</v>
      </c>
      <c r="AD56" s="27">
        <v>0</v>
      </c>
      <c r="AE56" s="80" t="s">
        <v>136</v>
      </c>
      <c r="AF56" s="80">
        <v>0</v>
      </c>
      <c r="AG56" s="80" t="s">
        <v>136</v>
      </c>
      <c r="AH56" s="80">
        <v>0</v>
      </c>
      <c r="AI56" s="27">
        <f t="shared" si="4"/>
        <v>0</v>
      </c>
      <c r="AJ56" s="27">
        <f t="shared" si="5"/>
        <v>0</v>
      </c>
      <c r="AK56" s="27">
        <v>122.7664396</v>
      </c>
      <c r="AL56" s="27">
        <v>1.6373584516999999</v>
      </c>
      <c r="AM56" s="80" t="s">
        <v>136</v>
      </c>
      <c r="AN56" s="80">
        <v>0</v>
      </c>
      <c r="AO56" s="80" t="s">
        <v>136</v>
      </c>
      <c r="AP56" s="80">
        <v>0</v>
      </c>
      <c r="AQ56" s="80" t="s">
        <v>136</v>
      </c>
      <c r="AR56" s="80">
        <v>0</v>
      </c>
      <c r="AS56" s="27">
        <v>76.528313315000005</v>
      </c>
      <c r="AT56" s="27">
        <v>2.5852431795999999</v>
      </c>
      <c r="AU56" s="27">
        <v>65.356382083</v>
      </c>
      <c r="AV56" s="27">
        <v>0.4931049294</v>
      </c>
      <c r="AW56" s="27">
        <v>29.675262353000001</v>
      </c>
      <c r="AX56" s="27">
        <v>0.29734665910000002</v>
      </c>
      <c r="AY56" s="27">
        <v>11.549529973</v>
      </c>
      <c r="AZ56" s="27">
        <v>0.1004315263</v>
      </c>
      <c r="BA56" s="80">
        <f t="shared" si="6"/>
        <v>24.131589757</v>
      </c>
      <c r="BB56" s="80">
        <f t="shared" si="7"/>
        <v>9.5326743999999963E-2</v>
      </c>
      <c r="BC56" s="27">
        <v>0</v>
      </c>
      <c r="BD56" s="80">
        <v>0</v>
      </c>
      <c r="BE56" s="27">
        <v>167.82027120999999</v>
      </c>
      <c r="BF56" s="27">
        <v>1.7197492104000001</v>
      </c>
      <c r="BG56" s="79">
        <v>6.8773252000000002E-3</v>
      </c>
      <c r="BH56" s="80">
        <v>0</v>
      </c>
      <c r="BI56" s="27">
        <v>159.77268651</v>
      </c>
      <c r="BJ56" s="27">
        <v>4.9279077023999998</v>
      </c>
      <c r="BK56" s="27">
        <v>221.98873545999999</v>
      </c>
      <c r="BL56" s="27">
        <v>1.6253888074</v>
      </c>
      <c r="BM56" s="27">
        <v>60.744947603999996</v>
      </c>
      <c r="BN56" s="27">
        <v>0.30314396430000001</v>
      </c>
      <c r="BO56" s="27">
        <v>0.27056931880000001</v>
      </c>
      <c r="BP56" s="27">
        <v>8.850463E-4</v>
      </c>
      <c r="BQ56" s="27">
        <v>0</v>
      </c>
      <c r="BR56" s="92">
        <v>0</v>
      </c>
      <c r="BS56" s="80" t="s">
        <v>136</v>
      </c>
      <c r="BT56" s="80">
        <v>0</v>
      </c>
      <c r="BU56" s="79">
        <v>0.47321141109999998</v>
      </c>
      <c r="BV56" s="27">
        <v>5.4391190000000001E-3</v>
      </c>
      <c r="BW56" s="27">
        <v>23.770503198</v>
      </c>
      <c r="BX56" s="27">
        <v>0.1924477611</v>
      </c>
      <c r="BY56" s="80" t="s">
        <v>136</v>
      </c>
      <c r="BZ56" s="80">
        <v>0</v>
      </c>
      <c r="CA56" s="80" t="s">
        <v>136</v>
      </c>
      <c r="CB56" s="80">
        <v>0</v>
      </c>
      <c r="CC56" s="27">
        <v>15.680459787</v>
      </c>
      <c r="CD56" s="27">
        <v>1.4790134999999999E-2</v>
      </c>
      <c r="CE56" s="27">
        <v>18.278403770000001</v>
      </c>
      <c r="CF56" s="92">
        <v>4.0577117599999997E-2</v>
      </c>
      <c r="CG56" s="80" t="s">
        <v>136</v>
      </c>
      <c r="CH56" s="80">
        <v>0</v>
      </c>
      <c r="CI56" s="80" t="s">
        <v>136</v>
      </c>
      <c r="CJ56" s="80">
        <v>0</v>
      </c>
      <c r="CK56" s="80" t="s">
        <v>136</v>
      </c>
      <c r="CL56" s="80">
        <v>0</v>
      </c>
      <c r="CM56" s="80" t="s">
        <v>136</v>
      </c>
      <c r="CN56" s="80">
        <v>0</v>
      </c>
      <c r="CO56" s="79">
        <v>9.5463733999999995E-2</v>
      </c>
      <c r="CP56" s="27">
        <v>1.1479239E-3</v>
      </c>
      <c r="CQ56" s="27">
        <v>0.39330183289999998</v>
      </c>
      <c r="CR56" s="27">
        <v>4.0713186999999998E-3</v>
      </c>
      <c r="CS56" s="27">
        <v>2.5246324787000001</v>
      </c>
      <c r="CT56" s="27">
        <v>2.7951673999999999E-2</v>
      </c>
      <c r="CU56" s="27">
        <v>30.324787257000001</v>
      </c>
      <c r="CV56" s="92">
        <v>0.6951005697</v>
      </c>
      <c r="CW56" s="80" t="s">
        <v>136</v>
      </c>
      <c r="CX56" s="80">
        <v>0</v>
      </c>
      <c r="CY56" s="80" t="s">
        <v>136</v>
      </c>
      <c r="CZ56" s="80">
        <v>0</v>
      </c>
      <c r="DA56" s="79">
        <v>19.41593765</v>
      </c>
      <c r="DB56" s="27">
        <v>0.29946440940000002</v>
      </c>
      <c r="DC56" s="27">
        <v>57.112375665999998</v>
      </c>
      <c r="DD56" s="27">
        <v>2.2857787701999999</v>
      </c>
      <c r="DE56" s="27">
        <v>29.982998201000001</v>
      </c>
      <c r="DF56" s="27">
        <v>0.56716176289999998</v>
      </c>
      <c r="DG56" s="27">
        <v>137.83727300999999</v>
      </c>
      <c r="DH56" s="92">
        <v>1.1525874475</v>
      </c>
      <c r="DI56" s="95">
        <v>3.1844363999999998E-3</v>
      </c>
      <c r="DJ56" s="96">
        <v>5.6072196999999999E-3</v>
      </c>
      <c r="DK56" s="96">
        <v>6.2727214999999999E-3</v>
      </c>
      <c r="DL56" s="96">
        <v>6.3957963000000001E-3</v>
      </c>
      <c r="DM56" s="96">
        <v>6.4257300999999998E-3</v>
      </c>
      <c r="DN56" s="96">
        <v>6.4426333999999998E-3</v>
      </c>
      <c r="DO56" s="96">
        <v>6.4525027000000004E-3</v>
      </c>
      <c r="DP56" s="96">
        <v>6.4623720000000001E-3</v>
      </c>
      <c r="DQ56" s="96">
        <v>6.4708064000000001E-3</v>
      </c>
      <c r="DR56" s="97">
        <v>6.4792406999999996E-3</v>
      </c>
      <c r="DS56" s="93">
        <v>98.320633330000007</v>
      </c>
      <c r="DT56" s="80">
        <v>0.68380551759999997</v>
      </c>
      <c r="DU56" s="80">
        <v>51.920856684</v>
      </c>
      <c r="DV56" s="80">
        <v>0.3727787984</v>
      </c>
      <c r="DW56" s="80">
        <v>27.144759255</v>
      </c>
      <c r="DX56" s="80">
        <v>0.20135161739999999</v>
      </c>
      <c r="DY56" s="80">
        <v>14.267899981999999</v>
      </c>
      <c r="DZ56" s="80">
        <v>0.1101276979</v>
      </c>
      <c r="EA56" s="80">
        <v>7.6779414846999998</v>
      </c>
      <c r="EB56" s="80">
        <v>6.2372967299999998E-2</v>
      </c>
      <c r="EC56" s="80">
        <v>4.2778803310000004</v>
      </c>
      <c r="ED56" s="80">
        <v>3.7202254999999997E-2</v>
      </c>
      <c r="EE56" s="80">
        <v>2.4987098777000001</v>
      </c>
      <c r="EF56" s="80">
        <v>2.3698474899999999E-2</v>
      </c>
      <c r="EG56" s="80">
        <v>1.5226667501</v>
      </c>
      <c r="EH56" s="80">
        <v>1.6035729200000001E-2</v>
      </c>
      <c r="EI56" s="80">
        <v>0.96965465100000003</v>
      </c>
      <c r="EJ56" s="80">
        <v>1.1525077599999999E-2</v>
      </c>
      <c r="EK56" s="80">
        <v>0.64236338930000003</v>
      </c>
      <c r="EL56" s="94">
        <v>8.7145135999999995E-3</v>
      </c>
    </row>
    <row r="57" spans="1:142" x14ac:dyDescent="0.2">
      <c r="A57" s="79">
        <v>5200</v>
      </c>
      <c r="B57" s="27">
        <v>1565</v>
      </c>
      <c r="C57" s="79">
        <v>2243.9287899000001</v>
      </c>
      <c r="D57" s="27">
        <v>5150.4565726000001</v>
      </c>
      <c r="E57" s="27">
        <v>87.674480556999995</v>
      </c>
      <c r="F57" s="27">
        <v>8.0892330700000001E-2</v>
      </c>
      <c r="G57" s="79">
        <v>7.1055753535999999</v>
      </c>
      <c r="H57" s="27">
        <v>3.3550540000000001E-3</v>
      </c>
      <c r="I57" s="27">
        <v>183.51330242</v>
      </c>
      <c r="J57" s="27">
        <v>1.2236904038</v>
      </c>
      <c r="K57" s="27">
        <v>80.408547104999997</v>
      </c>
      <c r="L57" s="27">
        <v>0.50175687670000002</v>
      </c>
      <c r="M57" s="27">
        <v>24.691148215999998</v>
      </c>
      <c r="N57" s="27">
        <v>0.20127849510000001</v>
      </c>
      <c r="O57" s="80" t="s">
        <v>136</v>
      </c>
      <c r="P57" s="80">
        <v>0</v>
      </c>
      <c r="Q57" s="27">
        <v>34.929340408000002</v>
      </c>
      <c r="R57" s="27">
        <v>5.6691968600000003E-2</v>
      </c>
      <c r="S57" s="80" t="s">
        <v>136</v>
      </c>
      <c r="T57" s="80">
        <v>0</v>
      </c>
      <c r="U57" s="80" t="s">
        <v>136</v>
      </c>
      <c r="V57" s="80">
        <v>0</v>
      </c>
      <c r="W57" s="27">
        <v>0.49948415709999999</v>
      </c>
      <c r="X57" s="27">
        <v>5.3234941999999999E-3</v>
      </c>
      <c r="Y57" s="27">
        <v>33.487059053999999</v>
      </c>
      <c r="Z57" s="27">
        <v>0.73496225660000003</v>
      </c>
      <c r="AA57" s="80" t="s">
        <v>136</v>
      </c>
      <c r="AB57" s="80">
        <v>0</v>
      </c>
      <c r="AC57" s="27">
        <v>0</v>
      </c>
      <c r="AD57" s="27">
        <v>0</v>
      </c>
      <c r="AE57" s="80" t="s">
        <v>136</v>
      </c>
      <c r="AF57" s="80">
        <v>0</v>
      </c>
      <c r="AG57" s="80" t="s">
        <v>136</v>
      </c>
      <c r="AH57" s="80">
        <v>0</v>
      </c>
      <c r="AI57" s="27">
        <f t="shared" si="4"/>
        <v>0</v>
      </c>
      <c r="AJ57" s="27">
        <f t="shared" si="5"/>
        <v>0</v>
      </c>
      <c r="AK57" s="27">
        <v>123.82058431</v>
      </c>
      <c r="AL57" s="27">
        <v>1.6464559751000001</v>
      </c>
      <c r="AM57" s="80" t="s">
        <v>136</v>
      </c>
      <c r="AN57" s="80">
        <v>0</v>
      </c>
      <c r="AO57" s="80" t="s">
        <v>136</v>
      </c>
      <c r="AP57" s="80">
        <v>0</v>
      </c>
      <c r="AQ57" s="80" t="s">
        <v>136</v>
      </c>
      <c r="AR57" s="80">
        <v>0</v>
      </c>
      <c r="AS57" s="27">
        <v>77.327412695000007</v>
      </c>
      <c r="AT57" s="27">
        <v>2.6050731946000001</v>
      </c>
      <c r="AU57" s="27">
        <v>66.247611172000006</v>
      </c>
      <c r="AV57" s="27">
        <v>0.4981104516</v>
      </c>
      <c r="AW57" s="27">
        <v>29.993701161000001</v>
      </c>
      <c r="AX57" s="27">
        <v>0.30042421000000002</v>
      </c>
      <c r="AY57" s="27">
        <v>11.646840716</v>
      </c>
      <c r="AZ57" s="27">
        <v>0.1009964511</v>
      </c>
      <c r="BA57" s="80">
        <f t="shared" si="6"/>
        <v>24.607069295000002</v>
      </c>
      <c r="BB57" s="80">
        <f t="shared" si="7"/>
        <v>9.6689790499999984E-2</v>
      </c>
      <c r="BC57" s="27">
        <v>0</v>
      </c>
      <c r="BD57" s="80">
        <v>0</v>
      </c>
      <c r="BE57" s="27">
        <v>171.10741085999999</v>
      </c>
      <c r="BF57" s="27">
        <v>1.7388136745</v>
      </c>
      <c r="BG57" s="79">
        <v>7.006923E-3</v>
      </c>
      <c r="BH57" s="80">
        <v>0</v>
      </c>
      <c r="BI57" s="27">
        <v>161.10013065999999</v>
      </c>
      <c r="BJ57" s="27">
        <v>4.9541284146000004</v>
      </c>
      <c r="BK57" s="27">
        <v>226.30646795999999</v>
      </c>
      <c r="BL57" s="27">
        <v>1.6546678855000001</v>
      </c>
      <c r="BM57" s="27">
        <v>61.672417340000003</v>
      </c>
      <c r="BN57" s="27">
        <v>0.30694316220000001</v>
      </c>
      <c r="BO57" s="27">
        <v>0.28821835559999998</v>
      </c>
      <c r="BP57" s="27">
        <v>8.9944619999999999E-4</v>
      </c>
      <c r="BQ57" s="27">
        <v>0</v>
      </c>
      <c r="BR57" s="92">
        <v>0</v>
      </c>
      <c r="BS57" s="80" t="s">
        <v>136</v>
      </c>
      <c r="BT57" s="80">
        <v>0</v>
      </c>
      <c r="BU57" s="79">
        <v>0.49823932939999999</v>
      </c>
      <c r="BV57" s="27">
        <v>5.7214322000000003E-3</v>
      </c>
      <c r="BW57" s="27">
        <v>24.192908887000002</v>
      </c>
      <c r="BX57" s="27">
        <v>0.19555706289999999</v>
      </c>
      <c r="BY57" s="80" t="s">
        <v>136</v>
      </c>
      <c r="BZ57" s="80">
        <v>0</v>
      </c>
      <c r="CA57" s="80" t="s">
        <v>136</v>
      </c>
      <c r="CB57" s="80">
        <v>0</v>
      </c>
      <c r="CC57" s="27">
        <v>16.269950608999999</v>
      </c>
      <c r="CD57" s="27">
        <v>1.52502191E-2</v>
      </c>
      <c r="CE57" s="27">
        <v>18.659389797999999</v>
      </c>
      <c r="CF57" s="92">
        <v>4.14417495E-2</v>
      </c>
      <c r="CG57" s="80" t="s">
        <v>136</v>
      </c>
      <c r="CH57" s="80">
        <v>0</v>
      </c>
      <c r="CI57" s="80" t="s">
        <v>136</v>
      </c>
      <c r="CJ57" s="80">
        <v>0</v>
      </c>
      <c r="CK57" s="80" t="s">
        <v>136</v>
      </c>
      <c r="CL57" s="80">
        <v>0</v>
      </c>
      <c r="CM57" s="80" t="s">
        <v>136</v>
      </c>
      <c r="CN57" s="80">
        <v>0</v>
      </c>
      <c r="CO57" s="79">
        <v>0.1041175827</v>
      </c>
      <c r="CP57" s="27">
        <v>1.224852E-3</v>
      </c>
      <c r="CQ57" s="27">
        <v>0.3953665744</v>
      </c>
      <c r="CR57" s="27">
        <v>4.0986423000000001E-3</v>
      </c>
      <c r="CS57" s="27">
        <v>2.5998267315999999</v>
      </c>
      <c r="CT57" s="27">
        <v>2.87737154E-2</v>
      </c>
      <c r="CU57" s="27">
        <v>30.887232321999999</v>
      </c>
      <c r="CV57" s="92">
        <v>0.70618854109999996</v>
      </c>
      <c r="CW57" s="80" t="s">
        <v>136</v>
      </c>
      <c r="CX57" s="80">
        <v>0</v>
      </c>
      <c r="CY57" s="80" t="s">
        <v>136</v>
      </c>
      <c r="CZ57" s="80">
        <v>0</v>
      </c>
      <c r="DA57" s="79">
        <v>19.712303523999999</v>
      </c>
      <c r="DB57" s="27">
        <v>0.3035094398</v>
      </c>
      <c r="DC57" s="27">
        <v>57.615109171999997</v>
      </c>
      <c r="DD57" s="27">
        <v>2.3015637548000001</v>
      </c>
      <c r="DE57" s="27">
        <v>31.246715947999999</v>
      </c>
      <c r="DF57" s="27">
        <v>0.57597813850000001</v>
      </c>
      <c r="DG57" s="27">
        <v>139.86069491000001</v>
      </c>
      <c r="DH57" s="92">
        <v>1.1628355361</v>
      </c>
      <c r="DI57" s="95">
        <v>3.2472531999999999E-3</v>
      </c>
      <c r="DJ57" s="96">
        <v>5.7111892000000003E-3</v>
      </c>
      <c r="DK57" s="96">
        <v>6.3965547000000003E-3</v>
      </c>
      <c r="DL57" s="96">
        <v>6.5241424000000003E-3</v>
      </c>
      <c r="DM57" s="96">
        <v>6.5556433000000004E-3</v>
      </c>
      <c r="DN57" s="96">
        <v>6.5741441999999997E-3</v>
      </c>
      <c r="DO57" s="96">
        <v>6.5839723999999997E-3</v>
      </c>
      <c r="DP57" s="96">
        <v>6.5938007000000002E-3</v>
      </c>
      <c r="DQ57" s="96">
        <v>6.6021982999999998E-3</v>
      </c>
      <c r="DR57" s="97">
        <v>6.6105959000000002E-3</v>
      </c>
      <c r="DS57" s="93">
        <v>99.049506285999996</v>
      </c>
      <c r="DT57" s="80">
        <v>0.6885178649</v>
      </c>
      <c r="DU57" s="80">
        <v>52.450082035999998</v>
      </c>
      <c r="DV57" s="80">
        <v>0.37623905880000003</v>
      </c>
      <c r="DW57" s="80">
        <v>27.497055337999999</v>
      </c>
      <c r="DX57" s="80">
        <v>0.20367609589999999</v>
      </c>
      <c r="DY57" s="80">
        <v>14.495476547000001</v>
      </c>
      <c r="DZ57" s="80">
        <v>0.11163774460000001</v>
      </c>
      <c r="EA57" s="80">
        <v>7.8223133408000001</v>
      </c>
      <c r="EB57" s="80">
        <v>6.3340497699999998E-2</v>
      </c>
      <c r="EC57" s="80">
        <v>4.3721401555000003</v>
      </c>
      <c r="ED57" s="80">
        <v>3.7841638599999998E-2</v>
      </c>
      <c r="EE57" s="80">
        <v>2.5635383002999999</v>
      </c>
      <c r="EF57" s="80">
        <v>2.41384433E-2</v>
      </c>
      <c r="EG57" s="80">
        <v>1.5656137658</v>
      </c>
      <c r="EH57" s="80">
        <v>1.6324174399999999E-2</v>
      </c>
      <c r="EI57" s="80">
        <v>0.9991698953</v>
      </c>
      <c r="EJ57" s="80">
        <v>1.1718311699999999E-2</v>
      </c>
      <c r="EK57" s="80">
        <v>0.6636256157</v>
      </c>
      <c r="EL57" s="94">
        <v>8.8464055999999992E-3</v>
      </c>
    </row>
    <row r="58" spans="1:142" x14ac:dyDescent="0.2">
      <c r="A58" s="79">
        <v>5300</v>
      </c>
      <c r="B58" s="27">
        <v>1579</v>
      </c>
      <c r="C58" s="79">
        <v>2267.78764</v>
      </c>
      <c r="D58" s="27">
        <v>5250.8333086000002</v>
      </c>
      <c r="E58" s="27">
        <v>89.513620684000003</v>
      </c>
      <c r="F58" s="27">
        <v>8.1762668100000005E-2</v>
      </c>
      <c r="G58" s="79">
        <v>7.3856251500000001</v>
      </c>
      <c r="H58" s="27">
        <v>3.4399834999999999E-3</v>
      </c>
      <c r="I58" s="27">
        <v>184.44658326999999</v>
      </c>
      <c r="J58" s="27">
        <v>1.2304611222999999</v>
      </c>
      <c r="K58" s="27">
        <v>81.162018707000001</v>
      </c>
      <c r="L58" s="27">
        <v>0.50658673239999996</v>
      </c>
      <c r="M58" s="27">
        <v>25.094766292999999</v>
      </c>
      <c r="N58" s="27">
        <v>0.20408027910000001</v>
      </c>
      <c r="O58" s="80" t="s">
        <v>136</v>
      </c>
      <c r="P58" s="80">
        <v>0</v>
      </c>
      <c r="Q58" s="27">
        <v>35.899512635000001</v>
      </c>
      <c r="R58" s="27">
        <v>5.7841802800000001E-2</v>
      </c>
      <c r="S58" s="80" t="s">
        <v>136</v>
      </c>
      <c r="T58" s="80">
        <v>0</v>
      </c>
      <c r="U58" s="80" t="s">
        <v>136</v>
      </c>
      <c r="V58" s="80">
        <v>0</v>
      </c>
      <c r="W58" s="27">
        <v>0.50733256100000002</v>
      </c>
      <c r="X58" s="27">
        <v>5.3898046E-3</v>
      </c>
      <c r="Y58" s="27">
        <v>34.03674986</v>
      </c>
      <c r="Z58" s="27">
        <v>0.74586082740000004</v>
      </c>
      <c r="AA58" s="80" t="s">
        <v>136</v>
      </c>
      <c r="AB58" s="80">
        <v>0</v>
      </c>
      <c r="AC58" s="27">
        <v>0</v>
      </c>
      <c r="AD58" s="27">
        <v>0</v>
      </c>
      <c r="AE58" s="80" t="s">
        <v>136</v>
      </c>
      <c r="AF58" s="80">
        <v>0</v>
      </c>
      <c r="AG58" s="80" t="s">
        <v>136</v>
      </c>
      <c r="AH58" s="80">
        <v>0</v>
      </c>
      <c r="AI58" s="27">
        <f t="shared" si="4"/>
        <v>0</v>
      </c>
      <c r="AJ58" s="27">
        <f t="shared" si="5"/>
        <v>0</v>
      </c>
      <c r="AK58" s="27">
        <v>125.05828852</v>
      </c>
      <c r="AL58" s="27">
        <v>1.6559055249000001</v>
      </c>
      <c r="AM58" s="80" t="s">
        <v>136</v>
      </c>
      <c r="AN58" s="80">
        <v>0</v>
      </c>
      <c r="AO58" s="80" t="s">
        <v>136</v>
      </c>
      <c r="AP58" s="80">
        <v>0</v>
      </c>
      <c r="AQ58" s="80" t="s">
        <v>136</v>
      </c>
      <c r="AR58" s="80">
        <v>0</v>
      </c>
      <c r="AS58" s="27">
        <v>78.158217002000001</v>
      </c>
      <c r="AT58" s="27">
        <v>2.6245141011999999</v>
      </c>
      <c r="AU58" s="27">
        <v>67.238171476999995</v>
      </c>
      <c r="AV58" s="27">
        <v>0.50299549539999999</v>
      </c>
      <c r="AW58" s="27">
        <v>30.378671192999999</v>
      </c>
      <c r="AX58" s="27">
        <v>0.30341935250000002</v>
      </c>
      <c r="AY58" s="27">
        <v>11.841460712</v>
      </c>
      <c r="AZ58" s="27">
        <v>0.10182497240000001</v>
      </c>
      <c r="BA58" s="80">
        <f t="shared" si="6"/>
        <v>25.018039571999992</v>
      </c>
      <c r="BB58" s="80">
        <f t="shared" si="7"/>
        <v>9.7751170499999984E-2</v>
      </c>
      <c r="BC58" s="27">
        <v>0</v>
      </c>
      <c r="BD58" s="80">
        <v>0</v>
      </c>
      <c r="BE58" s="27">
        <v>174.55919600999999</v>
      </c>
      <c r="BF58" s="27">
        <v>1.7581554729</v>
      </c>
      <c r="BG58" s="79">
        <v>7.1791108999999997E-3</v>
      </c>
      <c r="BH58" s="80">
        <v>0</v>
      </c>
      <c r="BI58" s="27">
        <v>162.30726141</v>
      </c>
      <c r="BJ58" s="27">
        <v>4.9807417000000003</v>
      </c>
      <c r="BK58" s="27">
        <v>230.97959574999999</v>
      </c>
      <c r="BL58" s="27">
        <v>1.6858535254</v>
      </c>
      <c r="BM58" s="27">
        <v>62.579402618000003</v>
      </c>
      <c r="BN58" s="27">
        <v>0.31028094789999999</v>
      </c>
      <c r="BO58" s="27">
        <v>0.32489550039999998</v>
      </c>
      <c r="BP58" s="27">
        <v>9.2387350000000003E-4</v>
      </c>
      <c r="BQ58" s="27">
        <v>0</v>
      </c>
      <c r="BR58" s="92">
        <v>0</v>
      </c>
      <c r="BS58" s="80" t="s">
        <v>136</v>
      </c>
      <c r="BT58" s="80">
        <v>0</v>
      </c>
      <c r="BU58" s="79">
        <v>0.4997123477</v>
      </c>
      <c r="BV58" s="27">
        <v>5.7239626999999998E-3</v>
      </c>
      <c r="BW58" s="27">
        <v>24.595053945</v>
      </c>
      <c r="BX58" s="27">
        <v>0.19835631649999999</v>
      </c>
      <c r="BY58" s="80" t="s">
        <v>136</v>
      </c>
      <c r="BZ58" s="80">
        <v>0</v>
      </c>
      <c r="CA58" s="80" t="s">
        <v>136</v>
      </c>
      <c r="CB58" s="80">
        <v>0</v>
      </c>
      <c r="CC58" s="27">
        <v>16.845732023</v>
      </c>
      <c r="CD58" s="27">
        <v>1.5597459399999999E-2</v>
      </c>
      <c r="CE58" s="27">
        <v>19.053780612000001</v>
      </c>
      <c r="CF58" s="92">
        <v>4.2244343500000003E-2</v>
      </c>
      <c r="CG58" s="80" t="s">
        <v>136</v>
      </c>
      <c r="CH58" s="80">
        <v>0</v>
      </c>
      <c r="CI58" s="80" t="s">
        <v>136</v>
      </c>
      <c r="CJ58" s="80">
        <v>0</v>
      </c>
      <c r="CK58" s="80" t="s">
        <v>136</v>
      </c>
      <c r="CL58" s="80">
        <v>0</v>
      </c>
      <c r="CM58" s="80" t="s">
        <v>136</v>
      </c>
      <c r="CN58" s="80">
        <v>0</v>
      </c>
      <c r="CO58" s="79">
        <v>0.111333444</v>
      </c>
      <c r="CP58" s="27">
        <v>1.2720524E-3</v>
      </c>
      <c r="CQ58" s="27">
        <v>0.39599911710000002</v>
      </c>
      <c r="CR58" s="27">
        <v>4.1177521999999998E-3</v>
      </c>
      <c r="CS58" s="27">
        <v>2.6463683642000002</v>
      </c>
      <c r="CT58" s="27">
        <v>2.91470718E-2</v>
      </c>
      <c r="CU58" s="27">
        <v>31.390381495</v>
      </c>
      <c r="CV58" s="92">
        <v>0.71671375559999995</v>
      </c>
      <c r="CW58" s="80" t="s">
        <v>136</v>
      </c>
      <c r="CX58" s="80">
        <v>0</v>
      </c>
      <c r="CY58" s="80" t="s">
        <v>136</v>
      </c>
      <c r="CZ58" s="80">
        <v>0</v>
      </c>
      <c r="DA58" s="79">
        <v>19.993743739999999</v>
      </c>
      <c r="DB58" s="27">
        <v>0.30694363740000002</v>
      </c>
      <c r="DC58" s="27">
        <v>58.164473260999998</v>
      </c>
      <c r="DD58" s="27">
        <v>2.3175704638000001</v>
      </c>
      <c r="DE58" s="27">
        <v>32.441905667</v>
      </c>
      <c r="DF58" s="27">
        <v>0.58511676379999999</v>
      </c>
      <c r="DG58" s="27">
        <v>142.11729034999999</v>
      </c>
      <c r="DH58" s="92">
        <v>1.1730387092000001</v>
      </c>
      <c r="DI58" s="95">
        <v>3.3297754999999998E-3</v>
      </c>
      <c r="DJ58" s="96">
        <v>5.8591842999999996E-3</v>
      </c>
      <c r="DK58" s="96">
        <v>6.5638051999999999E-3</v>
      </c>
      <c r="DL58" s="96">
        <v>6.6954246000000004E-3</v>
      </c>
      <c r="DM58" s="96">
        <v>6.7282506999999997E-3</v>
      </c>
      <c r="DN58" s="96">
        <v>6.7481084999999998E-3</v>
      </c>
      <c r="DO58" s="96">
        <v>6.7578958000000001E-3</v>
      </c>
      <c r="DP58" s="96">
        <v>6.7676830999999996E-3</v>
      </c>
      <c r="DQ58" s="96">
        <v>6.7760444000000003E-3</v>
      </c>
      <c r="DR58" s="97">
        <v>6.7844057000000001E-3</v>
      </c>
      <c r="DS58" s="93">
        <v>99.806471345000006</v>
      </c>
      <c r="DT58" s="80">
        <v>0.69418065620000002</v>
      </c>
      <c r="DU58" s="80">
        <v>52.998593106000001</v>
      </c>
      <c r="DV58" s="80">
        <v>0.38057860339999999</v>
      </c>
      <c r="DW58" s="80">
        <v>27.876006837999999</v>
      </c>
      <c r="DX58" s="80">
        <v>0.20686891590000001</v>
      </c>
      <c r="DY58" s="80">
        <v>14.753720117</v>
      </c>
      <c r="DZ58" s="80">
        <v>0.1140011301</v>
      </c>
      <c r="EA58" s="80">
        <v>7.9955740649999996</v>
      </c>
      <c r="EB58" s="80">
        <v>6.5101874599999998E-2</v>
      </c>
      <c r="EC58" s="80">
        <v>4.4941555109999998</v>
      </c>
      <c r="ED58" s="80">
        <v>3.9226823799999998E-2</v>
      </c>
      <c r="EE58" s="80">
        <v>2.6536394167999999</v>
      </c>
      <c r="EF58" s="80">
        <v>2.52763209E-2</v>
      </c>
      <c r="EG58" s="80">
        <v>1.6321372565000001</v>
      </c>
      <c r="EH58" s="80">
        <v>1.7277876899999999E-2</v>
      </c>
      <c r="EI58" s="80">
        <v>1.0514900920000001</v>
      </c>
      <c r="EJ58" s="80">
        <v>1.25547529E-2</v>
      </c>
      <c r="EK58" s="80">
        <v>0.70792382409999999</v>
      </c>
      <c r="EL58" s="94">
        <v>9.6078282999999993E-3</v>
      </c>
    </row>
    <row r="59" spans="1:142" x14ac:dyDescent="0.2">
      <c r="A59" s="79">
        <v>5400</v>
      </c>
      <c r="B59" s="27">
        <v>1354</v>
      </c>
      <c r="C59" s="79">
        <v>2291.1278198999998</v>
      </c>
      <c r="D59" s="27">
        <v>5349.1631235000004</v>
      </c>
      <c r="E59" s="27">
        <v>91.162628192</v>
      </c>
      <c r="F59" s="27">
        <v>8.2527871500000002E-2</v>
      </c>
      <c r="G59" s="79">
        <v>7.5607008535000002</v>
      </c>
      <c r="H59" s="27">
        <v>3.4971449000000001E-3</v>
      </c>
      <c r="I59" s="27">
        <v>185.17008866</v>
      </c>
      <c r="J59" s="27">
        <v>1.2350495492</v>
      </c>
      <c r="K59" s="27">
        <v>81.879898480999998</v>
      </c>
      <c r="L59" s="27">
        <v>0.5113139109</v>
      </c>
      <c r="M59" s="27">
        <v>25.492310073999999</v>
      </c>
      <c r="N59" s="27">
        <v>0.20693809660000001</v>
      </c>
      <c r="O59" s="80" t="s">
        <v>136</v>
      </c>
      <c r="P59" s="80">
        <v>0</v>
      </c>
      <c r="Q59" s="27">
        <v>36.601671123999999</v>
      </c>
      <c r="R59" s="27">
        <v>5.8746329200000003E-2</v>
      </c>
      <c r="S59" s="80" t="s">
        <v>136</v>
      </c>
      <c r="T59" s="80">
        <v>0</v>
      </c>
      <c r="U59" s="80" t="s">
        <v>136</v>
      </c>
      <c r="V59" s="80">
        <v>0</v>
      </c>
      <c r="W59" s="27">
        <v>0.51641229499999997</v>
      </c>
      <c r="X59" s="27">
        <v>5.4822832000000002E-3</v>
      </c>
      <c r="Y59" s="27">
        <v>34.629219521000003</v>
      </c>
      <c r="Z59" s="27">
        <v>0.75719265609999997</v>
      </c>
      <c r="AA59" s="80" t="s">
        <v>136</v>
      </c>
      <c r="AB59" s="80">
        <v>0</v>
      </c>
      <c r="AC59" s="27">
        <v>0</v>
      </c>
      <c r="AD59" s="27">
        <v>0</v>
      </c>
      <c r="AE59" s="80" t="s">
        <v>136</v>
      </c>
      <c r="AF59" s="80">
        <v>0</v>
      </c>
      <c r="AG59" s="80" t="s">
        <v>136</v>
      </c>
      <c r="AH59" s="80">
        <v>0</v>
      </c>
      <c r="AI59" s="27">
        <f t="shared" si="4"/>
        <v>0</v>
      </c>
      <c r="AJ59" s="27">
        <f t="shared" si="5"/>
        <v>0</v>
      </c>
      <c r="AK59" s="27">
        <v>125.9711944</v>
      </c>
      <c r="AL59" s="27">
        <v>1.6628026733000001</v>
      </c>
      <c r="AM59" s="80" t="s">
        <v>136</v>
      </c>
      <c r="AN59" s="80">
        <v>0</v>
      </c>
      <c r="AO59" s="80" t="s">
        <v>136</v>
      </c>
      <c r="AP59" s="80">
        <v>0</v>
      </c>
      <c r="AQ59" s="80" t="s">
        <v>136</v>
      </c>
      <c r="AR59" s="80">
        <v>0</v>
      </c>
      <c r="AS59" s="27">
        <v>78.797147885000001</v>
      </c>
      <c r="AT59" s="27">
        <v>2.6403849965999999</v>
      </c>
      <c r="AU59" s="27">
        <v>68.021522224999998</v>
      </c>
      <c r="AV59" s="27">
        <v>0.50729881799999998</v>
      </c>
      <c r="AW59" s="27">
        <v>30.715760364000001</v>
      </c>
      <c r="AX59" s="27">
        <v>0.30611179360000002</v>
      </c>
      <c r="AY59" s="27">
        <v>11.904525191999999</v>
      </c>
      <c r="AZ59" s="27">
        <v>0.1023280867</v>
      </c>
      <c r="BA59" s="80">
        <f t="shared" si="6"/>
        <v>25.401236668999999</v>
      </c>
      <c r="BB59" s="80">
        <f t="shared" si="7"/>
        <v>9.8858937699999982E-2</v>
      </c>
      <c r="BC59" s="27">
        <v>0</v>
      </c>
      <c r="BD59" s="80">
        <v>0</v>
      </c>
      <c r="BE59" s="27">
        <v>177.64259448999999</v>
      </c>
      <c r="BF59" s="27">
        <v>1.7755208344</v>
      </c>
      <c r="BG59" s="79">
        <v>7.3178115000000002E-3</v>
      </c>
      <c r="BH59" s="80">
        <v>0</v>
      </c>
      <c r="BI59" s="27">
        <v>163.40334976</v>
      </c>
      <c r="BJ59" s="27">
        <v>5.0034103177000002</v>
      </c>
      <c r="BK59" s="27">
        <v>234.94492618999999</v>
      </c>
      <c r="BL59" s="27">
        <v>1.7113329279</v>
      </c>
      <c r="BM59" s="27">
        <v>63.538529631000003</v>
      </c>
      <c r="BN59" s="27">
        <v>0.31350587470000002</v>
      </c>
      <c r="BO59" s="27">
        <v>0.3453534613</v>
      </c>
      <c r="BP59" s="27">
        <v>9.3480440000000004E-4</v>
      </c>
      <c r="BQ59" s="27">
        <v>0</v>
      </c>
      <c r="BR59" s="92">
        <v>0</v>
      </c>
      <c r="BS59" s="80" t="s">
        <v>136</v>
      </c>
      <c r="BT59" s="80">
        <v>0</v>
      </c>
      <c r="BU59" s="79">
        <v>0.51312861740000004</v>
      </c>
      <c r="BV59" s="27">
        <v>5.8342482000000003E-3</v>
      </c>
      <c r="BW59" s="27">
        <v>24.979181455999999</v>
      </c>
      <c r="BX59" s="27">
        <v>0.20110384840000001</v>
      </c>
      <c r="BY59" s="80" t="s">
        <v>136</v>
      </c>
      <c r="BZ59" s="80">
        <v>0</v>
      </c>
      <c r="CA59" s="80" t="s">
        <v>136</v>
      </c>
      <c r="CB59" s="80">
        <v>0</v>
      </c>
      <c r="CC59" s="27">
        <v>17.22539463</v>
      </c>
      <c r="CD59" s="27">
        <v>1.5865419700000001E-2</v>
      </c>
      <c r="CE59" s="27">
        <v>19.376276493999999</v>
      </c>
      <c r="CF59" s="92">
        <v>4.2880909500000002E-2</v>
      </c>
      <c r="CG59" s="80" t="s">
        <v>136</v>
      </c>
      <c r="CH59" s="80">
        <v>0</v>
      </c>
      <c r="CI59" s="80" t="s">
        <v>136</v>
      </c>
      <c r="CJ59" s="80">
        <v>0</v>
      </c>
      <c r="CK59" s="80" t="s">
        <v>136</v>
      </c>
      <c r="CL59" s="80">
        <v>0</v>
      </c>
      <c r="CM59" s="80" t="s">
        <v>136</v>
      </c>
      <c r="CN59" s="80">
        <v>0</v>
      </c>
      <c r="CO59" s="79">
        <v>0.11262928899999999</v>
      </c>
      <c r="CP59" s="27">
        <v>1.2906864E-3</v>
      </c>
      <c r="CQ59" s="27">
        <v>0.403783006</v>
      </c>
      <c r="CR59" s="27">
        <v>4.1915969000000004E-3</v>
      </c>
      <c r="CS59" s="27">
        <v>2.7516430704000001</v>
      </c>
      <c r="CT59" s="27">
        <v>3.0050759199999999E-2</v>
      </c>
      <c r="CU59" s="27">
        <v>31.877576450999999</v>
      </c>
      <c r="CV59" s="92">
        <v>0.72714189689999997</v>
      </c>
      <c r="CW59" s="80" t="s">
        <v>136</v>
      </c>
      <c r="CX59" s="80">
        <v>0</v>
      </c>
      <c r="CY59" s="80" t="s">
        <v>136</v>
      </c>
      <c r="CZ59" s="80">
        <v>0</v>
      </c>
      <c r="DA59" s="79">
        <v>20.209746836000001</v>
      </c>
      <c r="DB59" s="27">
        <v>0.3102705087</v>
      </c>
      <c r="DC59" s="27">
        <v>58.587401049</v>
      </c>
      <c r="DD59" s="27">
        <v>2.3301144879</v>
      </c>
      <c r="DE59" s="27">
        <v>33.551254964000002</v>
      </c>
      <c r="DF59" s="27">
        <v>0.59291011530000004</v>
      </c>
      <c r="DG59" s="27">
        <v>144.09133951999999</v>
      </c>
      <c r="DH59" s="92">
        <v>1.1826107190999999</v>
      </c>
      <c r="DI59" s="95">
        <v>3.3858146000000002E-3</v>
      </c>
      <c r="DJ59" s="96">
        <v>5.9682004999999996E-3</v>
      </c>
      <c r="DK59" s="96">
        <v>6.6970151999999998E-3</v>
      </c>
      <c r="DL59" s="96">
        <v>6.8361701000000004E-3</v>
      </c>
      <c r="DM59" s="96">
        <v>6.8689027999999999E-3</v>
      </c>
      <c r="DN59" s="96">
        <v>6.8886998999999997E-3</v>
      </c>
      <c r="DO59" s="96">
        <v>6.8984533999999998E-3</v>
      </c>
      <c r="DP59" s="96">
        <v>6.9082068999999999E-3</v>
      </c>
      <c r="DQ59" s="96">
        <v>6.9165377000000002E-3</v>
      </c>
      <c r="DR59" s="97">
        <v>6.9248684E-3</v>
      </c>
      <c r="DS59" s="93">
        <v>100.39946384</v>
      </c>
      <c r="DT59" s="80">
        <v>0.69798316250000003</v>
      </c>
      <c r="DU59" s="80">
        <v>53.438415548000002</v>
      </c>
      <c r="DV59" s="80">
        <v>0.38342803399999997</v>
      </c>
      <c r="DW59" s="80">
        <v>28.180603144999999</v>
      </c>
      <c r="DX59" s="80">
        <v>0.2088573993</v>
      </c>
      <c r="DY59" s="80">
        <v>14.953743824</v>
      </c>
      <c r="DZ59" s="80">
        <v>0.1153241257</v>
      </c>
      <c r="EA59" s="80">
        <v>8.1262956560999999</v>
      </c>
      <c r="EB59" s="80">
        <v>6.5973027399999995E-2</v>
      </c>
      <c r="EC59" s="80">
        <v>4.5772757431000004</v>
      </c>
      <c r="ED59" s="80">
        <v>3.9780455999999999E-2</v>
      </c>
      <c r="EE59" s="80">
        <v>2.7089380103999998</v>
      </c>
      <c r="EF59" s="80">
        <v>2.56426095E-2</v>
      </c>
      <c r="EG59" s="80">
        <v>1.6702412647</v>
      </c>
      <c r="EH59" s="80">
        <v>1.7533996600000001E-2</v>
      </c>
      <c r="EI59" s="80">
        <v>1.0777237046000001</v>
      </c>
      <c r="EJ59" s="80">
        <v>1.27362459E-2</v>
      </c>
      <c r="EK59" s="80">
        <v>0.72602922520000002</v>
      </c>
      <c r="EL59" s="94">
        <v>9.7401064000000002E-3</v>
      </c>
    </row>
    <row r="60" spans="1:142" x14ac:dyDescent="0.2">
      <c r="A60" s="79">
        <v>5500</v>
      </c>
      <c r="B60" s="27">
        <v>1424</v>
      </c>
      <c r="C60" s="79">
        <v>2313.9812471</v>
      </c>
      <c r="D60" s="27">
        <v>5450.2750245999996</v>
      </c>
      <c r="E60" s="27">
        <v>92.624789992000004</v>
      </c>
      <c r="F60" s="27">
        <v>8.3221296700000003E-2</v>
      </c>
      <c r="G60" s="79">
        <v>7.7426326445999996</v>
      </c>
      <c r="H60" s="27">
        <v>3.5602977999999999E-3</v>
      </c>
      <c r="I60" s="27">
        <v>185.95193456000001</v>
      </c>
      <c r="J60" s="27">
        <v>1.2405999324000001</v>
      </c>
      <c r="K60" s="27">
        <v>82.653615939999995</v>
      </c>
      <c r="L60" s="27">
        <v>0.5167269874</v>
      </c>
      <c r="M60" s="27">
        <v>25.862088248999999</v>
      </c>
      <c r="N60" s="27">
        <v>0.20946098839999999</v>
      </c>
      <c r="O60" s="80" t="s">
        <v>136</v>
      </c>
      <c r="P60" s="80">
        <v>0</v>
      </c>
      <c r="Q60" s="27">
        <v>37.594493348999997</v>
      </c>
      <c r="R60" s="27">
        <v>6.0087412399999998E-2</v>
      </c>
      <c r="S60" s="80" t="s">
        <v>136</v>
      </c>
      <c r="T60" s="80">
        <v>0</v>
      </c>
      <c r="U60" s="80" t="s">
        <v>136</v>
      </c>
      <c r="V60" s="80">
        <v>0</v>
      </c>
      <c r="W60" s="27">
        <v>0.55336994709999998</v>
      </c>
      <c r="X60" s="27">
        <v>5.8288966000000003E-3</v>
      </c>
      <c r="Y60" s="27">
        <v>35.334936667999997</v>
      </c>
      <c r="Z60" s="27">
        <v>0.77107455709999995</v>
      </c>
      <c r="AA60" s="80" t="s">
        <v>136</v>
      </c>
      <c r="AB60" s="80">
        <v>0</v>
      </c>
      <c r="AC60" s="27">
        <v>0</v>
      </c>
      <c r="AD60" s="27">
        <v>0</v>
      </c>
      <c r="AE60" s="80" t="s">
        <v>136</v>
      </c>
      <c r="AF60" s="80">
        <v>0</v>
      </c>
      <c r="AG60" s="80" t="s">
        <v>136</v>
      </c>
      <c r="AH60" s="80">
        <v>0</v>
      </c>
      <c r="AI60" s="27">
        <f t="shared" si="4"/>
        <v>0</v>
      </c>
      <c r="AJ60" s="27">
        <f t="shared" si="5"/>
        <v>0</v>
      </c>
      <c r="AK60" s="27">
        <v>127.05678243</v>
      </c>
      <c r="AL60" s="27">
        <v>1.6709437919000001</v>
      </c>
      <c r="AM60" s="80" t="s">
        <v>136</v>
      </c>
      <c r="AN60" s="80">
        <v>0</v>
      </c>
      <c r="AO60" s="80" t="s">
        <v>136</v>
      </c>
      <c r="AP60" s="80">
        <v>0</v>
      </c>
      <c r="AQ60" s="80" t="s">
        <v>136</v>
      </c>
      <c r="AR60" s="80">
        <v>0</v>
      </c>
      <c r="AS60" s="27">
        <v>79.56701151</v>
      </c>
      <c r="AT60" s="27">
        <v>2.6588540386999999</v>
      </c>
      <c r="AU60" s="27">
        <v>68.837287102000005</v>
      </c>
      <c r="AV60" s="27">
        <v>0.51192412870000004</v>
      </c>
      <c r="AW60" s="27">
        <v>31.054493255000001</v>
      </c>
      <c r="AX60" s="27">
        <v>0.3089542918</v>
      </c>
      <c r="AY60" s="27">
        <v>12.004337387</v>
      </c>
      <c r="AZ60" s="27">
        <v>0.10303931869999999</v>
      </c>
      <c r="BA60" s="80">
        <f t="shared" si="6"/>
        <v>25.778456460000001</v>
      </c>
      <c r="BB60" s="80">
        <f t="shared" si="7"/>
        <v>9.993051820000004E-2</v>
      </c>
      <c r="BC60" s="27">
        <v>0</v>
      </c>
      <c r="BD60" s="80">
        <v>0</v>
      </c>
      <c r="BE60" s="27">
        <v>181.19111737</v>
      </c>
      <c r="BF60" s="27">
        <v>1.7946651113000001</v>
      </c>
      <c r="BG60" s="79">
        <v>7.4639566000000001E-3</v>
      </c>
      <c r="BH60" s="80">
        <v>0</v>
      </c>
      <c r="BI60" s="27">
        <v>164.33398063000001</v>
      </c>
      <c r="BJ60" s="27">
        <v>5.0239576974000002</v>
      </c>
      <c r="BK60" s="27">
        <v>239.08458852000001</v>
      </c>
      <c r="BL60" s="27">
        <v>1.7368989428999999</v>
      </c>
      <c r="BM60" s="27">
        <v>64.541872853000001</v>
      </c>
      <c r="BN60" s="27">
        <v>0.31712605300000002</v>
      </c>
      <c r="BO60" s="27">
        <v>0.37082857559999999</v>
      </c>
      <c r="BP60" s="27">
        <v>9.4718340000000002E-4</v>
      </c>
      <c r="BQ60" s="27">
        <v>0</v>
      </c>
      <c r="BR60" s="92">
        <v>0</v>
      </c>
      <c r="BS60" s="80" t="s">
        <v>136</v>
      </c>
      <c r="BT60" s="80">
        <v>0</v>
      </c>
      <c r="BU60" s="79">
        <v>0.51652780529999998</v>
      </c>
      <c r="BV60" s="27">
        <v>5.8730413000000004E-3</v>
      </c>
      <c r="BW60" s="27">
        <v>25.345560444</v>
      </c>
      <c r="BX60" s="27">
        <v>0.2035879471</v>
      </c>
      <c r="BY60" s="80" t="s">
        <v>136</v>
      </c>
      <c r="BZ60" s="80">
        <v>0</v>
      </c>
      <c r="CA60" s="80" t="s">
        <v>136</v>
      </c>
      <c r="CB60" s="80">
        <v>0</v>
      </c>
      <c r="CC60" s="27">
        <v>17.763934378999998</v>
      </c>
      <c r="CD60" s="27">
        <v>1.6277729899999999E-2</v>
      </c>
      <c r="CE60" s="27">
        <v>19.830558969999998</v>
      </c>
      <c r="CF60" s="92">
        <v>4.3809682500000002E-2</v>
      </c>
      <c r="CG60" s="80" t="s">
        <v>136</v>
      </c>
      <c r="CH60" s="80">
        <v>0</v>
      </c>
      <c r="CI60" s="80" t="s">
        <v>136</v>
      </c>
      <c r="CJ60" s="80">
        <v>0</v>
      </c>
      <c r="CK60" s="80" t="s">
        <v>136</v>
      </c>
      <c r="CL60" s="80">
        <v>0</v>
      </c>
      <c r="CM60" s="80" t="s">
        <v>136</v>
      </c>
      <c r="CN60" s="80">
        <v>0</v>
      </c>
      <c r="CO60" s="79">
        <v>0.1224021387</v>
      </c>
      <c r="CP60" s="27">
        <v>1.3916911000000001E-3</v>
      </c>
      <c r="CQ60" s="27">
        <v>0.43096780839999999</v>
      </c>
      <c r="CR60" s="27">
        <v>4.4372055000000002E-3</v>
      </c>
      <c r="CS60" s="27">
        <v>2.8266520565</v>
      </c>
      <c r="CT60" s="27">
        <v>3.091315E-2</v>
      </c>
      <c r="CU60" s="27">
        <v>32.508284611000001</v>
      </c>
      <c r="CV60" s="92">
        <v>0.7401614071</v>
      </c>
      <c r="CW60" s="80" t="s">
        <v>136</v>
      </c>
      <c r="CX60" s="80">
        <v>0</v>
      </c>
      <c r="CY60" s="80" t="s">
        <v>136</v>
      </c>
      <c r="CZ60" s="80">
        <v>0</v>
      </c>
      <c r="DA60" s="79">
        <v>20.462235318000001</v>
      </c>
      <c r="DB60" s="27">
        <v>0.31338464519999998</v>
      </c>
      <c r="DC60" s="27">
        <v>59.104776192000003</v>
      </c>
      <c r="DD60" s="27">
        <v>2.3454693935000002</v>
      </c>
      <c r="DE60" s="27">
        <v>34.841368547000002</v>
      </c>
      <c r="DF60" s="27">
        <v>0.60079496259999998</v>
      </c>
      <c r="DG60" s="27">
        <v>146.34974882</v>
      </c>
      <c r="DH60" s="92">
        <v>1.1938701488000001</v>
      </c>
      <c r="DI60" s="95">
        <v>3.4463612999999999E-3</v>
      </c>
      <c r="DJ60" s="96">
        <v>6.0843371E-3</v>
      </c>
      <c r="DK60" s="96">
        <v>6.8348671000000001E-3</v>
      </c>
      <c r="DL60" s="96">
        <v>6.9813297999999999E-3</v>
      </c>
      <c r="DM60" s="96">
        <v>7.0168606999999996E-3</v>
      </c>
      <c r="DN60" s="96">
        <v>7.0365910999999996E-3</v>
      </c>
      <c r="DO60" s="96">
        <v>7.0463072E-3</v>
      </c>
      <c r="DP60" s="96">
        <v>7.0560233000000003E-3</v>
      </c>
      <c r="DQ60" s="96">
        <v>7.0643206999999996E-3</v>
      </c>
      <c r="DR60" s="97">
        <v>7.0726182000000002E-3</v>
      </c>
      <c r="DS60" s="93">
        <v>101.03377308</v>
      </c>
      <c r="DT60" s="80">
        <v>0.70260012029999996</v>
      </c>
      <c r="DU60" s="80">
        <v>53.902920133999999</v>
      </c>
      <c r="DV60" s="80">
        <v>0.3869320846</v>
      </c>
      <c r="DW60" s="80">
        <v>28.508802773999999</v>
      </c>
      <c r="DX60" s="80">
        <v>0.21141607770000001</v>
      </c>
      <c r="DY60" s="80">
        <v>15.176970096</v>
      </c>
      <c r="DZ60" s="80">
        <v>0.1171522466</v>
      </c>
      <c r="EA60" s="80">
        <v>8.2720432080999995</v>
      </c>
      <c r="EB60" s="80">
        <v>6.7250531399999994E-2</v>
      </c>
      <c r="EC60" s="80">
        <v>4.6776833139000003</v>
      </c>
      <c r="ED60" s="80">
        <v>4.0717861399999999E-2</v>
      </c>
      <c r="EE60" s="80">
        <v>2.7778113202000001</v>
      </c>
      <c r="EF60" s="80">
        <v>2.6343277500000001E-2</v>
      </c>
      <c r="EG60" s="80">
        <v>1.715091578</v>
      </c>
      <c r="EH60" s="80">
        <v>1.8052255E-2</v>
      </c>
      <c r="EI60" s="80">
        <v>1.1082897904</v>
      </c>
      <c r="EJ60" s="80">
        <v>1.31367067E-2</v>
      </c>
      <c r="EK60" s="80">
        <v>0.7458586908</v>
      </c>
      <c r="EL60" s="94">
        <v>1.00521637E-2</v>
      </c>
    </row>
    <row r="61" spans="1:142" x14ac:dyDescent="0.2">
      <c r="A61" s="79">
        <v>5600</v>
      </c>
      <c r="B61" s="27">
        <v>1324</v>
      </c>
      <c r="C61" s="79">
        <v>2336.5517227</v>
      </c>
      <c r="D61" s="27">
        <v>5548.4280036999999</v>
      </c>
      <c r="E61" s="27">
        <v>94.138860738999995</v>
      </c>
      <c r="F61" s="27">
        <v>8.3993044399999994E-2</v>
      </c>
      <c r="G61" s="79">
        <v>8.0464858486999997</v>
      </c>
      <c r="H61" s="27">
        <v>3.9124119999999997E-3</v>
      </c>
      <c r="I61" s="27">
        <v>186.72542977000001</v>
      </c>
      <c r="J61" s="27">
        <v>1.2456324714</v>
      </c>
      <c r="K61" s="27">
        <v>83.34279205</v>
      </c>
      <c r="L61" s="27">
        <v>0.52165543329999997</v>
      </c>
      <c r="M61" s="27">
        <v>26.164584623</v>
      </c>
      <c r="N61" s="27">
        <v>0.2117059429</v>
      </c>
      <c r="O61" s="80" t="s">
        <v>136</v>
      </c>
      <c r="P61" s="80">
        <v>0</v>
      </c>
      <c r="Q61" s="27">
        <v>38.549038512999999</v>
      </c>
      <c r="R61" s="27">
        <v>6.1350187100000002E-2</v>
      </c>
      <c r="S61" s="80" t="s">
        <v>136</v>
      </c>
      <c r="T61" s="80">
        <v>0</v>
      </c>
      <c r="U61" s="80" t="s">
        <v>136</v>
      </c>
      <c r="V61" s="80">
        <v>0</v>
      </c>
      <c r="W61" s="27">
        <v>0.55670500379999999</v>
      </c>
      <c r="X61" s="27">
        <v>5.9040000000000004E-3</v>
      </c>
      <c r="Y61" s="27">
        <v>36.042153697000003</v>
      </c>
      <c r="Z61" s="27">
        <v>0.78423326130000004</v>
      </c>
      <c r="AA61" s="80" t="s">
        <v>136</v>
      </c>
      <c r="AB61" s="80">
        <v>0</v>
      </c>
      <c r="AC61" s="27">
        <v>0</v>
      </c>
      <c r="AD61" s="27">
        <v>0</v>
      </c>
      <c r="AE61" s="80" t="s">
        <v>136</v>
      </c>
      <c r="AF61" s="80">
        <v>0</v>
      </c>
      <c r="AG61" s="80" t="s">
        <v>136</v>
      </c>
      <c r="AH61" s="80">
        <v>0</v>
      </c>
      <c r="AI61" s="27">
        <f t="shared" si="4"/>
        <v>0</v>
      </c>
      <c r="AJ61" s="27">
        <f t="shared" si="5"/>
        <v>0</v>
      </c>
      <c r="AK61" s="27">
        <v>127.9633103</v>
      </c>
      <c r="AL61" s="27">
        <v>1.6781969005999999</v>
      </c>
      <c r="AM61" s="80" t="s">
        <v>136</v>
      </c>
      <c r="AN61" s="80">
        <v>0</v>
      </c>
      <c r="AO61" s="80" t="s">
        <v>136</v>
      </c>
      <c r="AP61" s="80">
        <v>0</v>
      </c>
      <c r="AQ61" s="80" t="s">
        <v>136</v>
      </c>
      <c r="AR61" s="80">
        <v>0</v>
      </c>
      <c r="AS61" s="27">
        <v>80.298952907</v>
      </c>
      <c r="AT61" s="27">
        <v>2.6747547886</v>
      </c>
      <c r="AU61" s="27">
        <v>69.659722340000002</v>
      </c>
      <c r="AV61" s="27">
        <v>0.51615119980000002</v>
      </c>
      <c r="AW61" s="27">
        <v>31.414045317999999</v>
      </c>
      <c r="AX61" s="27">
        <v>0.31151668380000003</v>
      </c>
      <c r="AY61" s="27">
        <v>12.132470205000001</v>
      </c>
      <c r="AZ61" s="27">
        <v>0.10375073</v>
      </c>
      <c r="BA61" s="80">
        <f t="shared" si="6"/>
        <v>26.113206817000005</v>
      </c>
      <c r="BB61" s="80">
        <f t="shared" si="7"/>
        <v>0.10088378599999998</v>
      </c>
      <c r="BC61" s="27">
        <v>0</v>
      </c>
      <c r="BD61" s="80">
        <v>0</v>
      </c>
      <c r="BE61" s="27">
        <v>184.07299655</v>
      </c>
      <c r="BF61" s="27">
        <v>1.8113230783000001</v>
      </c>
      <c r="BG61" s="79">
        <v>9.6923058999999999E-3</v>
      </c>
      <c r="BH61" s="80">
        <v>0</v>
      </c>
      <c r="BI61" s="27">
        <v>165.53497676000001</v>
      </c>
      <c r="BJ61" s="27">
        <v>5.0488801384000004</v>
      </c>
      <c r="BK61" s="27">
        <v>243.09606226</v>
      </c>
      <c r="BL61" s="27">
        <v>1.7629210521000001</v>
      </c>
      <c r="BM61" s="27">
        <v>65.498290972000007</v>
      </c>
      <c r="BN61" s="27">
        <v>0.32050505950000002</v>
      </c>
      <c r="BO61" s="27">
        <v>0.36898883380000003</v>
      </c>
      <c r="BP61" s="27">
        <v>9.4320039999999997E-4</v>
      </c>
      <c r="BQ61" s="27">
        <v>0</v>
      </c>
      <c r="BR61" s="92">
        <v>0</v>
      </c>
      <c r="BS61" s="80" t="s">
        <v>136</v>
      </c>
      <c r="BT61" s="80">
        <v>0</v>
      </c>
      <c r="BU61" s="79">
        <v>0.53447618490000004</v>
      </c>
      <c r="BV61" s="27">
        <v>5.9891765999999999E-3</v>
      </c>
      <c r="BW61" s="27">
        <v>25.630108438000001</v>
      </c>
      <c r="BX61" s="27">
        <v>0.20571676629999999</v>
      </c>
      <c r="BY61" s="80" t="s">
        <v>136</v>
      </c>
      <c r="BZ61" s="80">
        <v>0</v>
      </c>
      <c r="CA61" s="80" t="s">
        <v>136</v>
      </c>
      <c r="CB61" s="80">
        <v>0</v>
      </c>
      <c r="CC61" s="27">
        <v>18.352626764</v>
      </c>
      <c r="CD61" s="27">
        <v>1.6712653099999999E-2</v>
      </c>
      <c r="CE61" s="27">
        <v>20.196411748999999</v>
      </c>
      <c r="CF61" s="92">
        <v>4.4637534E-2</v>
      </c>
      <c r="CG61" s="80" t="s">
        <v>136</v>
      </c>
      <c r="CH61" s="80">
        <v>0</v>
      </c>
      <c r="CI61" s="80" t="s">
        <v>136</v>
      </c>
      <c r="CJ61" s="80">
        <v>0</v>
      </c>
      <c r="CK61" s="80" t="s">
        <v>136</v>
      </c>
      <c r="CL61" s="80">
        <v>0</v>
      </c>
      <c r="CM61" s="80" t="s">
        <v>136</v>
      </c>
      <c r="CN61" s="80">
        <v>0</v>
      </c>
      <c r="CO61" s="79">
        <v>0.12522319279999999</v>
      </c>
      <c r="CP61" s="27">
        <v>1.4665938E-3</v>
      </c>
      <c r="CQ61" s="27">
        <v>0.43148181099999999</v>
      </c>
      <c r="CR61" s="27">
        <v>4.4374061999999997E-3</v>
      </c>
      <c r="CS61" s="27">
        <v>2.9737716162000001</v>
      </c>
      <c r="CT61" s="27">
        <v>3.2325768800000002E-2</v>
      </c>
      <c r="CU61" s="27">
        <v>33.068382081000003</v>
      </c>
      <c r="CV61" s="92">
        <v>0.75190749239999999</v>
      </c>
      <c r="CW61" s="80" t="s">
        <v>136</v>
      </c>
      <c r="CX61" s="80">
        <v>0</v>
      </c>
      <c r="CY61" s="80" t="s">
        <v>136</v>
      </c>
      <c r="CZ61" s="80">
        <v>0</v>
      </c>
      <c r="DA61" s="79">
        <v>20.709977617</v>
      </c>
      <c r="DB61" s="27">
        <v>0.31612110850000003</v>
      </c>
      <c r="DC61" s="27">
        <v>59.58897529</v>
      </c>
      <c r="DD61" s="27">
        <v>2.3586336801000001</v>
      </c>
      <c r="DE61" s="27">
        <v>35.98702076</v>
      </c>
      <c r="DF61" s="27">
        <v>0.60882678229999998</v>
      </c>
      <c r="DG61" s="27">
        <v>148.0859758</v>
      </c>
      <c r="DH61" s="92">
        <v>1.2024962961000001</v>
      </c>
      <c r="DI61" s="95">
        <v>3.5362945999999999E-3</v>
      </c>
      <c r="DJ61" s="96">
        <v>6.2481697999999999E-3</v>
      </c>
      <c r="DK61" s="96">
        <v>7.0247998999999998E-3</v>
      </c>
      <c r="DL61" s="96">
        <v>7.1766314999999999E-3</v>
      </c>
      <c r="DM61" s="96">
        <v>7.2164372999999997E-3</v>
      </c>
      <c r="DN61" s="96">
        <v>7.2404888999999997E-3</v>
      </c>
      <c r="DO61" s="96">
        <v>7.2545493000000004E-3</v>
      </c>
      <c r="DP61" s="96">
        <v>7.2686097999999999E-3</v>
      </c>
      <c r="DQ61" s="96">
        <v>7.2812550000000004E-3</v>
      </c>
      <c r="DR61" s="97">
        <v>7.2939003000000004E-3</v>
      </c>
      <c r="DS61" s="93">
        <v>101.65704719999999</v>
      </c>
      <c r="DT61" s="80">
        <v>0.70671890810000004</v>
      </c>
      <c r="DU61" s="80">
        <v>54.355505731999997</v>
      </c>
      <c r="DV61" s="80">
        <v>0.3899651797</v>
      </c>
      <c r="DW61" s="80">
        <v>28.810143329999999</v>
      </c>
      <c r="DX61" s="80">
        <v>0.21348545050000001</v>
      </c>
      <c r="DY61" s="80">
        <v>15.370450642</v>
      </c>
      <c r="DZ61" s="80">
        <v>0.1185147852</v>
      </c>
      <c r="EA61" s="80">
        <v>8.3949410365000006</v>
      </c>
      <c r="EB61" s="80">
        <v>6.8128053899999999E-2</v>
      </c>
      <c r="EC61" s="80">
        <v>4.7494281291</v>
      </c>
      <c r="ED61" s="80">
        <v>4.12404273E-2</v>
      </c>
      <c r="EE61" s="80">
        <v>2.8173793103999998</v>
      </c>
      <c r="EF61" s="80">
        <v>2.66390668E-2</v>
      </c>
      <c r="EG61" s="80">
        <v>1.7348711534000001</v>
      </c>
      <c r="EH61" s="80">
        <v>1.8198969700000001E-2</v>
      </c>
      <c r="EI61" s="80">
        <v>1.1174813894</v>
      </c>
      <c r="EJ61" s="80">
        <v>1.3200788499999999E-2</v>
      </c>
      <c r="EK61" s="80">
        <v>0.75063955819999995</v>
      </c>
      <c r="EL61" s="94">
        <v>1.00816047E-2</v>
      </c>
    </row>
    <row r="62" spans="1:142" x14ac:dyDescent="0.2">
      <c r="A62" s="79">
        <v>5700</v>
      </c>
      <c r="B62" s="27">
        <v>1339</v>
      </c>
      <c r="C62" s="79">
        <v>2358.9992523999999</v>
      </c>
      <c r="D62" s="27">
        <v>5649.7016814999997</v>
      </c>
      <c r="E62" s="27">
        <v>95.864053362999996</v>
      </c>
      <c r="F62" s="27">
        <v>8.4668967499999997E-2</v>
      </c>
      <c r="G62" s="79">
        <v>8.3104827092000004</v>
      </c>
      <c r="H62" s="27">
        <v>3.9825559000000003E-3</v>
      </c>
      <c r="I62" s="27">
        <v>187.42597293</v>
      </c>
      <c r="J62" s="27">
        <v>1.2502893363000001</v>
      </c>
      <c r="K62" s="27">
        <v>84.081171182000006</v>
      </c>
      <c r="L62" s="27">
        <v>0.52623331569999998</v>
      </c>
      <c r="M62" s="27">
        <v>26.468536853</v>
      </c>
      <c r="N62" s="27">
        <v>0.21394022069999999</v>
      </c>
      <c r="O62" s="80" t="s">
        <v>136</v>
      </c>
      <c r="P62" s="80">
        <v>0</v>
      </c>
      <c r="Q62" s="27">
        <v>39.523554668000003</v>
      </c>
      <c r="R62" s="27">
        <v>6.2730239800000004E-2</v>
      </c>
      <c r="S62" s="80" t="s">
        <v>136</v>
      </c>
      <c r="T62" s="80">
        <v>0</v>
      </c>
      <c r="U62" s="80" t="s">
        <v>136</v>
      </c>
      <c r="V62" s="80">
        <v>0</v>
      </c>
      <c r="W62" s="27">
        <v>0.55984770900000003</v>
      </c>
      <c r="X62" s="27">
        <v>5.9494654000000003E-3</v>
      </c>
      <c r="Y62" s="27">
        <v>36.534399075000003</v>
      </c>
      <c r="Z62" s="27">
        <v>0.79412119110000001</v>
      </c>
      <c r="AA62" s="80" t="s">
        <v>136</v>
      </c>
      <c r="AB62" s="80">
        <v>0</v>
      </c>
      <c r="AC62" s="27">
        <v>0</v>
      </c>
      <c r="AD62" s="27">
        <v>0</v>
      </c>
      <c r="AE62" s="80" t="s">
        <v>136</v>
      </c>
      <c r="AF62" s="80">
        <v>0</v>
      </c>
      <c r="AG62" s="80" t="s">
        <v>136</v>
      </c>
      <c r="AH62" s="80">
        <v>0</v>
      </c>
      <c r="AI62" s="27">
        <f t="shared" si="4"/>
        <v>0</v>
      </c>
      <c r="AJ62" s="27">
        <f t="shared" si="5"/>
        <v>0</v>
      </c>
      <c r="AK62" s="27">
        <v>128.98139151999999</v>
      </c>
      <c r="AL62" s="27">
        <v>1.6861095283</v>
      </c>
      <c r="AM62" s="80" t="s">
        <v>136</v>
      </c>
      <c r="AN62" s="80">
        <v>0</v>
      </c>
      <c r="AO62" s="80" t="s">
        <v>136</v>
      </c>
      <c r="AP62" s="80">
        <v>0</v>
      </c>
      <c r="AQ62" s="80" t="s">
        <v>136</v>
      </c>
      <c r="AR62" s="80">
        <v>0</v>
      </c>
      <c r="AS62" s="27">
        <v>81.028980579999995</v>
      </c>
      <c r="AT62" s="27">
        <v>2.6916683114</v>
      </c>
      <c r="AU62" s="27">
        <v>70.589182350000002</v>
      </c>
      <c r="AV62" s="27">
        <v>0.52108081640000004</v>
      </c>
      <c r="AW62" s="27">
        <v>31.827839236999999</v>
      </c>
      <c r="AX62" s="27">
        <v>0.31456280380000001</v>
      </c>
      <c r="AY62" s="27">
        <v>12.235630626000001</v>
      </c>
      <c r="AZ62" s="27">
        <v>0.1043966424</v>
      </c>
      <c r="BA62" s="80">
        <f t="shared" si="6"/>
        <v>26.525712487</v>
      </c>
      <c r="BB62" s="80">
        <f t="shared" si="7"/>
        <v>0.10212137020000001</v>
      </c>
      <c r="BC62" s="27">
        <v>0</v>
      </c>
      <c r="BD62" s="80">
        <v>0</v>
      </c>
      <c r="BE62" s="27">
        <v>187.15413366000001</v>
      </c>
      <c r="BF62" s="27">
        <v>1.8282424795000001</v>
      </c>
      <c r="BG62" s="79">
        <v>9.8286490000000001E-3</v>
      </c>
      <c r="BH62" s="80">
        <v>0</v>
      </c>
      <c r="BI62" s="27">
        <v>166.52614270999999</v>
      </c>
      <c r="BJ62" s="27">
        <v>5.0684177002000004</v>
      </c>
      <c r="BK62" s="27">
        <v>247.42491634000001</v>
      </c>
      <c r="BL62" s="27">
        <v>1.7910338461999999</v>
      </c>
      <c r="BM62" s="27">
        <v>66.419466482000004</v>
      </c>
      <c r="BN62" s="27">
        <v>0.32352010939999998</v>
      </c>
      <c r="BO62" s="27">
        <v>0.38570625850000001</v>
      </c>
      <c r="BP62" s="27">
        <v>9.6962830000000004E-4</v>
      </c>
      <c r="BQ62" s="27">
        <v>0</v>
      </c>
      <c r="BR62" s="92">
        <v>0</v>
      </c>
      <c r="BS62" s="80" t="s">
        <v>136</v>
      </c>
      <c r="BT62" s="80">
        <v>0</v>
      </c>
      <c r="BU62" s="79">
        <v>0.53727915589999997</v>
      </c>
      <c r="BV62" s="27">
        <v>6.0616682000000002E-3</v>
      </c>
      <c r="BW62" s="27">
        <v>25.931257696999999</v>
      </c>
      <c r="BX62" s="27">
        <v>0.20787855250000001</v>
      </c>
      <c r="BY62" s="80" t="s">
        <v>136</v>
      </c>
      <c r="BZ62" s="80">
        <v>0</v>
      </c>
      <c r="CA62" s="80" t="s">
        <v>136</v>
      </c>
      <c r="CB62" s="80">
        <v>0</v>
      </c>
      <c r="CC62" s="27">
        <v>18.969905425</v>
      </c>
      <c r="CD62" s="27">
        <v>1.7165588900000001E-2</v>
      </c>
      <c r="CE62" s="27">
        <v>20.553649242999999</v>
      </c>
      <c r="CF62" s="92">
        <v>4.5564650800000002E-2</v>
      </c>
      <c r="CG62" s="80" t="s">
        <v>136</v>
      </c>
      <c r="CH62" s="80">
        <v>0</v>
      </c>
      <c r="CI62" s="80" t="s">
        <v>136</v>
      </c>
      <c r="CJ62" s="80">
        <v>0</v>
      </c>
      <c r="CK62" s="80" t="s">
        <v>136</v>
      </c>
      <c r="CL62" s="80">
        <v>0</v>
      </c>
      <c r="CM62" s="80" t="s">
        <v>136</v>
      </c>
      <c r="CN62" s="80">
        <v>0</v>
      </c>
      <c r="CO62" s="79">
        <v>0.12601994999999999</v>
      </c>
      <c r="CP62" s="27">
        <v>1.4827124999999999E-3</v>
      </c>
      <c r="CQ62" s="27">
        <v>0.43382775899999998</v>
      </c>
      <c r="CR62" s="27">
        <v>4.4667528999999999E-3</v>
      </c>
      <c r="CS62" s="27">
        <v>3.0171223195999999</v>
      </c>
      <c r="CT62" s="27">
        <v>3.2753787899999998E-2</v>
      </c>
      <c r="CU62" s="27">
        <v>33.517276754999997</v>
      </c>
      <c r="CV62" s="92">
        <v>0.76136740319999996</v>
      </c>
      <c r="CW62" s="80" t="s">
        <v>136</v>
      </c>
      <c r="CX62" s="80">
        <v>0</v>
      </c>
      <c r="CY62" s="80" t="s">
        <v>136</v>
      </c>
      <c r="CZ62" s="80">
        <v>0</v>
      </c>
      <c r="DA62" s="79">
        <v>20.943011129999999</v>
      </c>
      <c r="DB62" s="27">
        <v>0.31933248990000002</v>
      </c>
      <c r="DC62" s="27">
        <v>60.085969448999997</v>
      </c>
      <c r="DD62" s="27">
        <v>2.3723358216000001</v>
      </c>
      <c r="DE62" s="27">
        <v>37.076486922000001</v>
      </c>
      <c r="DF62" s="27">
        <v>0.61658199950000003</v>
      </c>
      <c r="DG62" s="27">
        <v>150.07764674000001</v>
      </c>
      <c r="DH62" s="92">
        <v>1.2116604799999999</v>
      </c>
      <c r="DI62" s="95">
        <v>3.6057760000000002E-3</v>
      </c>
      <c r="DJ62" s="96">
        <v>6.3677072999999999E-3</v>
      </c>
      <c r="DK62" s="96">
        <v>7.1614859000000003E-3</v>
      </c>
      <c r="DL62" s="96">
        <v>7.3159083E-3</v>
      </c>
      <c r="DM62" s="96">
        <v>7.3572376999999998E-3</v>
      </c>
      <c r="DN62" s="96">
        <v>7.3812273999999999E-3</v>
      </c>
      <c r="DO62" s="96">
        <v>7.3952499999999999E-3</v>
      </c>
      <c r="DP62" s="96">
        <v>7.4092725000000003E-3</v>
      </c>
      <c r="DQ62" s="96">
        <v>7.4218838999999997E-3</v>
      </c>
      <c r="DR62" s="97">
        <v>7.4344954000000003E-3</v>
      </c>
      <c r="DS62" s="93">
        <v>102.2237658</v>
      </c>
      <c r="DT62" s="80">
        <v>0.7105377477</v>
      </c>
      <c r="DU62" s="80">
        <v>54.762201234999999</v>
      </c>
      <c r="DV62" s="80">
        <v>0.39279303920000003</v>
      </c>
      <c r="DW62" s="80">
        <v>29.086207867999999</v>
      </c>
      <c r="DX62" s="80">
        <v>0.21546965870000001</v>
      </c>
      <c r="DY62" s="80">
        <v>15.551213357</v>
      </c>
      <c r="DZ62" s="80">
        <v>0.1198650416</v>
      </c>
      <c r="EA62" s="80">
        <v>8.5077435984999994</v>
      </c>
      <c r="EB62" s="80">
        <v>6.9017567799999999E-2</v>
      </c>
      <c r="EC62" s="80">
        <v>4.8243823724999997</v>
      </c>
      <c r="ED62" s="80">
        <v>4.1866366600000003E-2</v>
      </c>
      <c r="EE62" s="80">
        <v>2.8723346698999999</v>
      </c>
      <c r="EF62" s="80">
        <v>2.7123116400000001E-2</v>
      </c>
      <c r="EG62" s="80">
        <v>1.7756612358999999</v>
      </c>
      <c r="EH62" s="80">
        <v>1.8584983499999999E-2</v>
      </c>
      <c r="EI62" s="80">
        <v>1.1458111264999999</v>
      </c>
      <c r="EJ62" s="80">
        <v>1.3497028499999999E-2</v>
      </c>
      <c r="EK62" s="80">
        <v>0.77011317909999999</v>
      </c>
      <c r="EL62" s="94">
        <v>1.03146635E-2</v>
      </c>
    </row>
    <row r="63" spans="1:142" x14ac:dyDescent="0.2">
      <c r="A63" s="79">
        <v>5800</v>
      </c>
      <c r="B63" s="27">
        <v>1278</v>
      </c>
      <c r="C63" s="79">
        <v>2380.8673469999999</v>
      </c>
      <c r="D63" s="27">
        <v>5749.6727296999998</v>
      </c>
      <c r="E63" s="27">
        <v>97.279261817999995</v>
      </c>
      <c r="F63" s="27">
        <v>8.5292713300000003E-2</v>
      </c>
      <c r="G63" s="79">
        <v>8.5259624472999995</v>
      </c>
      <c r="H63" s="27">
        <v>4.0528691999999998E-3</v>
      </c>
      <c r="I63" s="27">
        <v>188.14580819</v>
      </c>
      <c r="J63" s="27">
        <v>1.2549504287</v>
      </c>
      <c r="K63" s="27">
        <v>84.785505435999994</v>
      </c>
      <c r="L63" s="27">
        <v>0.53057037460000001</v>
      </c>
      <c r="M63" s="27">
        <v>26.679244589</v>
      </c>
      <c r="N63" s="27">
        <v>0.2153385679</v>
      </c>
      <c r="O63" s="80" t="s">
        <v>136</v>
      </c>
      <c r="P63" s="80">
        <v>0</v>
      </c>
      <c r="Q63" s="27">
        <v>40.561721192</v>
      </c>
      <c r="R63" s="27">
        <v>6.4031617900000004E-2</v>
      </c>
      <c r="S63" s="80" t="s">
        <v>136</v>
      </c>
      <c r="T63" s="80">
        <v>0</v>
      </c>
      <c r="U63" s="80" t="s">
        <v>136</v>
      </c>
      <c r="V63" s="80">
        <v>0</v>
      </c>
      <c r="W63" s="27">
        <v>0.57435017200000005</v>
      </c>
      <c r="X63" s="27">
        <v>6.0500522999999999E-3</v>
      </c>
      <c r="Y63" s="27">
        <v>37.005920326999998</v>
      </c>
      <c r="Z63" s="27">
        <v>0.80421091020000002</v>
      </c>
      <c r="AA63" s="80" t="s">
        <v>136</v>
      </c>
      <c r="AB63" s="80">
        <v>0</v>
      </c>
      <c r="AC63" s="27">
        <v>0</v>
      </c>
      <c r="AD63" s="27">
        <v>0</v>
      </c>
      <c r="AE63" s="80" t="s">
        <v>136</v>
      </c>
      <c r="AF63" s="80">
        <v>0</v>
      </c>
      <c r="AG63" s="80" t="s">
        <v>136</v>
      </c>
      <c r="AH63" s="80">
        <v>0</v>
      </c>
      <c r="AI63" s="27">
        <f t="shared" si="4"/>
        <v>0</v>
      </c>
      <c r="AJ63" s="27">
        <f t="shared" si="5"/>
        <v>0</v>
      </c>
      <c r="AK63" s="27">
        <v>129.96716190999999</v>
      </c>
      <c r="AL63" s="27">
        <v>1.6934505615</v>
      </c>
      <c r="AM63" s="80" t="s">
        <v>136</v>
      </c>
      <c r="AN63" s="80">
        <v>0</v>
      </c>
      <c r="AO63" s="80" t="s">
        <v>136</v>
      </c>
      <c r="AP63" s="80">
        <v>0</v>
      </c>
      <c r="AQ63" s="80" t="s">
        <v>136</v>
      </c>
      <c r="AR63" s="80">
        <v>0</v>
      </c>
      <c r="AS63" s="27">
        <v>81.810695932000002</v>
      </c>
      <c r="AT63" s="27">
        <v>2.7097612233000001</v>
      </c>
      <c r="AU63" s="27">
        <v>71.354575965999999</v>
      </c>
      <c r="AV63" s="27">
        <v>0.52520960139999995</v>
      </c>
      <c r="AW63" s="27">
        <v>32.197588132</v>
      </c>
      <c r="AX63" s="27">
        <v>0.31723680999999998</v>
      </c>
      <c r="AY63" s="27">
        <v>12.318700534</v>
      </c>
      <c r="AZ63" s="27">
        <v>0.1048620898</v>
      </c>
      <c r="BA63" s="80">
        <f t="shared" si="6"/>
        <v>26.838287299999998</v>
      </c>
      <c r="BB63" s="80">
        <f t="shared" si="7"/>
        <v>0.10311070159999997</v>
      </c>
      <c r="BC63" s="27">
        <v>0</v>
      </c>
      <c r="BD63" s="80">
        <v>0</v>
      </c>
      <c r="BE63" s="27">
        <v>190.38117032</v>
      </c>
      <c r="BF63" s="27">
        <v>1.8447248077</v>
      </c>
      <c r="BG63" s="79">
        <v>9.9875018999999992E-3</v>
      </c>
      <c r="BH63" s="80">
        <v>0</v>
      </c>
      <c r="BI63" s="27">
        <v>167.58660488999999</v>
      </c>
      <c r="BJ63" s="27">
        <v>5.089238011</v>
      </c>
      <c r="BK63" s="27">
        <v>251.24792239000001</v>
      </c>
      <c r="BL63" s="27">
        <v>1.8146101715</v>
      </c>
      <c r="BM63" s="27">
        <v>67.442548384000006</v>
      </c>
      <c r="BN63" s="27">
        <v>0.32688116760000002</v>
      </c>
      <c r="BO63" s="27">
        <v>0.42478006089999998</v>
      </c>
      <c r="BP63" s="27">
        <v>9.9325460000000004E-4</v>
      </c>
      <c r="BQ63" s="27">
        <v>0</v>
      </c>
      <c r="BR63" s="92">
        <v>0</v>
      </c>
      <c r="BS63" s="80" t="s">
        <v>136</v>
      </c>
      <c r="BT63" s="80">
        <v>0</v>
      </c>
      <c r="BU63" s="79">
        <v>0.53672914670000005</v>
      </c>
      <c r="BV63" s="27">
        <v>6.0532983999999996E-3</v>
      </c>
      <c r="BW63" s="27">
        <v>26.142515442000001</v>
      </c>
      <c r="BX63" s="27">
        <v>0.2092852694</v>
      </c>
      <c r="BY63" s="80" t="s">
        <v>136</v>
      </c>
      <c r="BZ63" s="80">
        <v>0</v>
      </c>
      <c r="CA63" s="80" t="s">
        <v>136</v>
      </c>
      <c r="CB63" s="80">
        <v>0</v>
      </c>
      <c r="CC63" s="27">
        <v>19.557721082</v>
      </c>
      <c r="CD63" s="27">
        <v>1.7595098300000001E-2</v>
      </c>
      <c r="CE63" s="27">
        <v>21.00400011</v>
      </c>
      <c r="CF63" s="92">
        <v>4.6436519500000002E-2</v>
      </c>
      <c r="CG63" s="80" t="s">
        <v>136</v>
      </c>
      <c r="CH63" s="80">
        <v>0</v>
      </c>
      <c r="CI63" s="80" t="s">
        <v>136</v>
      </c>
      <c r="CJ63" s="80">
        <v>0</v>
      </c>
      <c r="CK63" s="80" t="s">
        <v>136</v>
      </c>
      <c r="CL63" s="80">
        <v>0</v>
      </c>
      <c r="CM63" s="80" t="s">
        <v>136</v>
      </c>
      <c r="CN63" s="80">
        <v>0</v>
      </c>
      <c r="CO63" s="79">
        <v>0.13003311000000001</v>
      </c>
      <c r="CP63" s="27">
        <v>1.4933416E-3</v>
      </c>
      <c r="CQ63" s="27">
        <v>0.44431706199999998</v>
      </c>
      <c r="CR63" s="27">
        <v>4.5567107000000001E-3</v>
      </c>
      <c r="CS63" s="27">
        <v>3.064177699</v>
      </c>
      <c r="CT63" s="27">
        <v>3.3260816999999998E-2</v>
      </c>
      <c r="CU63" s="27">
        <v>33.941742628</v>
      </c>
      <c r="CV63" s="92">
        <v>0.77095009319999996</v>
      </c>
      <c r="CW63" s="80" t="s">
        <v>136</v>
      </c>
      <c r="CX63" s="80">
        <v>0</v>
      </c>
      <c r="CY63" s="80" t="s">
        <v>136</v>
      </c>
      <c r="CZ63" s="80">
        <v>0</v>
      </c>
      <c r="DA63" s="79">
        <v>21.201004722</v>
      </c>
      <c r="DB63" s="27">
        <v>0.32258326129999998</v>
      </c>
      <c r="DC63" s="27">
        <v>60.609691210000001</v>
      </c>
      <c r="DD63" s="27">
        <v>2.3871779621</v>
      </c>
      <c r="DE63" s="27">
        <v>38.319255675000001</v>
      </c>
      <c r="DF63" s="27">
        <v>0.62447627139999995</v>
      </c>
      <c r="DG63" s="27">
        <v>152.06191464</v>
      </c>
      <c r="DH63" s="92">
        <v>1.2202485363</v>
      </c>
      <c r="DI63" s="95">
        <v>3.6702483999999998E-3</v>
      </c>
      <c r="DJ63" s="96">
        <v>6.4805920999999999E-3</v>
      </c>
      <c r="DK63" s="96">
        <v>7.2991039999999998E-3</v>
      </c>
      <c r="DL63" s="96">
        <v>7.4598586999999996E-3</v>
      </c>
      <c r="DM63" s="96">
        <v>7.5062426999999996E-3</v>
      </c>
      <c r="DN63" s="96">
        <v>7.5353364999999999E-3</v>
      </c>
      <c r="DO63" s="96">
        <v>7.5528629000000003E-3</v>
      </c>
      <c r="DP63" s="96">
        <v>7.5703892000000004E-3</v>
      </c>
      <c r="DQ63" s="96">
        <v>7.5865081000000001E-3</v>
      </c>
      <c r="DR63" s="97">
        <v>7.5990828999999999E-3</v>
      </c>
      <c r="DS63" s="93">
        <v>102.80741707</v>
      </c>
      <c r="DT63" s="80">
        <v>0.71433987340000005</v>
      </c>
      <c r="DU63" s="80">
        <v>55.187212508000002</v>
      </c>
      <c r="DV63" s="80">
        <v>0.39558982619999999</v>
      </c>
      <c r="DW63" s="80">
        <v>29.380963074</v>
      </c>
      <c r="DX63" s="80">
        <v>0.21744730640000001</v>
      </c>
      <c r="DY63" s="80">
        <v>15.740947676999999</v>
      </c>
      <c r="DZ63" s="80">
        <v>0.1211715091</v>
      </c>
      <c r="EA63" s="80">
        <v>8.6302278615999999</v>
      </c>
      <c r="EB63" s="80">
        <v>6.9886469000000007E-2</v>
      </c>
      <c r="EC63" s="80">
        <v>4.9050366126</v>
      </c>
      <c r="ED63" s="80">
        <v>4.2456938100000001E-2</v>
      </c>
      <c r="EE63" s="80">
        <v>2.9260822032</v>
      </c>
      <c r="EF63" s="80">
        <v>2.7537318299999999E-2</v>
      </c>
      <c r="EG63" s="80">
        <v>1.8109374734000001</v>
      </c>
      <c r="EH63" s="80">
        <v>1.8880210500000001E-2</v>
      </c>
      <c r="EI63" s="80">
        <v>1.1695813164</v>
      </c>
      <c r="EJ63" s="80">
        <v>1.3711551799999999E-2</v>
      </c>
      <c r="EK63" s="80">
        <v>0.78491995650000002</v>
      </c>
      <c r="EL63" s="94">
        <v>1.04660074E-2</v>
      </c>
    </row>
    <row r="64" spans="1:142" x14ac:dyDescent="0.2">
      <c r="A64" s="79">
        <v>5900</v>
      </c>
      <c r="B64" s="27">
        <v>1298</v>
      </c>
      <c r="C64" s="79">
        <v>2402.7748998000002</v>
      </c>
      <c r="D64" s="27">
        <v>5850.1760253000002</v>
      </c>
      <c r="E64" s="27">
        <v>99.076977972999998</v>
      </c>
      <c r="F64" s="27">
        <v>8.6124853000000001E-2</v>
      </c>
      <c r="G64" s="79">
        <v>8.7381668013000002</v>
      </c>
      <c r="H64" s="27">
        <v>4.1107360000000003E-3</v>
      </c>
      <c r="I64" s="27">
        <v>188.84255827000001</v>
      </c>
      <c r="J64" s="27">
        <v>1.2594788485999999</v>
      </c>
      <c r="K64" s="27">
        <v>85.480535250000003</v>
      </c>
      <c r="L64" s="27">
        <v>0.53470493509999995</v>
      </c>
      <c r="M64" s="27">
        <v>27.073542966000002</v>
      </c>
      <c r="N64" s="27">
        <v>0.21844325470000001</v>
      </c>
      <c r="O64" s="80" t="s">
        <v>136</v>
      </c>
      <c r="P64" s="80">
        <v>0</v>
      </c>
      <c r="Q64" s="27">
        <v>41.437573096999998</v>
      </c>
      <c r="R64" s="27">
        <v>6.5258482300000004E-2</v>
      </c>
      <c r="S64" s="80" t="s">
        <v>136</v>
      </c>
      <c r="T64" s="80">
        <v>0</v>
      </c>
      <c r="U64" s="80" t="s">
        <v>136</v>
      </c>
      <c r="V64" s="80">
        <v>0</v>
      </c>
      <c r="W64" s="27">
        <v>0.59516922520000004</v>
      </c>
      <c r="X64" s="27">
        <v>6.4606109999999998E-3</v>
      </c>
      <c r="Y64" s="27">
        <v>37.594166899999998</v>
      </c>
      <c r="Z64" s="27">
        <v>0.81519779169999995</v>
      </c>
      <c r="AA64" s="80" t="s">
        <v>136</v>
      </c>
      <c r="AB64" s="80">
        <v>0</v>
      </c>
      <c r="AC64" s="27">
        <v>0</v>
      </c>
      <c r="AD64" s="27">
        <v>0</v>
      </c>
      <c r="AE64" s="80" t="s">
        <v>136</v>
      </c>
      <c r="AF64" s="80">
        <v>0</v>
      </c>
      <c r="AG64" s="80" t="s">
        <v>136</v>
      </c>
      <c r="AH64" s="80">
        <v>0</v>
      </c>
      <c r="AI64" s="27">
        <f t="shared" si="4"/>
        <v>0</v>
      </c>
      <c r="AJ64" s="27">
        <f t="shared" si="5"/>
        <v>0</v>
      </c>
      <c r="AK64" s="27">
        <v>130.96791833</v>
      </c>
      <c r="AL64" s="27">
        <v>1.7009328558000001</v>
      </c>
      <c r="AM64" s="80" t="s">
        <v>136</v>
      </c>
      <c r="AN64" s="80">
        <v>0</v>
      </c>
      <c r="AO64" s="80" t="s">
        <v>136</v>
      </c>
      <c r="AP64" s="80">
        <v>0</v>
      </c>
      <c r="AQ64" s="80" t="s">
        <v>136</v>
      </c>
      <c r="AR64" s="80">
        <v>0</v>
      </c>
      <c r="AS64" s="27">
        <v>82.649537471000002</v>
      </c>
      <c r="AT64" s="27">
        <v>2.7276234707000002</v>
      </c>
      <c r="AU64" s="27">
        <v>72.148427595000001</v>
      </c>
      <c r="AV64" s="27">
        <v>0.5292987764</v>
      </c>
      <c r="AW64" s="27">
        <v>32.546230366000003</v>
      </c>
      <c r="AX64" s="27">
        <v>0.31975705189999998</v>
      </c>
      <c r="AY64" s="27">
        <v>12.437102439</v>
      </c>
      <c r="AZ64" s="27">
        <v>0.10553098919999999</v>
      </c>
      <c r="BA64" s="80">
        <f t="shared" si="6"/>
        <v>27.165094789999998</v>
      </c>
      <c r="BB64" s="80">
        <f t="shared" si="7"/>
        <v>0.10401073530000005</v>
      </c>
      <c r="BC64" s="27">
        <v>0</v>
      </c>
      <c r="BD64" s="80">
        <v>0</v>
      </c>
      <c r="BE64" s="27">
        <v>193.67735511999999</v>
      </c>
      <c r="BF64" s="27">
        <v>1.8613452752999999</v>
      </c>
      <c r="BG64" s="79">
        <v>1.0114213E-2</v>
      </c>
      <c r="BH64" s="80">
        <v>0</v>
      </c>
      <c r="BI64" s="27">
        <v>168.50379612</v>
      </c>
      <c r="BJ64" s="27">
        <v>5.1081716223999996</v>
      </c>
      <c r="BK64" s="27">
        <v>255.36946957000001</v>
      </c>
      <c r="BL64" s="27">
        <v>1.8423875139000001</v>
      </c>
      <c r="BM64" s="27">
        <v>68.252658819000004</v>
      </c>
      <c r="BN64" s="27">
        <v>0.32995887439999999</v>
      </c>
      <c r="BO64" s="27">
        <v>0.43227802640000001</v>
      </c>
      <c r="BP64" s="27">
        <v>9.950165E-4</v>
      </c>
      <c r="BQ64" s="27">
        <v>0</v>
      </c>
      <c r="BR64" s="92">
        <v>0</v>
      </c>
      <c r="BS64" s="80" t="s">
        <v>136</v>
      </c>
      <c r="BT64" s="80">
        <v>0</v>
      </c>
      <c r="BU64" s="79">
        <v>0.53839280540000001</v>
      </c>
      <c r="BV64" s="27">
        <v>6.1032077000000001E-3</v>
      </c>
      <c r="BW64" s="27">
        <v>26.535150161000001</v>
      </c>
      <c r="BX64" s="27">
        <v>0.21234004710000001</v>
      </c>
      <c r="BY64" s="80" t="s">
        <v>136</v>
      </c>
      <c r="BZ64" s="80">
        <v>0</v>
      </c>
      <c r="CA64" s="80" t="s">
        <v>136</v>
      </c>
      <c r="CB64" s="80">
        <v>0</v>
      </c>
      <c r="CC64" s="27">
        <v>20.099439187000002</v>
      </c>
      <c r="CD64" s="27">
        <v>1.8011357700000001E-2</v>
      </c>
      <c r="CE64" s="27">
        <v>21.33813391</v>
      </c>
      <c r="CF64" s="92">
        <v>4.7247124600000003E-2</v>
      </c>
      <c r="CG64" s="80" t="s">
        <v>136</v>
      </c>
      <c r="CH64" s="80">
        <v>0</v>
      </c>
      <c r="CI64" s="80" t="s">
        <v>136</v>
      </c>
      <c r="CJ64" s="80">
        <v>0</v>
      </c>
      <c r="CK64" s="80" t="s">
        <v>136</v>
      </c>
      <c r="CL64" s="80">
        <v>0</v>
      </c>
      <c r="CM64" s="80" t="s">
        <v>136</v>
      </c>
      <c r="CN64" s="80">
        <v>0</v>
      </c>
      <c r="CO64" s="79">
        <v>0.13342863669999999</v>
      </c>
      <c r="CP64" s="27">
        <v>1.6447801E-3</v>
      </c>
      <c r="CQ64" s="27">
        <v>0.46174058839999998</v>
      </c>
      <c r="CR64" s="27">
        <v>4.8158309E-3</v>
      </c>
      <c r="CS64" s="27">
        <v>3.1442083571000001</v>
      </c>
      <c r="CT64" s="27">
        <v>3.4203434900000003E-2</v>
      </c>
      <c r="CU64" s="27">
        <v>34.449958543000001</v>
      </c>
      <c r="CV64" s="92">
        <v>0.78099435669999995</v>
      </c>
      <c r="CW64" s="80" t="s">
        <v>136</v>
      </c>
      <c r="CX64" s="80">
        <v>0</v>
      </c>
      <c r="CY64" s="80" t="s">
        <v>136</v>
      </c>
      <c r="CZ64" s="80">
        <v>0</v>
      </c>
      <c r="DA64" s="79">
        <v>21.509549953</v>
      </c>
      <c r="DB64" s="27">
        <v>0.32594791169999998</v>
      </c>
      <c r="DC64" s="27">
        <v>61.139987517999998</v>
      </c>
      <c r="DD64" s="27">
        <v>2.4016755591000001</v>
      </c>
      <c r="DE64" s="27">
        <v>39.681399372000001</v>
      </c>
      <c r="DF64" s="27">
        <v>0.63307638170000002</v>
      </c>
      <c r="DG64" s="27">
        <v>153.99595575000001</v>
      </c>
      <c r="DH64" s="92">
        <v>1.2282688935999999</v>
      </c>
      <c r="DI64" s="95">
        <v>3.7273902999999998E-3</v>
      </c>
      <c r="DJ64" s="96">
        <v>6.5833599999999999E-3</v>
      </c>
      <c r="DK64" s="96">
        <v>7.4271774999999998E-3</v>
      </c>
      <c r="DL64" s="96">
        <v>7.5905056999999998E-3</v>
      </c>
      <c r="DM64" s="96">
        <v>7.6367659000000001E-3</v>
      </c>
      <c r="DN64" s="96">
        <v>7.6657823E-3</v>
      </c>
      <c r="DO64" s="96">
        <v>7.6832591E-3</v>
      </c>
      <c r="DP64" s="96">
        <v>7.7007359000000001E-3</v>
      </c>
      <c r="DQ64" s="96">
        <v>7.7168080999999999E-3</v>
      </c>
      <c r="DR64" s="97">
        <v>7.7293517000000004E-3</v>
      </c>
      <c r="DS64" s="93">
        <v>103.36863167999999</v>
      </c>
      <c r="DT64" s="80">
        <v>0.71806010990000002</v>
      </c>
      <c r="DU64" s="80">
        <v>55.599211867000001</v>
      </c>
      <c r="DV64" s="80">
        <v>0.3983583483</v>
      </c>
      <c r="DW64" s="80">
        <v>29.660887017</v>
      </c>
      <c r="DX64" s="80">
        <v>0.2193495956</v>
      </c>
      <c r="DY64" s="80">
        <v>15.921462238</v>
      </c>
      <c r="DZ64" s="80">
        <v>0.1224107047</v>
      </c>
      <c r="EA64" s="80">
        <v>8.7431532711000006</v>
      </c>
      <c r="EB64" s="80">
        <v>7.0657496900000005E-2</v>
      </c>
      <c r="EC64" s="80">
        <v>4.9717276328000004</v>
      </c>
      <c r="ED64" s="80">
        <v>4.2905522500000001E-2</v>
      </c>
      <c r="EE64" s="80">
        <v>2.9641322085000001</v>
      </c>
      <c r="EF64" s="80">
        <v>2.77829307E-2</v>
      </c>
      <c r="EG64" s="80">
        <v>1.8336822139</v>
      </c>
      <c r="EH64" s="80">
        <v>1.9013968400000001E-2</v>
      </c>
      <c r="EI64" s="80">
        <v>1.1829290978</v>
      </c>
      <c r="EJ64" s="80">
        <v>1.3778497900000001E-2</v>
      </c>
      <c r="EK64" s="80">
        <v>0.79364977849999996</v>
      </c>
      <c r="EL64" s="94">
        <v>1.05047662E-2</v>
      </c>
    </row>
    <row r="65" spans="1:142" x14ac:dyDescent="0.2">
      <c r="A65" s="79">
        <v>6000</v>
      </c>
      <c r="B65" s="27">
        <v>1190</v>
      </c>
      <c r="C65" s="79">
        <v>2424.0271658000001</v>
      </c>
      <c r="D65" s="27">
        <v>5950.9490945999996</v>
      </c>
      <c r="E65" s="27">
        <v>100.46419290999999</v>
      </c>
      <c r="F65" s="27">
        <v>8.6799969800000001E-2</v>
      </c>
      <c r="G65" s="79">
        <v>8.9983687874000005</v>
      </c>
      <c r="H65" s="27">
        <v>4.1795134000000003E-3</v>
      </c>
      <c r="I65" s="27">
        <v>189.5394202</v>
      </c>
      <c r="J65" s="27">
        <v>1.264318955</v>
      </c>
      <c r="K65" s="27">
        <v>86.122724005999999</v>
      </c>
      <c r="L65" s="27">
        <v>0.53862894210000001</v>
      </c>
      <c r="M65" s="27">
        <v>27.411525223999998</v>
      </c>
      <c r="N65" s="27">
        <v>0.2208980244</v>
      </c>
      <c r="O65" s="80" t="s">
        <v>136</v>
      </c>
      <c r="P65" s="80">
        <v>0</v>
      </c>
      <c r="Q65" s="27">
        <v>42.323187941999997</v>
      </c>
      <c r="R65" s="27">
        <v>6.64094779E-2</v>
      </c>
      <c r="S65" s="80" t="s">
        <v>136</v>
      </c>
      <c r="T65" s="80">
        <v>0</v>
      </c>
      <c r="U65" s="80" t="s">
        <v>136</v>
      </c>
      <c r="V65" s="80">
        <v>0</v>
      </c>
      <c r="W65" s="27">
        <v>0.63143012300000001</v>
      </c>
      <c r="X65" s="27">
        <v>6.8416924999999996E-3</v>
      </c>
      <c r="Y65" s="27">
        <v>38.125429462</v>
      </c>
      <c r="Z65" s="27">
        <v>0.82447370980000001</v>
      </c>
      <c r="AA65" s="80" t="s">
        <v>136</v>
      </c>
      <c r="AB65" s="80">
        <v>0</v>
      </c>
      <c r="AC65" s="27">
        <v>0</v>
      </c>
      <c r="AD65" s="27">
        <v>0</v>
      </c>
      <c r="AE65" s="80" t="s">
        <v>136</v>
      </c>
      <c r="AF65" s="80">
        <v>0</v>
      </c>
      <c r="AG65" s="80" t="s">
        <v>136</v>
      </c>
      <c r="AH65" s="80">
        <v>0</v>
      </c>
      <c r="AI65" s="27">
        <f t="shared" si="4"/>
        <v>0</v>
      </c>
      <c r="AJ65" s="27">
        <f t="shared" si="5"/>
        <v>0</v>
      </c>
      <c r="AK65" s="27">
        <v>131.85950708999999</v>
      </c>
      <c r="AL65" s="27">
        <v>1.7078784129</v>
      </c>
      <c r="AM65" s="80" t="s">
        <v>136</v>
      </c>
      <c r="AN65" s="80">
        <v>0</v>
      </c>
      <c r="AO65" s="80" t="s">
        <v>136</v>
      </c>
      <c r="AP65" s="80">
        <v>0</v>
      </c>
      <c r="AQ65" s="80" t="s">
        <v>136</v>
      </c>
      <c r="AR65" s="80">
        <v>0</v>
      </c>
      <c r="AS65" s="27">
        <v>83.362985664999997</v>
      </c>
      <c r="AT65" s="27">
        <v>2.7442398099999998</v>
      </c>
      <c r="AU65" s="27">
        <v>73.029931993000005</v>
      </c>
      <c r="AV65" s="27">
        <v>0.53357122010000002</v>
      </c>
      <c r="AW65" s="27">
        <v>32.966141702000002</v>
      </c>
      <c r="AX65" s="27">
        <v>0.32247563689999997</v>
      </c>
      <c r="AY65" s="27">
        <v>12.555784952</v>
      </c>
      <c r="AZ65" s="27">
        <v>0.1061661134</v>
      </c>
      <c r="BA65" s="80">
        <f t="shared" si="6"/>
        <v>27.508005339000007</v>
      </c>
      <c r="BB65" s="80">
        <f t="shared" si="7"/>
        <v>0.10492946980000006</v>
      </c>
      <c r="BC65" s="27">
        <v>0</v>
      </c>
      <c r="BD65" s="80">
        <v>0</v>
      </c>
      <c r="BE65" s="27">
        <v>196.70843081000001</v>
      </c>
      <c r="BF65" s="27">
        <v>1.8775108410000001</v>
      </c>
      <c r="BG65" s="79">
        <v>1.02553388E-2</v>
      </c>
      <c r="BH65" s="80">
        <v>0</v>
      </c>
      <c r="BI65" s="27">
        <v>169.35936040000001</v>
      </c>
      <c r="BJ65" s="27">
        <v>5.1261114501999998</v>
      </c>
      <c r="BK65" s="27">
        <v>259.31974111</v>
      </c>
      <c r="BL65" s="27">
        <v>1.8680392995999999</v>
      </c>
      <c r="BM65" s="27">
        <v>69.276111809</v>
      </c>
      <c r="BN65" s="27">
        <v>0.33348840730000001</v>
      </c>
      <c r="BO65" s="27">
        <v>0.43102865400000001</v>
      </c>
      <c r="BP65" s="27">
        <v>9.9833939999999992E-4</v>
      </c>
      <c r="BQ65" s="27">
        <v>0</v>
      </c>
      <c r="BR65" s="92">
        <v>0</v>
      </c>
      <c r="BS65" s="80" t="s">
        <v>136</v>
      </c>
      <c r="BT65" s="80">
        <v>0</v>
      </c>
      <c r="BU65" s="79">
        <v>0.57113406479999995</v>
      </c>
      <c r="BV65" s="27">
        <v>6.3389848999999996E-3</v>
      </c>
      <c r="BW65" s="27">
        <v>26.840391158999999</v>
      </c>
      <c r="BX65" s="27">
        <v>0.21455903940000001</v>
      </c>
      <c r="BY65" s="80" t="s">
        <v>136</v>
      </c>
      <c r="BZ65" s="80">
        <v>0</v>
      </c>
      <c r="CA65" s="80" t="s">
        <v>136</v>
      </c>
      <c r="CB65" s="80">
        <v>0</v>
      </c>
      <c r="CC65" s="27">
        <v>20.659261198999999</v>
      </c>
      <c r="CD65" s="27">
        <v>1.8412685000000002E-2</v>
      </c>
      <c r="CE65" s="27">
        <v>21.663926743000001</v>
      </c>
      <c r="CF65" s="92">
        <v>4.79967928E-2</v>
      </c>
      <c r="CG65" s="80" t="s">
        <v>136</v>
      </c>
      <c r="CH65" s="80">
        <v>0</v>
      </c>
      <c r="CI65" s="80" t="s">
        <v>136</v>
      </c>
      <c r="CJ65" s="80">
        <v>0</v>
      </c>
      <c r="CK65" s="80" t="s">
        <v>136</v>
      </c>
      <c r="CL65" s="80">
        <v>0</v>
      </c>
      <c r="CM65" s="80" t="s">
        <v>136</v>
      </c>
      <c r="CN65" s="80">
        <v>0</v>
      </c>
      <c r="CO65" s="79">
        <v>0.13900655200000001</v>
      </c>
      <c r="CP65" s="27">
        <v>1.6950197000000001E-3</v>
      </c>
      <c r="CQ65" s="27">
        <v>0.492423571</v>
      </c>
      <c r="CR65" s="27">
        <v>5.1466728E-3</v>
      </c>
      <c r="CS65" s="27">
        <v>3.2690777982000001</v>
      </c>
      <c r="CT65" s="27">
        <v>3.5155418399999999E-2</v>
      </c>
      <c r="CU65" s="27">
        <v>34.856351664000002</v>
      </c>
      <c r="CV65" s="92">
        <v>0.78931829149999999</v>
      </c>
      <c r="CW65" s="80" t="s">
        <v>136</v>
      </c>
      <c r="CX65" s="80">
        <v>0</v>
      </c>
      <c r="CY65" s="80" t="s">
        <v>136</v>
      </c>
      <c r="CZ65" s="80">
        <v>0</v>
      </c>
      <c r="DA65" s="79">
        <v>21.756147771999998</v>
      </c>
      <c r="DB65" s="27">
        <v>0.32935617109999998</v>
      </c>
      <c r="DC65" s="27">
        <v>61.606837892999998</v>
      </c>
      <c r="DD65" s="27">
        <v>2.4148836389000001</v>
      </c>
      <c r="DE65" s="27">
        <v>40.767894149</v>
      </c>
      <c r="DF65" s="27">
        <v>0.64080874880000005</v>
      </c>
      <c r="DG65" s="27">
        <v>155.94053665999999</v>
      </c>
      <c r="DH65" s="92">
        <v>1.2367020922</v>
      </c>
      <c r="DI65" s="95">
        <v>3.7907690999999999E-3</v>
      </c>
      <c r="DJ65" s="96">
        <v>6.6901690000000002E-3</v>
      </c>
      <c r="DK65" s="96">
        <v>7.5560525999999999E-3</v>
      </c>
      <c r="DL65" s="96">
        <v>7.7266441E-3</v>
      </c>
      <c r="DM65" s="96">
        <v>7.7772133000000004E-3</v>
      </c>
      <c r="DN65" s="96">
        <v>7.8105769000000004E-3</v>
      </c>
      <c r="DO65" s="96">
        <v>7.8280056000000001E-3</v>
      </c>
      <c r="DP65" s="96">
        <v>7.8454343000000006E-3</v>
      </c>
      <c r="DQ65" s="96">
        <v>7.8614609000000005E-3</v>
      </c>
      <c r="DR65" s="97">
        <v>7.8739742999999994E-3</v>
      </c>
      <c r="DS65" s="93">
        <v>103.95408428</v>
      </c>
      <c r="DT65" s="80">
        <v>0.72219114200000001</v>
      </c>
      <c r="DU65" s="80">
        <v>56.034341339999997</v>
      </c>
      <c r="DV65" s="80">
        <v>0.4015523372</v>
      </c>
      <c r="DW65" s="80">
        <v>29.970305829000001</v>
      </c>
      <c r="DX65" s="80">
        <v>0.22175831130000001</v>
      </c>
      <c r="DY65" s="80">
        <v>16.132909614999999</v>
      </c>
      <c r="DZ65" s="80">
        <v>0.1241803486</v>
      </c>
      <c r="EA65" s="80">
        <v>8.8819122025000006</v>
      </c>
      <c r="EB65" s="80">
        <v>7.1940586299999998E-2</v>
      </c>
      <c r="EC65" s="80">
        <v>5.0638284766000004</v>
      </c>
      <c r="ED65" s="80">
        <v>4.3857618700000003E-2</v>
      </c>
      <c r="EE65" s="80">
        <v>3.0297010951000001</v>
      </c>
      <c r="EF65" s="80">
        <v>2.8534055499999999E-2</v>
      </c>
      <c r="EG65" s="80">
        <v>1.8813937639</v>
      </c>
      <c r="EH65" s="80">
        <v>1.9630388799999999E-2</v>
      </c>
      <c r="EI65" s="80">
        <v>1.2187394252999999</v>
      </c>
      <c r="EJ65" s="80">
        <v>1.4298432099999999E-2</v>
      </c>
      <c r="EK65" s="80">
        <v>0.82187285980000002</v>
      </c>
      <c r="EL65" s="94">
        <v>1.0957787700000001E-2</v>
      </c>
    </row>
    <row r="66" spans="1:142" x14ac:dyDescent="0.2">
      <c r="A66" s="79">
        <v>6100</v>
      </c>
      <c r="B66" s="27">
        <v>1244</v>
      </c>
      <c r="C66" s="79">
        <v>2445.1026410999998</v>
      </c>
      <c r="D66" s="27">
        <v>6050.8005989000003</v>
      </c>
      <c r="E66" s="27">
        <v>101.97739300000001</v>
      </c>
      <c r="F66" s="27">
        <v>8.7472751599999995E-2</v>
      </c>
      <c r="G66" s="79">
        <v>9.1987631953999998</v>
      </c>
      <c r="H66" s="27">
        <v>4.2354849999999998E-3</v>
      </c>
      <c r="I66" s="27">
        <v>190.27971047</v>
      </c>
      <c r="J66" s="27">
        <v>1.2693092355</v>
      </c>
      <c r="K66" s="27">
        <v>86.866260409000006</v>
      </c>
      <c r="L66" s="27">
        <v>0.54425280300000001</v>
      </c>
      <c r="M66" s="27">
        <v>27.759664856000001</v>
      </c>
      <c r="N66" s="27">
        <v>0.22348055110000001</v>
      </c>
      <c r="O66" s="80" t="s">
        <v>136</v>
      </c>
      <c r="P66" s="80">
        <v>0</v>
      </c>
      <c r="Q66" s="27">
        <v>43.292875576999997</v>
      </c>
      <c r="R66" s="27">
        <v>6.7655159600000001E-2</v>
      </c>
      <c r="S66" s="80" t="s">
        <v>136</v>
      </c>
      <c r="T66" s="80">
        <v>0</v>
      </c>
      <c r="U66" s="80" t="s">
        <v>136</v>
      </c>
      <c r="V66" s="80">
        <v>0</v>
      </c>
      <c r="W66" s="27">
        <v>0.6376191511</v>
      </c>
      <c r="X66" s="27">
        <v>6.9184533999999999E-3</v>
      </c>
      <c r="Y66" s="27">
        <v>38.567766749</v>
      </c>
      <c r="Z66" s="27">
        <v>0.8330884368</v>
      </c>
      <c r="AA66" s="80" t="s">
        <v>136</v>
      </c>
      <c r="AB66" s="80">
        <v>0</v>
      </c>
      <c r="AC66" s="27">
        <v>0</v>
      </c>
      <c r="AD66" s="27">
        <v>0</v>
      </c>
      <c r="AE66" s="80" t="s">
        <v>136</v>
      </c>
      <c r="AF66" s="80">
        <v>0</v>
      </c>
      <c r="AG66" s="80" t="s">
        <v>136</v>
      </c>
      <c r="AH66" s="80">
        <v>0</v>
      </c>
      <c r="AI66" s="27">
        <f t="shared" si="4"/>
        <v>0</v>
      </c>
      <c r="AJ66" s="27">
        <f t="shared" si="5"/>
        <v>0</v>
      </c>
      <c r="AK66" s="27">
        <v>132.72472248</v>
      </c>
      <c r="AL66" s="27">
        <v>1.7154928417999999</v>
      </c>
      <c r="AM66" s="80" t="s">
        <v>136</v>
      </c>
      <c r="AN66" s="80">
        <v>0</v>
      </c>
      <c r="AO66" s="80" t="s">
        <v>136</v>
      </c>
      <c r="AP66" s="80">
        <v>0</v>
      </c>
      <c r="AQ66" s="80" t="s">
        <v>136</v>
      </c>
      <c r="AR66" s="80">
        <v>0</v>
      </c>
      <c r="AS66" s="27">
        <v>84.072862830999995</v>
      </c>
      <c r="AT66" s="27">
        <v>2.7615130899999998</v>
      </c>
      <c r="AU66" s="27">
        <v>73.866109953999995</v>
      </c>
      <c r="AV66" s="27">
        <v>0.53804519110000004</v>
      </c>
      <c r="AW66" s="27">
        <v>33.351050352000001</v>
      </c>
      <c r="AX66" s="27">
        <v>0.32537447320000001</v>
      </c>
      <c r="AY66" s="27">
        <v>12.642087885</v>
      </c>
      <c r="AZ66" s="27">
        <v>0.1066914855</v>
      </c>
      <c r="BA66" s="80">
        <f t="shared" si="6"/>
        <v>27.872971716999992</v>
      </c>
      <c r="BB66" s="80">
        <f t="shared" si="7"/>
        <v>0.10597923240000001</v>
      </c>
      <c r="BC66" s="27">
        <v>0</v>
      </c>
      <c r="BD66" s="80">
        <v>0</v>
      </c>
      <c r="BE66" s="27">
        <v>200.05066725</v>
      </c>
      <c r="BF66" s="27">
        <v>1.8952674763999999</v>
      </c>
      <c r="BG66" s="79">
        <v>1.03736816E-2</v>
      </c>
      <c r="BH66" s="80">
        <v>0</v>
      </c>
      <c r="BI66" s="27">
        <v>170.18511448999999</v>
      </c>
      <c r="BJ66" s="27">
        <v>5.1437634779000003</v>
      </c>
      <c r="BK66" s="27">
        <v>263.77719107000001</v>
      </c>
      <c r="BL66" s="27">
        <v>1.8966987913</v>
      </c>
      <c r="BM66" s="27">
        <v>70.195995623000002</v>
      </c>
      <c r="BN66" s="27">
        <v>0.33649196170000001</v>
      </c>
      <c r="BO66" s="27">
        <v>0.48249713640000003</v>
      </c>
      <c r="BP66" s="27">
        <v>1.0269070999999999E-3</v>
      </c>
      <c r="BQ66" s="27">
        <v>0</v>
      </c>
      <c r="BR66" s="92">
        <v>0</v>
      </c>
      <c r="BS66" s="80" t="s">
        <v>136</v>
      </c>
      <c r="BT66" s="80">
        <v>0</v>
      </c>
      <c r="BU66" s="79">
        <v>0.59660348119999995</v>
      </c>
      <c r="BV66" s="27">
        <v>6.5583133999999998E-3</v>
      </c>
      <c r="BW66" s="27">
        <v>27.163061375000002</v>
      </c>
      <c r="BX66" s="27">
        <v>0.2169222378</v>
      </c>
      <c r="BY66" s="80" t="s">
        <v>136</v>
      </c>
      <c r="BZ66" s="80">
        <v>0</v>
      </c>
      <c r="CA66" s="80" t="s">
        <v>136</v>
      </c>
      <c r="CB66" s="80">
        <v>0</v>
      </c>
      <c r="CC66" s="27">
        <v>21.191474006</v>
      </c>
      <c r="CD66" s="27">
        <v>1.8817198199999999E-2</v>
      </c>
      <c r="CE66" s="27">
        <v>22.101401571</v>
      </c>
      <c r="CF66" s="92">
        <v>4.8837961399999998E-2</v>
      </c>
      <c r="CG66" s="80" t="s">
        <v>136</v>
      </c>
      <c r="CH66" s="80">
        <v>0</v>
      </c>
      <c r="CI66" s="80" t="s">
        <v>136</v>
      </c>
      <c r="CJ66" s="80">
        <v>0</v>
      </c>
      <c r="CK66" s="80" t="s">
        <v>136</v>
      </c>
      <c r="CL66" s="80">
        <v>0</v>
      </c>
      <c r="CM66" s="80" t="s">
        <v>136</v>
      </c>
      <c r="CN66" s="80">
        <v>0</v>
      </c>
      <c r="CO66" s="79">
        <v>0.13868399919999999</v>
      </c>
      <c r="CP66" s="27">
        <v>1.6910204E-3</v>
      </c>
      <c r="CQ66" s="27">
        <v>0.49893515199999999</v>
      </c>
      <c r="CR66" s="27">
        <v>5.2274330000000001E-3</v>
      </c>
      <c r="CS66" s="27">
        <v>3.3720276001</v>
      </c>
      <c r="CT66" s="27">
        <v>3.6224827799999998E-2</v>
      </c>
      <c r="CU66" s="27">
        <v>35.195739148999998</v>
      </c>
      <c r="CV66" s="92">
        <v>0.79686360899999997</v>
      </c>
      <c r="CW66" s="80" t="s">
        <v>136</v>
      </c>
      <c r="CX66" s="80">
        <v>0</v>
      </c>
      <c r="CY66" s="80" t="s">
        <v>136</v>
      </c>
      <c r="CZ66" s="80">
        <v>0</v>
      </c>
      <c r="DA66" s="79">
        <v>21.992334297999999</v>
      </c>
      <c r="DB66" s="27">
        <v>0.33279432329999997</v>
      </c>
      <c r="DC66" s="27">
        <v>62.080528532999999</v>
      </c>
      <c r="DD66" s="27">
        <v>2.4287187666999999</v>
      </c>
      <c r="DE66" s="27">
        <v>42.120581084999998</v>
      </c>
      <c r="DF66" s="27">
        <v>0.64901589599999998</v>
      </c>
      <c r="DG66" s="27">
        <v>157.93008616</v>
      </c>
      <c r="DH66" s="92">
        <v>1.2462515804000001</v>
      </c>
      <c r="DI66" s="95">
        <v>3.8429864999999998E-3</v>
      </c>
      <c r="DJ66" s="96">
        <v>6.7822270999999996E-3</v>
      </c>
      <c r="DK66" s="96">
        <v>7.6673554E-3</v>
      </c>
      <c r="DL66" s="96">
        <v>7.8439879000000001E-3</v>
      </c>
      <c r="DM66" s="96">
        <v>7.8976745999999997E-3</v>
      </c>
      <c r="DN66" s="96">
        <v>7.9341987000000006E-3</v>
      </c>
      <c r="DO66" s="96">
        <v>7.9515776000000007E-3</v>
      </c>
      <c r="DP66" s="96">
        <v>7.9689565000000007E-3</v>
      </c>
      <c r="DQ66" s="96">
        <v>7.9849354000000004E-3</v>
      </c>
      <c r="DR66" s="97">
        <v>7.9974156000000001E-3</v>
      </c>
      <c r="DS66" s="93">
        <v>104.56119969</v>
      </c>
      <c r="DT66" s="80">
        <v>0.72631733919999997</v>
      </c>
      <c r="DU66" s="80">
        <v>56.484835816</v>
      </c>
      <c r="DV66" s="80">
        <v>0.40466697979999999</v>
      </c>
      <c r="DW66" s="80">
        <v>30.277595607999999</v>
      </c>
      <c r="DX66" s="80">
        <v>0.2239320477</v>
      </c>
      <c r="DY66" s="80">
        <v>16.333145729000002</v>
      </c>
      <c r="DZ66" s="80">
        <v>0.12564021989999999</v>
      </c>
      <c r="EA66" s="80">
        <v>9.0017358356999999</v>
      </c>
      <c r="EB66" s="80">
        <v>7.2860213399999998E-2</v>
      </c>
      <c r="EC66" s="80">
        <v>5.1314420064000004</v>
      </c>
      <c r="ED66" s="80">
        <v>4.4415361E-2</v>
      </c>
      <c r="EE66" s="80">
        <v>3.0660877391999999</v>
      </c>
      <c r="EF66" s="80">
        <v>2.8869352800000001E-2</v>
      </c>
      <c r="EG66" s="80">
        <v>1.9049401201</v>
      </c>
      <c r="EH66" s="80">
        <v>1.98653978E-2</v>
      </c>
      <c r="EI66" s="80">
        <v>1.2336178391999999</v>
      </c>
      <c r="EJ66" s="80">
        <v>1.44660975E-2</v>
      </c>
      <c r="EK66" s="80">
        <v>0.83029562509999999</v>
      </c>
      <c r="EL66" s="94">
        <v>1.1075982700000001E-2</v>
      </c>
    </row>
    <row r="67" spans="1:142" x14ac:dyDescent="0.2">
      <c r="A67" s="79">
        <v>6200</v>
      </c>
      <c r="B67" s="27">
        <v>1194</v>
      </c>
      <c r="C67" s="79">
        <v>2466.1258766999999</v>
      </c>
      <c r="D67" s="27">
        <v>6151.0076786</v>
      </c>
      <c r="E67" s="27">
        <v>103.75421236</v>
      </c>
      <c r="F67" s="27">
        <v>8.8203428599999995E-2</v>
      </c>
      <c r="G67" s="79">
        <v>9.4014116118000004</v>
      </c>
      <c r="H67" s="27">
        <v>4.2978938E-3</v>
      </c>
      <c r="I67" s="27">
        <v>190.91874104999999</v>
      </c>
      <c r="J67" s="27">
        <v>1.2735737479</v>
      </c>
      <c r="K67" s="27">
        <v>87.592367893000002</v>
      </c>
      <c r="L67" s="27">
        <v>0.54809715439999995</v>
      </c>
      <c r="M67" s="27">
        <v>28.031520998000001</v>
      </c>
      <c r="N67" s="27">
        <v>0.22533436649999999</v>
      </c>
      <c r="O67" s="80" t="s">
        <v>136</v>
      </c>
      <c r="P67" s="80">
        <v>0</v>
      </c>
      <c r="Q67" s="27">
        <v>44.222961253999998</v>
      </c>
      <c r="R67" s="27">
        <v>6.8731416399999995E-2</v>
      </c>
      <c r="S67" s="80" t="s">
        <v>136</v>
      </c>
      <c r="T67" s="80">
        <v>0</v>
      </c>
      <c r="U67" s="80" t="s">
        <v>136</v>
      </c>
      <c r="V67" s="80">
        <v>0</v>
      </c>
      <c r="W67" s="27">
        <v>0.66202520470000004</v>
      </c>
      <c r="X67" s="27">
        <v>7.1336246000000001E-3</v>
      </c>
      <c r="Y67" s="27">
        <v>39.125907839</v>
      </c>
      <c r="Z67" s="27">
        <v>0.84406785569999998</v>
      </c>
      <c r="AA67" s="80" t="s">
        <v>136</v>
      </c>
      <c r="AB67" s="80">
        <v>0</v>
      </c>
      <c r="AC67" s="27">
        <v>0</v>
      </c>
      <c r="AD67" s="27">
        <v>0</v>
      </c>
      <c r="AE67" s="80" t="s">
        <v>136</v>
      </c>
      <c r="AF67" s="80">
        <v>0</v>
      </c>
      <c r="AG67" s="80" t="s">
        <v>136</v>
      </c>
      <c r="AH67" s="80">
        <v>0</v>
      </c>
      <c r="AI67" s="27">
        <f t="shared" si="4"/>
        <v>0</v>
      </c>
      <c r="AJ67" s="27">
        <f t="shared" si="5"/>
        <v>0</v>
      </c>
      <c r="AK67" s="27">
        <v>133.57848754</v>
      </c>
      <c r="AL67" s="27">
        <v>1.7223163787</v>
      </c>
      <c r="AM67" s="80" t="s">
        <v>136</v>
      </c>
      <c r="AN67" s="80">
        <v>0</v>
      </c>
      <c r="AO67" s="80" t="s">
        <v>136</v>
      </c>
      <c r="AP67" s="80">
        <v>0</v>
      </c>
      <c r="AQ67" s="80" t="s">
        <v>136</v>
      </c>
      <c r="AR67" s="80">
        <v>0</v>
      </c>
      <c r="AS67" s="27">
        <v>84.780671276000007</v>
      </c>
      <c r="AT67" s="27">
        <v>2.7775957433</v>
      </c>
      <c r="AU67" s="27">
        <v>74.669969485999999</v>
      </c>
      <c r="AV67" s="27">
        <v>0.54230041019999997</v>
      </c>
      <c r="AW67" s="27">
        <v>33.735557929999999</v>
      </c>
      <c r="AX67" s="27">
        <v>0.32817086629999997</v>
      </c>
      <c r="AY67" s="27">
        <v>12.727257607</v>
      </c>
      <c r="AZ67" s="27">
        <v>0.1072060955</v>
      </c>
      <c r="BA67" s="80">
        <f t="shared" si="6"/>
        <v>28.207153949000002</v>
      </c>
      <c r="BB67" s="80">
        <f t="shared" si="7"/>
        <v>0.10692344840000001</v>
      </c>
      <c r="BC67" s="27">
        <v>0</v>
      </c>
      <c r="BD67" s="80">
        <v>0</v>
      </c>
      <c r="BE67" s="27">
        <v>203.14821171</v>
      </c>
      <c r="BF67" s="27">
        <v>1.9104222593</v>
      </c>
      <c r="BG67" s="79">
        <v>1.0479227900000001E-2</v>
      </c>
      <c r="BH67" s="80">
        <v>0</v>
      </c>
      <c r="BI67" s="27">
        <v>171.08872020999999</v>
      </c>
      <c r="BJ67" s="27">
        <v>5.1619256964</v>
      </c>
      <c r="BK67" s="27">
        <v>267.80874267000002</v>
      </c>
      <c r="BL67" s="27">
        <v>1.9228773800000001</v>
      </c>
      <c r="BM67" s="27">
        <v>70.992682115999997</v>
      </c>
      <c r="BN67" s="27">
        <v>0.33945365659999999</v>
      </c>
      <c r="BO67" s="27">
        <v>0.4803167008</v>
      </c>
      <c r="BP67" s="27">
        <v>1.0230469E-3</v>
      </c>
      <c r="BQ67" s="27">
        <v>0</v>
      </c>
      <c r="BR67" s="92">
        <v>0</v>
      </c>
      <c r="BS67" s="80" t="s">
        <v>136</v>
      </c>
      <c r="BT67" s="80">
        <v>0</v>
      </c>
      <c r="BU67" s="79">
        <v>0.60236091940000003</v>
      </c>
      <c r="BV67" s="27">
        <v>6.6523212000000002E-3</v>
      </c>
      <c r="BW67" s="27">
        <v>27.429160078999999</v>
      </c>
      <c r="BX67" s="27">
        <v>0.21868204529999999</v>
      </c>
      <c r="BY67" s="80" t="s">
        <v>136</v>
      </c>
      <c r="BZ67" s="80">
        <v>0</v>
      </c>
      <c r="CA67" s="80" t="s">
        <v>136</v>
      </c>
      <c r="CB67" s="80">
        <v>0</v>
      </c>
      <c r="CC67" s="27">
        <v>21.765098421000001</v>
      </c>
      <c r="CD67" s="27">
        <v>1.91827964E-2</v>
      </c>
      <c r="CE67" s="27">
        <v>22.457862833</v>
      </c>
      <c r="CF67" s="92">
        <v>4.95486199E-2</v>
      </c>
      <c r="CG67" s="80" t="s">
        <v>136</v>
      </c>
      <c r="CH67" s="80">
        <v>0</v>
      </c>
      <c r="CI67" s="80" t="s">
        <v>136</v>
      </c>
      <c r="CJ67" s="80">
        <v>0</v>
      </c>
      <c r="CK67" s="80" t="s">
        <v>136</v>
      </c>
      <c r="CL67" s="80">
        <v>0</v>
      </c>
      <c r="CM67" s="80" t="s">
        <v>136</v>
      </c>
      <c r="CN67" s="80">
        <v>0</v>
      </c>
      <c r="CO67" s="79">
        <v>0.1413200365</v>
      </c>
      <c r="CP67" s="27">
        <v>1.7193673E-3</v>
      </c>
      <c r="CQ67" s="27">
        <v>0.52070516820000001</v>
      </c>
      <c r="CR67" s="27">
        <v>5.4142573000000001E-3</v>
      </c>
      <c r="CS67" s="27">
        <v>3.4315833163999998</v>
      </c>
      <c r="CT67" s="27">
        <v>3.6621252700000002E-2</v>
      </c>
      <c r="CU67" s="27">
        <v>35.694324522999999</v>
      </c>
      <c r="CV67" s="92">
        <v>0.80744660300000004</v>
      </c>
      <c r="CW67" s="80" t="s">
        <v>136</v>
      </c>
      <c r="CX67" s="80">
        <v>0</v>
      </c>
      <c r="CY67" s="80" t="s">
        <v>136</v>
      </c>
      <c r="CZ67" s="80">
        <v>0</v>
      </c>
      <c r="DA67" s="79">
        <v>22.236857699000002</v>
      </c>
      <c r="DB67" s="27">
        <v>0.33562503380000003</v>
      </c>
      <c r="DC67" s="27">
        <v>62.543813575999998</v>
      </c>
      <c r="DD67" s="27">
        <v>2.4419707094000001</v>
      </c>
      <c r="DE67" s="27">
        <v>43.336485107000001</v>
      </c>
      <c r="DF67" s="27">
        <v>0.65635218009999996</v>
      </c>
      <c r="DG67" s="27">
        <v>159.81172659999999</v>
      </c>
      <c r="DH67" s="92">
        <v>1.2540700791999999</v>
      </c>
      <c r="DI67" s="95">
        <v>3.9045830000000001E-3</v>
      </c>
      <c r="DJ67" s="96">
        <v>6.8808758000000001E-3</v>
      </c>
      <c r="DK67" s="96">
        <v>7.7737357000000002E-3</v>
      </c>
      <c r="DL67" s="96">
        <v>7.9527344999999992E-3</v>
      </c>
      <c r="DM67" s="96">
        <v>8.0062986999999992E-3</v>
      </c>
      <c r="DN67" s="96">
        <v>8.0427395999999995E-3</v>
      </c>
      <c r="DO67" s="96">
        <v>8.0600759999999994E-3</v>
      </c>
      <c r="DP67" s="96">
        <v>8.0774122999999996E-3</v>
      </c>
      <c r="DQ67" s="96">
        <v>8.0933511999999996E-3</v>
      </c>
      <c r="DR67" s="97">
        <v>8.1058046000000005E-3</v>
      </c>
      <c r="DS67" s="93">
        <v>105.08167364000001</v>
      </c>
      <c r="DT67" s="80">
        <v>0.72985434419999995</v>
      </c>
      <c r="DU67" s="80">
        <v>56.872755247000001</v>
      </c>
      <c r="DV67" s="80">
        <v>0.40737270149999999</v>
      </c>
      <c r="DW67" s="80">
        <v>30.556919959999998</v>
      </c>
      <c r="DX67" s="80">
        <v>0.2259198727</v>
      </c>
      <c r="DY67" s="80">
        <v>16.528125706000001</v>
      </c>
      <c r="DZ67" s="80">
        <v>0.12706734859999999</v>
      </c>
      <c r="EA67" s="80">
        <v>9.1290671391</v>
      </c>
      <c r="EB67" s="80">
        <v>7.3840912499999994E-2</v>
      </c>
      <c r="EC67" s="80">
        <v>5.2146962552999998</v>
      </c>
      <c r="ED67" s="80">
        <v>4.5098119999999998E-2</v>
      </c>
      <c r="EE67" s="80">
        <v>3.1197119524999999</v>
      </c>
      <c r="EF67" s="80">
        <v>2.9351006200000002E-2</v>
      </c>
      <c r="EG67" s="80">
        <v>1.9403905073000001</v>
      </c>
      <c r="EH67" s="80">
        <v>2.0218255399999999E-2</v>
      </c>
      <c r="EI67" s="80">
        <v>1.2601170198</v>
      </c>
      <c r="EJ67" s="80">
        <v>1.4751873699999999E-2</v>
      </c>
      <c r="EK67" s="80">
        <v>0.84901655350000005</v>
      </c>
      <c r="EL67" s="94">
        <v>1.13018445E-2</v>
      </c>
    </row>
    <row r="68" spans="1:142" x14ac:dyDescent="0.2">
      <c r="A68" s="79">
        <v>6300</v>
      </c>
      <c r="B68" s="27">
        <v>1129</v>
      </c>
      <c r="C68" s="79">
        <v>2486.6749015999999</v>
      </c>
      <c r="D68" s="27">
        <v>6249.9791716</v>
      </c>
      <c r="E68" s="27">
        <v>105.30667404</v>
      </c>
      <c r="F68" s="27">
        <v>8.8809319299999995E-2</v>
      </c>
      <c r="G68" s="79">
        <v>9.6299091506999996</v>
      </c>
      <c r="H68" s="27">
        <v>4.3522287999999999E-3</v>
      </c>
      <c r="I68" s="27">
        <v>191.6134495</v>
      </c>
      <c r="J68" s="27">
        <v>1.278121281</v>
      </c>
      <c r="K68" s="27">
        <v>88.260515084000005</v>
      </c>
      <c r="L68" s="27">
        <v>0.55187863029999995</v>
      </c>
      <c r="M68" s="27">
        <v>28.347150540000001</v>
      </c>
      <c r="N68" s="27">
        <v>0.22770799550000001</v>
      </c>
      <c r="O68" s="80" t="s">
        <v>136</v>
      </c>
      <c r="P68" s="80">
        <v>0</v>
      </c>
      <c r="Q68" s="27">
        <v>45.091956089999996</v>
      </c>
      <c r="R68" s="27">
        <v>6.9817259300000004E-2</v>
      </c>
      <c r="S68" s="80" t="s">
        <v>136</v>
      </c>
      <c r="T68" s="80">
        <v>0</v>
      </c>
      <c r="U68" s="80" t="s">
        <v>136</v>
      </c>
      <c r="V68" s="80">
        <v>0</v>
      </c>
      <c r="W68" s="27">
        <v>0.68053281460000004</v>
      </c>
      <c r="X68" s="27">
        <v>7.3384903999999997E-3</v>
      </c>
      <c r="Y68" s="27">
        <v>39.587185576000003</v>
      </c>
      <c r="Z68" s="27">
        <v>0.85243331509999998</v>
      </c>
      <c r="AA68" s="80" t="s">
        <v>136</v>
      </c>
      <c r="AB68" s="80">
        <v>0</v>
      </c>
      <c r="AC68" s="27">
        <v>0</v>
      </c>
      <c r="AD68" s="27">
        <v>0</v>
      </c>
      <c r="AE68" s="80" t="s">
        <v>136</v>
      </c>
      <c r="AF68" s="80">
        <v>0</v>
      </c>
      <c r="AG68" s="80" t="s">
        <v>136</v>
      </c>
      <c r="AH68" s="80">
        <v>0</v>
      </c>
      <c r="AI68" s="27">
        <f t="shared" si="4"/>
        <v>0</v>
      </c>
      <c r="AJ68" s="27">
        <f t="shared" si="5"/>
        <v>0</v>
      </c>
      <c r="AK68" s="27">
        <v>134.50745345999999</v>
      </c>
      <c r="AL68" s="27">
        <v>1.7287865535</v>
      </c>
      <c r="AM68" s="80" t="s">
        <v>136</v>
      </c>
      <c r="AN68" s="80">
        <v>0</v>
      </c>
      <c r="AO68" s="80" t="s">
        <v>136</v>
      </c>
      <c r="AP68" s="80">
        <v>0</v>
      </c>
      <c r="AQ68" s="80" t="s">
        <v>136</v>
      </c>
      <c r="AR68" s="80">
        <v>0</v>
      </c>
      <c r="AS68" s="27">
        <v>85.585675103</v>
      </c>
      <c r="AT68" s="27">
        <v>2.7942356643999999</v>
      </c>
      <c r="AU68" s="27">
        <v>75.544268235999994</v>
      </c>
      <c r="AV68" s="27">
        <v>0.54661908889999999</v>
      </c>
      <c r="AW68" s="27">
        <v>34.121102282000003</v>
      </c>
      <c r="AX68" s="27">
        <v>0.33105186930000002</v>
      </c>
      <c r="AY68" s="27">
        <v>12.830008649</v>
      </c>
      <c r="AZ68" s="27">
        <v>0.1077457809</v>
      </c>
      <c r="BA68" s="80">
        <f t="shared" si="6"/>
        <v>28.593157304999991</v>
      </c>
      <c r="BB68" s="80">
        <f t="shared" si="7"/>
        <v>0.10782143869999994</v>
      </c>
      <c r="BC68" s="27">
        <v>0</v>
      </c>
      <c r="BD68" s="80">
        <v>0</v>
      </c>
      <c r="BE68" s="27">
        <v>206.35559509999999</v>
      </c>
      <c r="BF68" s="27">
        <v>1.9259318326999999</v>
      </c>
      <c r="BG68" s="79">
        <v>1.0586926599999999E-2</v>
      </c>
      <c r="BH68" s="80">
        <v>0</v>
      </c>
      <c r="BI68" s="27">
        <v>172.13481519000001</v>
      </c>
      <c r="BJ68" s="27">
        <v>5.1807680537999996</v>
      </c>
      <c r="BK68" s="27">
        <v>271.38020625000001</v>
      </c>
      <c r="BL68" s="27">
        <v>1.9454388958</v>
      </c>
      <c r="BM68" s="27">
        <v>71.839534279999995</v>
      </c>
      <c r="BN68" s="27">
        <v>0.34231070330000002</v>
      </c>
      <c r="BO68" s="27">
        <v>0.50421513809999996</v>
      </c>
      <c r="BP68" s="27">
        <v>1.0502611000000001E-3</v>
      </c>
      <c r="BQ68" s="27">
        <v>0</v>
      </c>
      <c r="BR68" s="92">
        <v>0</v>
      </c>
      <c r="BS68" s="80" t="s">
        <v>136</v>
      </c>
      <c r="BT68" s="80">
        <v>0</v>
      </c>
      <c r="BU68" s="79">
        <v>0.60644003889999998</v>
      </c>
      <c r="BV68" s="27">
        <v>6.6699938000000002E-3</v>
      </c>
      <c r="BW68" s="27">
        <v>27.740710500999999</v>
      </c>
      <c r="BX68" s="27">
        <v>0.22103800179999999</v>
      </c>
      <c r="BY68" s="80" t="s">
        <v>136</v>
      </c>
      <c r="BZ68" s="80">
        <v>0</v>
      </c>
      <c r="CA68" s="80" t="s">
        <v>136</v>
      </c>
      <c r="CB68" s="80">
        <v>0</v>
      </c>
      <c r="CC68" s="27">
        <v>22.313410504</v>
      </c>
      <c r="CD68" s="27">
        <v>1.9553072800000001E-2</v>
      </c>
      <c r="CE68" s="27">
        <v>22.778545587</v>
      </c>
      <c r="CF68" s="92">
        <v>5.0264186500000002E-2</v>
      </c>
      <c r="CG68" s="80" t="s">
        <v>136</v>
      </c>
      <c r="CH68" s="80">
        <v>0</v>
      </c>
      <c r="CI68" s="80" t="s">
        <v>136</v>
      </c>
      <c r="CJ68" s="80">
        <v>0</v>
      </c>
      <c r="CK68" s="80" t="s">
        <v>136</v>
      </c>
      <c r="CL68" s="80">
        <v>0</v>
      </c>
      <c r="CM68" s="80" t="s">
        <v>136</v>
      </c>
      <c r="CN68" s="80">
        <v>0</v>
      </c>
      <c r="CO68" s="79">
        <v>0.1515657634</v>
      </c>
      <c r="CP68" s="27">
        <v>1.8016327999999999E-3</v>
      </c>
      <c r="CQ68" s="27">
        <v>0.52896705119999998</v>
      </c>
      <c r="CR68" s="27">
        <v>5.5368576000000003E-3</v>
      </c>
      <c r="CS68" s="27">
        <v>3.4990652562000002</v>
      </c>
      <c r="CT68" s="27">
        <v>3.7173022899999998E-2</v>
      </c>
      <c r="CU68" s="27">
        <v>36.088120320000002</v>
      </c>
      <c r="CV68" s="92">
        <v>0.81526029229999997</v>
      </c>
      <c r="CW68" s="80" t="s">
        <v>136</v>
      </c>
      <c r="CX68" s="80">
        <v>0</v>
      </c>
      <c r="CY68" s="80" t="s">
        <v>136</v>
      </c>
      <c r="CZ68" s="80">
        <v>0</v>
      </c>
      <c r="DA68" s="79">
        <v>22.451749119999999</v>
      </c>
      <c r="DB68" s="27">
        <v>0.33799659520000003</v>
      </c>
      <c r="DC68" s="27">
        <v>63.133925982000001</v>
      </c>
      <c r="DD68" s="27">
        <v>2.4562390692</v>
      </c>
      <c r="DE68" s="27">
        <v>44.590120720000002</v>
      </c>
      <c r="DF68" s="27">
        <v>0.66327930999999996</v>
      </c>
      <c r="DG68" s="27">
        <v>161.76547438</v>
      </c>
      <c r="DH68" s="92">
        <v>1.2626525226</v>
      </c>
      <c r="DI68" s="95">
        <v>3.9564424999999999E-3</v>
      </c>
      <c r="DJ68" s="96">
        <v>6.9725558000000003E-3</v>
      </c>
      <c r="DK68" s="96">
        <v>7.8782867000000006E-3</v>
      </c>
      <c r="DL68" s="96">
        <v>8.0648908000000002E-3</v>
      </c>
      <c r="DM68" s="96">
        <v>8.1183330999999997E-3</v>
      </c>
      <c r="DN68" s="96">
        <v>8.1546923000000004E-3</v>
      </c>
      <c r="DO68" s="96">
        <v>8.1719843000000007E-3</v>
      </c>
      <c r="DP68" s="96">
        <v>8.1892764000000007E-3</v>
      </c>
      <c r="DQ68" s="96">
        <v>8.2051732000000006E-3</v>
      </c>
      <c r="DR68" s="97">
        <v>8.2175982000000005E-3</v>
      </c>
      <c r="DS68" s="93">
        <v>105.66332835999999</v>
      </c>
      <c r="DT68" s="80">
        <v>0.73368356889999997</v>
      </c>
      <c r="DU68" s="80">
        <v>57.310976621000002</v>
      </c>
      <c r="DV68" s="80">
        <v>0.41029936979999998</v>
      </c>
      <c r="DW68" s="80">
        <v>30.859708865999998</v>
      </c>
      <c r="DX68" s="80">
        <v>0.2279913539</v>
      </c>
      <c r="DY68" s="80">
        <v>16.725689789</v>
      </c>
      <c r="DZ68" s="80">
        <v>0.12845453439999999</v>
      </c>
      <c r="EA68" s="80">
        <v>9.261673965</v>
      </c>
      <c r="EB68" s="80">
        <v>7.4784439199999997E-2</v>
      </c>
      <c r="EC68" s="80">
        <v>5.3033945322999996</v>
      </c>
      <c r="ED68" s="80">
        <v>4.57497849E-2</v>
      </c>
      <c r="EE68" s="80">
        <v>3.1770108959000001</v>
      </c>
      <c r="EF68" s="80">
        <v>2.97898399E-2</v>
      </c>
      <c r="EG68" s="80">
        <v>1.9782352335</v>
      </c>
      <c r="EH68" s="80">
        <v>2.0520281000000001E-2</v>
      </c>
      <c r="EI68" s="80">
        <v>1.2845072196</v>
      </c>
      <c r="EJ68" s="80">
        <v>1.49522796E-2</v>
      </c>
      <c r="EK68" s="80">
        <v>0.86508750560000003</v>
      </c>
      <c r="EL68" s="94">
        <v>1.14396914E-2</v>
      </c>
    </row>
    <row r="69" spans="1:142" x14ac:dyDescent="0.2">
      <c r="A69" s="79">
        <v>6400</v>
      </c>
      <c r="B69" s="27">
        <v>1189</v>
      </c>
      <c r="C69" s="79">
        <v>2507.0832693000002</v>
      </c>
      <c r="D69" s="27">
        <v>6350.4031514999997</v>
      </c>
      <c r="E69" s="27">
        <v>107.01163918</v>
      </c>
      <c r="F69" s="27">
        <v>8.9443763999999995E-2</v>
      </c>
      <c r="G69" s="79">
        <v>9.8139895426999999</v>
      </c>
      <c r="H69" s="27">
        <v>4.3994231999999996E-3</v>
      </c>
      <c r="I69" s="27">
        <v>192.32459152999999</v>
      </c>
      <c r="J69" s="27">
        <v>1.2827744920999999</v>
      </c>
      <c r="K69" s="27">
        <v>88.960359959000002</v>
      </c>
      <c r="L69" s="27">
        <v>0.55628307099999996</v>
      </c>
      <c r="M69" s="27">
        <v>28.606874027</v>
      </c>
      <c r="N69" s="27">
        <v>0.22962742920000001</v>
      </c>
      <c r="O69" s="80" t="s">
        <v>136</v>
      </c>
      <c r="P69" s="80">
        <v>0</v>
      </c>
      <c r="Q69" s="27">
        <v>46.076724693999999</v>
      </c>
      <c r="R69" s="27">
        <v>7.1113306099999996E-2</v>
      </c>
      <c r="S69" s="80" t="s">
        <v>136</v>
      </c>
      <c r="T69" s="80">
        <v>0</v>
      </c>
      <c r="U69" s="80" t="s">
        <v>136</v>
      </c>
      <c r="V69" s="80">
        <v>0</v>
      </c>
      <c r="W69" s="27">
        <v>0.68831340279999997</v>
      </c>
      <c r="X69" s="27">
        <v>7.4147869000000003E-3</v>
      </c>
      <c r="Y69" s="27">
        <v>40.302954237999998</v>
      </c>
      <c r="Z69" s="27">
        <v>0.86699802930000003</v>
      </c>
      <c r="AA69" s="80" t="s">
        <v>136</v>
      </c>
      <c r="AB69" s="80">
        <v>0</v>
      </c>
      <c r="AC69" s="27">
        <v>0</v>
      </c>
      <c r="AD69" s="27">
        <v>0</v>
      </c>
      <c r="AE69" s="80" t="s">
        <v>136</v>
      </c>
      <c r="AF69" s="80">
        <v>0</v>
      </c>
      <c r="AG69" s="80" t="s">
        <v>136</v>
      </c>
      <c r="AH69" s="80">
        <v>0</v>
      </c>
      <c r="AI69" s="27">
        <f t="shared" ref="AI69:AI88" si="8">AC69</f>
        <v>0</v>
      </c>
      <c r="AJ69" s="27">
        <f t="shared" ref="AJ69:AJ88" si="9">AD69</f>
        <v>0</v>
      </c>
      <c r="AK69" s="27">
        <v>135.2911355</v>
      </c>
      <c r="AL69" s="27">
        <v>1.7356324286</v>
      </c>
      <c r="AM69" s="80" t="s">
        <v>136</v>
      </c>
      <c r="AN69" s="80">
        <v>0</v>
      </c>
      <c r="AO69" s="80" t="s">
        <v>136</v>
      </c>
      <c r="AP69" s="80">
        <v>0</v>
      </c>
      <c r="AQ69" s="80" t="s">
        <v>136</v>
      </c>
      <c r="AR69" s="80">
        <v>0</v>
      </c>
      <c r="AS69" s="27">
        <v>86.326513016000007</v>
      </c>
      <c r="AT69" s="27">
        <v>2.8105689959000002</v>
      </c>
      <c r="AU69" s="27">
        <v>76.394037108000006</v>
      </c>
      <c r="AV69" s="27">
        <v>0.55106507059999998</v>
      </c>
      <c r="AW69" s="27">
        <v>34.470571782999997</v>
      </c>
      <c r="AX69" s="27">
        <v>0.33377139690000002</v>
      </c>
      <c r="AY69" s="27">
        <v>12.942499079999999</v>
      </c>
      <c r="AZ69" s="27">
        <v>0.1084049624</v>
      </c>
      <c r="BA69" s="80">
        <f t="shared" si="6"/>
        <v>28.980966245000012</v>
      </c>
      <c r="BB69" s="80">
        <f t="shared" si="7"/>
        <v>0.1088887113</v>
      </c>
      <c r="BC69" s="27">
        <v>0</v>
      </c>
      <c r="BD69" s="80">
        <v>0</v>
      </c>
      <c r="BE69" s="27">
        <v>209.92523953</v>
      </c>
      <c r="BF69" s="27">
        <v>1.9428222393000001</v>
      </c>
      <c r="BG69" s="79">
        <v>1.0694222200000001E-2</v>
      </c>
      <c r="BH69" s="80">
        <v>0</v>
      </c>
      <c r="BI69" s="27">
        <v>173.08229657000001</v>
      </c>
      <c r="BJ69" s="27">
        <v>5.2001841430000004</v>
      </c>
      <c r="BK69" s="27">
        <v>275.39573178000001</v>
      </c>
      <c r="BL69" s="27">
        <v>1.9709622625000001</v>
      </c>
      <c r="BM69" s="27">
        <v>72.532547726000004</v>
      </c>
      <c r="BN69" s="27">
        <v>0.34482357489999999</v>
      </c>
      <c r="BO69" s="27">
        <v>0.50340415189999999</v>
      </c>
      <c r="BP69" s="27">
        <v>1.0570525999999999E-3</v>
      </c>
      <c r="BQ69" s="27">
        <v>0</v>
      </c>
      <c r="BR69" s="92">
        <v>0</v>
      </c>
      <c r="BS69" s="80" t="s">
        <v>136</v>
      </c>
      <c r="BT69" s="80">
        <v>0</v>
      </c>
      <c r="BU69" s="79">
        <v>0.61479637649999996</v>
      </c>
      <c r="BV69" s="27">
        <v>6.7450497000000002E-3</v>
      </c>
      <c r="BW69" s="27">
        <v>27.992077650999999</v>
      </c>
      <c r="BX69" s="27">
        <v>0.22288237950000001</v>
      </c>
      <c r="BY69" s="80" t="s">
        <v>136</v>
      </c>
      <c r="BZ69" s="80">
        <v>0</v>
      </c>
      <c r="CA69" s="80" t="s">
        <v>136</v>
      </c>
      <c r="CB69" s="80">
        <v>0</v>
      </c>
      <c r="CC69" s="27">
        <v>22.884784890999999</v>
      </c>
      <c r="CD69" s="27">
        <v>1.9953658199999998E-2</v>
      </c>
      <c r="CE69" s="27">
        <v>23.191939803</v>
      </c>
      <c r="CF69" s="92">
        <v>5.1159647900000001E-2</v>
      </c>
      <c r="CG69" s="80" t="s">
        <v>136</v>
      </c>
      <c r="CH69" s="80">
        <v>0</v>
      </c>
      <c r="CI69" s="80" t="s">
        <v>136</v>
      </c>
      <c r="CJ69" s="80">
        <v>0</v>
      </c>
      <c r="CK69" s="80" t="s">
        <v>136</v>
      </c>
      <c r="CL69" s="80">
        <v>0</v>
      </c>
      <c r="CM69" s="80" t="s">
        <v>136</v>
      </c>
      <c r="CN69" s="80">
        <v>0</v>
      </c>
      <c r="CO69" s="79">
        <v>0.15118145890000001</v>
      </c>
      <c r="CP69" s="27">
        <v>1.7971661E-3</v>
      </c>
      <c r="CQ69" s="27">
        <v>0.53713194399999997</v>
      </c>
      <c r="CR69" s="27">
        <v>5.6176207999999997E-3</v>
      </c>
      <c r="CS69" s="27">
        <v>3.5524992876999999</v>
      </c>
      <c r="CT69" s="27">
        <v>3.76982737E-2</v>
      </c>
      <c r="CU69" s="27">
        <v>36.750454951000002</v>
      </c>
      <c r="CV69" s="92">
        <v>0.82929975560000002</v>
      </c>
      <c r="CW69" s="80" t="s">
        <v>136</v>
      </c>
      <c r="CX69" s="80">
        <v>0</v>
      </c>
      <c r="CY69" s="80" t="s">
        <v>136</v>
      </c>
      <c r="CZ69" s="80">
        <v>0</v>
      </c>
      <c r="DA69" s="79">
        <v>22.668430662999999</v>
      </c>
      <c r="DB69" s="27">
        <v>0.34043280180000002</v>
      </c>
      <c r="DC69" s="27">
        <v>63.658082352000001</v>
      </c>
      <c r="DD69" s="27">
        <v>2.4701361940000002</v>
      </c>
      <c r="DE69" s="27">
        <v>46.021140991000003</v>
      </c>
      <c r="DF69" s="27">
        <v>0.67090083060000005</v>
      </c>
      <c r="DG69" s="27">
        <v>163.90409854000001</v>
      </c>
      <c r="DH69" s="92">
        <v>1.2719214086999999</v>
      </c>
      <c r="DI69" s="95">
        <v>4.0042580000000001E-3</v>
      </c>
      <c r="DJ69" s="96">
        <v>7.0504258000000002E-3</v>
      </c>
      <c r="DK69" s="96">
        <v>7.9636392000000007E-3</v>
      </c>
      <c r="DL69" s="96">
        <v>8.1548231999999995E-3</v>
      </c>
      <c r="DM69" s="96">
        <v>8.2115986999999994E-3</v>
      </c>
      <c r="DN69" s="96">
        <v>8.2513290999999996E-3</v>
      </c>
      <c r="DO69" s="96">
        <v>8.2720300999999993E-3</v>
      </c>
      <c r="DP69" s="96">
        <v>8.2927312000000003E-3</v>
      </c>
      <c r="DQ69" s="96">
        <v>8.3120395E-3</v>
      </c>
      <c r="DR69" s="97">
        <v>8.3278915999999998E-3</v>
      </c>
      <c r="DS69" s="93">
        <v>106.25323659</v>
      </c>
      <c r="DT69" s="80">
        <v>0.73755366649999998</v>
      </c>
      <c r="DU69" s="80">
        <v>57.748473851999996</v>
      </c>
      <c r="DV69" s="80">
        <v>0.41320635929999999</v>
      </c>
      <c r="DW69" s="80">
        <v>31.160742812999999</v>
      </c>
      <c r="DX69" s="80">
        <v>0.23002392690000001</v>
      </c>
      <c r="DY69" s="80">
        <v>16.933638547000001</v>
      </c>
      <c r="DZ69" s="80">
        <v>0.12987102119999999</v>
      </c>
      <c r="EA69" s="80">
        <v>9.3988185472999994</v>
      </c>
      <c r="EB69" s="80">
        <v>7.5740590699999999E-2</v>
      </c>
      <c r="EC69" s="80">
        <v>5.3945810515000003</v>
      </c>
      <c r="ED69" s="80">
        <v>4.6406657099999998E-2</v>
      </c>
      <c r="EE69" s="80">
        <v>3.2384161339999999</v>
      </c>
      <c r="EF69" s="80">
        <v>3.02522E-2</v>
      </c>
      <c r="EG69" s="80">
        <v>2.0220720415</v>
      </c>
      <c r="EH69" s="80">
        <v>2.0860025000000001E-2</v>
      </c>
      <c r="EI69" s="80">
        <v>1.3160275498</v>
      </c>
      <c r="EJ69" s="80">
        <v>1.5208618300000001E-2</v>
      </c>
      <c r="EK69" s="80">
        <v>0.8877908592</v>
      </c>
      <c r="EL69" s="94">
        <v>1.16357687E-2</v>
      </c>
    </row>
    <row r="70" spans="1:142" x14ac:dyDescent="0.2">
      <c r="A70" s="79">
        <v>6500</v>
      </c>
      <c r="B70" s="27">
        <v>1114</v>
      </c>
      <c r="C70" s="79">
        <v>2527.0055748</v>
      </c>
      <c r="D70" s="27">
        <v>6450.0282871999998</v>
      </c>
      <c r="E70" s="27">
        <v>108.47552696</v>
      </c>
      <c r="F70" s="27">
        <v>9.0103297700000001E-2</v>
      </c>
      <c r="G70" s="79">
        <v>10.118298454</v>
      </c>
      <c r="H70" s="27">
        <v>4.4634643E-3</v>
      </c>
      <c r="I70" s="27">
        <v>193.01087652999999</v>
      </c>
      <c r="J70" s="27">
        <v>1.2873333737999999</v>
      </c>
      <c r="K70" s="27">
        <v>89.609682610999997</v>
      </c>
      <c r="L70" s="27">
        <v>0.56048296310000001</v>
      </c>
      <c r="M70" s="27">
        <v>28.913588091000001</v>
      </c>
      <c r="N70" s="27">
        <v>0.2317749271</v>
      </c>
      <c r="O70" s="80" t="s">
        <v>136</v>
      </c>
      <c r="P70" s="80">
        <v>0</v>
      </c>
      <c r="Q70" s="27">
        <v>46.867271844999998</v>
      </c>
      <c r="R70" s="27">
        <v>7.2071021999999998E-2</v>
      </c>
      <c r="S70" s="80" t="s">
        <v>136</v>
      </c>
      <c r="T70" s="80">
        <v>0</v>
      </c>
      <c r="U70" s="80" t="s">
        <v>136</v>
      </c>
      <c r="V70" s="80">
        <v>0</v>
      </c>
      <c r="W70" s="27">
        <v>0.68928388959999998</v>
      </c>
      <c r="X70" s="27">
        <v>7.4365406000000004E-3</v>
      </c>
      <c r="Y70" s="27">
        <v>40.887559121999999</v>
      </c>
      <c r="Z70" s="27">
        <v>0.87667780559999997</v>
      </c>
      <c r="AA70" s="80" t="s">
        <v>136</v>
      </c>
      <c r="AB70" s="80">
        <v>0</v>
      </c>
      <c r="AC70" s="27">
        <v>0</v>
      </c>
      <c r="AD70" s="27">
        <v>0</v>
      </c>
      <c r="AE70" s="80" t="s">
        <v>136</v>
      </c>
      <c r="AF70" s="80">
        <v>0</v>
      </c>
      <c r="AG70" s="80" t="s">
        <v>136</v>
      </c>
      <c r="AH70" s="80">
        <v>0</v>
      </c>
      <c r="AI70" s="27">
        <f t="shared" si="8"/>
        <v>0</v>
      </c>
      <c r="AJ70" s="27">
        <f t="shared" si="9"/>
        <v>0</v>
      </c>
      <c r="AK70" s="27">
        <v>136.17492197000001</v>
      </c>
      <c r="AL70" s="27">
        <v>1.7420162051000001</v>
      </c>
      <c r="AM70" s="80" t="s">
        <v>136</v>
      </c>
      <c r="AN70" s="80">
        <v>0</v>
      </c>
      <c r="AO70" s="80" t="s">
        <v>136</v>
      </c>
      <c r="AP70" s="80">
        <v>0</v>
      </c>
      <c r="AQ70" s="80" t="s">
        <v>136</v>
      </c>
      <c r="AR70" s="80">
        <v>0</v>
      </c>
      <c r="AS70" s="27">
        <v>87.004372007000001</v>
      </c>
      <c r="AT70" s="27">
        <v>2.8256387005999999</v>
      </c>
      <c r="AU70" s="27">
        <v>77.132582485</v>
      </c>
      <c r="AV70" s="27">
        <v>0.55509807700000002</v>
      </c>
      <c r="AW70" s="27">
        <v>34.789214483999999</v>
      </c>
      <c r="AX70" s="27">
        <v>0.33630871470000001</v>
      </c>
      <c r="AY70" s="27">
        <v>13.040125358999999</v>
      </c>
      <c r="AZ70" s="27">
        <v>0.1089204916</v>
      </c>
      <c r="BA70" s="80">
        <f t="shared" ref="BA70:BA88" si="10">AU70-(AW70+AY70)</f>
        <v>29.303242642000001</v>
      </c>
      <c r="BB70" s="80">
        <f t="shared" ref="BB70:BB88" si="11">AV70-(AX70+AZ70)</f>
        <v>0.10986887070000001</v>
      </c>
      <c r="BC70" s="27">
        <v>0</v>
      </c>
      <c r="BD70" s="80">
        <v>0</v>
      </c>
      <c r="BE70" s="27">
        <v>213.07334345000001</v>
      </c>
      <c r="BF70" s="27">
        <v>1.9579475662000001</v>
      </c>
      <c r="BG70" s="79">
        <v>1.08055467E-2</v>
      </c>
      <c r="BH70" s="80">
        <v>0</v>
      </c>
      <c r="BI70" s="27">
        <v>174.00951821000001</v>
      </c>
      <c r="BJ70" s="27">
        <v>5.2178981861000002</v>
      </c>
      <c r="BK70" s="27">
        <v>279.41504087999999</v>
      </c>
      <c r="BL70" s="27">
        <v>1.9970224018</v>
      </c>
      <c r="BM70" s="27">
        <v>73.395970511000002</v>
      </c>
      <c r="BN70" s="27">
        <v>0.34803678069999999</v>
      </c>
      <c r="BO70" s="27">
        <v>0.50122126970000003</v>
      </c>
      <c r="BP70" s="27">
        <v>1.0533227E-3</v>
      </c>
      <c r="BQ70" s="27">
        <v>0</v>
      </c>
      <c r="BR70" s="92">
        <v>0</v>
      </c>
      <c r="BS70" s="80" t="s">
        <v>136</v>
      </c>
      <c r="BT70" s="80">
        <v>0</v>
      </c>
      <c r="BU70" s="79">
        <v>0.61828757010000002</v>
      </c>
      <c r="BV70" s="27">
        <v>6.7636878000000003E-3</v>
      </c>
      <c r="BW70" s="27">
        <v>28.295300521000001</v>
      </c>
      <c r="BX70" s="27">
        <v>0.2250112393</v>
      </c>
      <c r="BY70" s="80" t="s">
        <v>136</v>
      </c>
      <c r="BZ70" s="80">
        <v>0</v>
      </c>
      <c r="CA70" s="80" t="s">
        <v>136</v>
      </c>
      <c r="CB70" s="80">
        <v>0</v>
      </c>
      <c r="CC70" s="27">
        <v>23.333060716999999</v>
      </c>
      <c r="CD70" s="27">
        <v>2.0223551400000001E-2</v>
      </c>
      <c r="CE70" s="27">
        <v>23.534211127999999</v>
      </c>
      <c r="CF70" s="92">
        <v>5.1847470600000001E-2</v>
      </c>
      <c r="CG70" s="80" t="s">
        <v>136</v>
      </c>
      <c r="CH70" s="80">
        <v>0</v>
      </c>
      <c r="CI70" s="80" t="s">
        <v>136</v>
      </c>
      <c r="CJ70" s="80">
        <v>0</v>
      </c>
      <c r="CK70" s="80" t="s">
        <v>136</v>
      </c>
      <c r="CL70" s="80">
        <v>0</v>
      </c>
      <c r="CM70" s="80" t="s">
        <v>136</v>
      </c>
      <c r="CN70" s="80">
        <v>0</v>
      </c>
      <c r="CO70" s="79">
        <v>0.15083025529999999</v>
      </c>
      <c r="CP70" s="27">
        <v>1.7930776999999999E-3</v>
      </c>
      <c r="CQ70" s="27">
        <v>0.53845363440000005</v>
      </c>
      <c r="CR70" s="27">
        <v>5.6434628000000004E-3</v>
      </c>
      <c r="CS70" s="27">
        <v>3.6426874386999999</v>
      </c>
      <c r="CT70" s="27">
        <v>3.8325827399999998E-2</v>
      </c>
      <c r="CU70" s="27">
        <v>37.244871684000003</v>
      </c>
      <c r="CV70" s="92">
        <v>0.83835197819999996</v>
      </c>
      <c r="CW70" s="80" t="s">
        <v>136</v>
      </c>
      <c r="CX70" s="80">
        <v>0</v>
      </c>
      <c r="CY70" s="80" t="s">
        <v>136</v>
      </c>
      <c r="CZ70" s="80">
        <v>0</v>
      </c>
      <c r="DA70" s="79">
        <v>22.901532075999999</v>
      </c>
      <c r="DB70" s="27">
        <v>0.34334533960000002</v>
      </c>
      <c r="DC70" s="27">
        <v>64.102839931000005</v>
      </c>
      <c r="DD70" s="27">
        <v>2.482293361</v>
      </c>
      <c r="DE70" s="27">
        <v>47.215866419000001</v>
      </c>
      <c r="DF70" s="27">
        <v>0.67781509399999995</v>
      </c>
      <c r="DG70" s="27">
        <v>165.85747703000001</v>
      </c>
      <c r="DH70" s="92">
        <v>1.2801324721</v>
      </c>
      <c r="DI70" s="95">
        <v>4.0659794999999997E-3</v>
      </c>
      <c r="DJ70" s="96">
        <v>7.1466000999999999E-3</v>
      </c>
      <c r="DK70" s="96">
        <v>8.0749797000000002E-3</v>
      </c>
      <c r="DL70" s="96">
        <v>8.2701062000000002E-3</v>
      </c>
      <c r="DM70" s="96">
        <v>8.3267536000000003E-3</v>
      </c>
      <c r="DN70" s="96">
        <v>8.3663929999999997E-3</v>
      </c>
      <c r="DO70" s="96">
        <v>8.3870395000000004E-3</v>
      </c>
      <c r="DP70" s="96">
        <v>8.4076858999999997E-3</v>
      </c>
      <c r="DQ70" s="96">
        <v>8.4269419000000002E-3</v>
      </c>
      <c r="DR70" s="97">
        <v>8.4427545E-3</v>
      </c>
      <c r="DS70" s="93">
        <v>106.82223817000001</v>
      </c>
      <c r="DT70" s="80">
        <v>0.74138004359999998</v>
      </c>
      <c r="DU70" s="80">
        <v>58.175707647000003</v>
      </c>
      <c r="DV70" s="80">
        <v>0.4161305689</v>
      </c>
      <c r="DW70" s="80">
        <v>31.456795891999999</v>
      </c>
      <c r="DX70" s="80">
        <v>0.23207652519999999</v>
      </c>
      <c r="DY70" s="80">
        <v>17.127137061999999</v>
      </c>
      <c r="DZ70" s="80">
        <v>0.13123047800000001</v>
      </c>
      <c r="EA70" s="80">
        <v>9.5228429099999996</v>
      </c>
      <c r="EB70" s="80">
        <v>7.6631563999999999E-2</v>
      </c>
      <c r="EC70" s="80">
        <v>5.4765035358</v>
      </c>
      <c r="ED70" s="80">
        <v>4.70117221E-2</v>
      </c>
      <c r="EE70" s="80">
        <v>3.2954565497999999</v>
      </c>
      <c r="EF70" s="80">
        <v>3.06831189E-2</v>
      </c>
      <c r="EG70" s="80">
        <v>2.0630893868000002</v>
      </c>
      <c r="EH70" s="80">
        <v>2.11751973E-2</v>
      </c>
      <c r="EI70" s="80">
        <v>1.3466045662999999</v>
      </c>
      <c r="EJ70" s="80">
        <v>1.54451213E-2</v>
      </c>
      <c r="EK70" s="80">
        <v>0.91231774300000001</v>
      </c>
      <c r="EL70" s="94">
        <v>1.1826996100000001E-2</v>
      </c>
    </row>
    <row r="71" spans="1:142" x14ac:dyDescent="0.2">
      <c r="A71" s="79">
        <v>7500</v>
      </c>
      <c r="B71" s="27">
        <v>9568</v>
      </c>
      <c r="C71" s="79">
        <v>2713.1241536000002</v>
      </c>
      <c r="D71" s="27">
        <v>6976.3724479000002</v>
      </c>
      <c r="E71" s="27">
        <v>123.13815373</v>
      </c>
      <c r="F71" s="27">
        <v>9.5916767299999997E-2</v>
      </c>
      <c r="G71" s="79">
        <v>12.510084807</v>
      </c>
      <c r="H71" s="27">
        <v>5.0017878999999996E-3</v>
      </c>
      <c r="I71" s="27">
        <v>198.62037860999999</v>
      </c>
      <c r="J71" s="27">
        <v>1.3241236729999999</v>
      </c>
      <c r="K71" s="27">
        <v>95.344073684999998</v>
      </c>
      <c r="L71" s="27">
        <v>0.59694769810000003</v>
      </c>
      <c r="M71" s="27">
        <v>31.868996344999999</v>
      </c>
      <c r="N71" s="27">
        <v>0.25393358300000002</v>
      </c>
      <c r="O71" s="80" t="s">
        <v>136</v>
      </c>
      <c r="P71" s="80">
        <v>0</v>
      </c>
      <c r="Q71" s="27">
        <v>55.407590685999999</v>
      </c>
      <c r="R71" s="27">
        <v>8.3195887100000004E-2</v>
      </c>
      <c r="S71" s="80" t="s">
        <v>136</v>
      </c>
      <c r="T71" s="80">
        <v>0</v>
      </c>
      <c r="U71" s="80" t="s">
        <v>136</v>
      </c>
      <c r="V71" s="80">
        <v>0</v>
      </c>
      <c r="W71" s="27">
        <v>0.80428163880000003</v>
      </c>
      <c r="X71" s="27">
        <v>8.4768697000000004E-3</v>
      </c>
      <c r="Y71" s="27">
        <v>46.049891756999997</v>
      </c>
      <c r="Z71" s="27">
        <v>0.97742735849999995</v>
      </c>
      <c r="AA71" s="80" t="s">
        <v>136</v>
      </c>
      <c r="AB71" s="80">
        <v>0</v>
      </c>
      <c r="AC71" s="27">
        <v>0</v>
      </c>
      <c r="AD71" s="27">
        <v>0</v>
      </c>
      <c r="AE71" s="80" t="s">
        <v>136</v>
      </c>
      <c r="AF71" s="80">
        <v>0</v>
      </c>
      <c r="AG71" s="80" t="s">
        <v>136</v>
      </c>
      <c r="AH71" s="80">
        <v>0</v>
      </c>
      <c r="AI71" s="27">
        <f t="shared" si="8"/>
        <v>0</v>
      </c>
      <c r="AJ71" s="27">
        <f t="shared" si="9"/>
        <v>0</v>
      </c>
      <c r="AK71" s="27">
        <v>142.82072260999999</v>
      </c>
      <c r="AL71" s="27">
        <v>1.7962863117000001</v>
      </c>
      <c r="AM71" s="80" t="s">
        <v>136</v>
      </c>
      <c r="AN71" s="80">
        <v>0</v>
      </c>
      <c r="AO71" s="80" t="s">
        <v>136</v>
      </c>
      <c r="AP71" s="80">
        <v>0</v>
      </c>
      <c r="AQ71" s="80" t="s">
        <v>136</v>
      </c>
      <c r="AR71" s="80">
        <v>0</v>
      </c>
      <c r="AS71" s="27">
        <v>93.121001715999995</v>
      </c>
      <c r="AT71" s="27">
        <v>2.9605970560000001</v>
      </c>
      <c r="AU71" s="27">
        <v>84.198449382999996</v>
      </c>
      <c r="AV71" s="27">
        <v>0.59165692140000004</v>
      </c>
      <c r="AW71" s="27">
        <v>37.900963478000001</v>
      </c>
      <c r="AX71" s="27">
        <v>0.35941409549999997</v>
      </c>
      <c r="AY71" s="27">
        <v>13.834182054999999</v>
      </c>
      <c r="AZ71" s="27">
        <v>0.1136390662</v>
      </c>
      <c r="BA71" s="80">
        <f t="shared" si="10"/>
        <v>32.463303849999996</v>
      </c>
      <c r="BB71" s="80">
        <f t="shared" si="11"/>
        <v>0.11860375970000003</v>
      </c>
      <c r="BC71" s="27">
        <v>0</v>
      </c>
      <c r="BD71" s="80">
        <v>0</v>
      </c>
      <c r="BE71" s="27">
        <v>244.16119734</v>
      </c>
      <c r="BF71" s="27">
        <v>2.1050609485999998</v>
      </c>
      <c r="BG71" s="79">
        <v>1.1966552599999999E-2</v>
      </c>
      <c r="BH71" s="80">
        <v>0</v>
      </c>
      <c r="BI71" s="27">
        <v>181.26168525</v>
      </c>
      <c r="BJ71" s="27">
        <v>5.3676366596999996</v>
      </c>
      <c r="BK71" s="27">
        <v>315.92716758</v>
      </c>
      <c r="BL71" s="27">
        <v>2.2222043017000002</v>
      </c>
      <c r="BM71" s="27">
        <v>81.059854113</v>
      </c>
      <c r="BN71" s="27">
        <v>0.37436807640000003</v>
      </c>
      <c r="BO71" s="27">
        <v>0.7419876352</v>
      </c>
      <c r="BP71" s="27">
        <v>1.2370342E-3</v>
      </c>
      <c r="BQ71" s="27">
        <v>0</v>
      </c>
      <c r="BR71" s="92">
        <v>0</v>
      </c>
      <c r="BS71" s="80" t="s">
        <v>136</v>
      </c>
      <c r="BT71" s="80">
        <v>0</v>
      </c>
      <c r="BU71" s="79">
        <v>0.69697194250000005</v>
      </c>
      <c r="BV71" s="27">
        <v>7.5358563999999998E-3</v>
      </c>
      <c r="BW71" s="27">
        <v>31.172024403000002</v>
      </c>
      <c r="BX71" s="27">
        <v>0.24639772660000001</v>
      </c>
      <c r="BY71" s="80" t="s">
        <v>136</v>
      </c>
      <c r="BZ71" s="80">
        <v>0</v>
      </c>
      <c r="CA71" s="80" t="s">
        <v>136</v>
      </c>
      <c r="CB71" s="80">
        <v>0</v>
      </c>
      <c r="CC71" s="27">
        <v>28.600574454</v>
      </c>
      <c r="CD71" s="27">
        <v>2.3901848699999999E-2</v>
      </c>
      <c r="CE71" s="27">
        <v>26.807016231999999</v>
      </c>
      <c r="CF71" s="92">
        <v>5.9294038399999999E-2</v>
      </c>
      <c r="CG71" s="80" t="s">
        <v>136</v>
      </c>
      <c r="CH71" s="80">
        <v>0</v>
      </c>
      <c r="CI71" s="80" t="s">
        <v>136</v>
      </c>
      <c r="CJ71" s="80">
        <v>0</v>
      </c>
      <c r="CK71" s="80" t="s">
        <v>136</v>
      </c>
      <c r="CL71" s="80">
        <v>0</v>
      </c>
      <c r="CM71" s="80" t="s">
        <v>136</v>
      </c>
      <c r="CN71" s="80">
        <v>0</v>
      </c>
      <c r="CO71" s="79">
        <v>0.1839026453</v>
      </c>
      <c r="CP71" s="27">
        <v>2.0136347000000001E-3</v>
      </c>
      <c r="CQ71" s="27">
        <v>0.62037899350000003</v>
      </c>
      <c r="CR71" s="27">
        <v>6.4632350000000003E-3</v>
      </c>
      <c r="CS71" s="27">
        <v>4.3062788989999996</v>
      </c>
      <c r="CT71" s="27">
        <v>4.4323056600000001E-2</v>
      </c>
      <c r="CU71" s="27">
        <v>41.743612857999999</v>
      </c>
      <c r="CV71" s="92">
        <v>0.93310430190000004</v>
      </c>
      <c r="CW71" s="80" t="s">
        <v>136</v>
      </c>
      <c r="CX71" s="80">
        <v>0</v>
      </c>
      <c r="CY71" s="80" t="s">
        <v>136</v>
      </c>
      <c r="CZ71" s="80">
        <v>0</v>
      </c>
      <c r="DA71" s="79">
        <v>25.056868539</v>
      </c>
      <c r="DB71" s="27">
        <v>0.36886878369999998</v>
      </c>
      <c r="DC71" s="27">
        <v>68.064133175999999</v>
      </c>
      <c r="DD71" s="27">
        <v>2.5917282723000001</v>
      </c>
      <c r="DE71" s="27">
        <v>60.139178569999999</v>
      </c>
      <c r="DF71" s="27">
        <v>0.74787238450000004</v>
      </c>
      <c r="DG71" s="27">
        <v>184.02201876999999</v>
      </c>
      <c r="DH71" s="92">
        <v>1.3571885640000001</v>
      </c>
      <c r="DI71" s="95">
        <v>4.5858631000000004E-3</v>
      </c>
      <c r="DJ71" s="96">
        <v>8.0083840000000003E-3</v>
      </c>
      <c r="DK71" s="96">
        <v>9.1078954999999993E-3</v>
      </c>
      <c r="DL71" s="96">
        <v>9.3777397000000002E-3</v>
      </c>
      <c r="DM71" s="96">
        <v>9.4671419999999996E-3</v>
      </c>
      <c r="DN71" s="96">
        <v>9.5290111999999996E-3</v>
      </c>
      <c r="DO71" s="96">
        <v>9.5627755000000005E-3</v>
      </c>
      <c r="DP71" s="96">
        <v>9.5898604000000005E-3</v>
      </c>
      <c r="DQ71" s="96">
        <v>9.6113584000000005E-3</v>
      </c>
      <c r="DR71" s="97">
        <v>9.6295194999999993E-3</v>
      </c>
      <c r="DS71" s="93">
        <v>111.49705066</v>
      </c>
      <c r="DT71" s="80">
        <v>0.77229069569999997</v>
      </c>
      <c r="DU71" s="80">
        <v>61.659167342000003</v>
      </c>
      <c r="DV71" s="80">
        <v>0.43963667360000003</v>
      </c>
      <c r="DW71" s="80">
        <v>33.910987276999997</v>
      </c>
      <c r="DX71" s="80">
        <v>0.24904994359999999</v>
      </c>
      <c r="DY71" s="80">
        <v>18.803389917000001</v>
      </c>
      <c r="DZ71" s="80">
        <v>0.14319506879999999</v>
      </c>
      <c r="EA71" s="80">
        <v>10.659527336</v>
      </c>
      <c r="EB71" s="80">
        <v>8.5039852499999999E-2</v>
      </c>
      <c r="EC71" s="80">
        <v>6.2474792092999998</v>
      </c>
      <c r="ED71" s="80">
        <v>5.2941304699999997E-2</v>
      </c>
      <c r="EE71" s="80">
        <v>3.8125160768000002</v>
      </c>
      <c r="EF71" s="80">
        <v>3.48785109E-2</v>
      </c>
      <c r="EG71" s="80">
        <v>2.4055442990000002</v>
      </c>
      <c r="EH71" s="80">
        <v>2.41526808E-2</v>
      </c>
      <c r="EI71" s="80">
        <v>1.5724334961999999</v>
      </c>
      <c r="EJ71" s="80">
        <v>1.7588350199999998E-2</v>
      </c>
      <c r="EK71" s="80">
        <v>1.0656083187000001</v>
      </c>
      <c r="EL71" s="94">
        <v>1.3438722E-2</v>
      </c>
    </row>
    <row r="72" spans="1:142" x14ac:dyDescent="0.2">
      <c r="A72" s="79">
        <v>10000</v>
      </c>
      <c r="B72" s="27">
        <v>16647</v>
      </c>
      <c r="C72" s="79">
        <v>3092.6729746999999</v>
      </c>
      <c r="D72" s="27">
        <v>8640.7759650000007</v>
      </c>
      <c r="E72" s="27">
        <v>153.97069486999999</v>
      </c>
      <c r="F72" s="27">
        <v>0.10684905259999999</v>
      </c>
      <c r="G72" s="79">
        <v>24.561750856</v>
      </c>
      <c r="H72" s="27">
        <v>6.9563144999999996E-3</v>
      </c>
      <c r="I72" s="27">
        <v>207.87737781999999</v>
      </c>
      <c r="J72" s="27">
        <v>1.3863378966</v>
      </c>
      <c r="K72" s="27">
        <v>106.45410858</v>
      </c>
      <c r="L72" s="27">
        <v>0.66620858829999996</v>
      </c>
      <c r="M72" s="27">
        <v>37.330080291999998</v>
      </c>
      <c r="N72" s="27">
        <v>0.29374945289999999</v>
      </c>
      <c r="O72" s="80" t="s">
        <v>136</v>
      </c>
      <c r="P72" s="80">
        <v>0</v>
      </c>
      <c r="Q72" s="27">
        <v>73.519537385000007</v>
      </c>
      <c r="R72" s="27">
        <v>0.1054158649</v>
      </c>
      <c r="S72" s="80" t="s">
        <v>136</v>
      </c>
      <c r="T72" s="80">
        <v>0</v>
      </c>
      <c r="U72" s="80" t="s">
        <v>136</v>
      </c>
      <c r="V72" s="80">
        <v>0</v>
      </c>
      <c r="W72" s="27">
        <v>1.0593601841</v>
      </c>
      <c r="X72" s="27">
        <v>1.0622204999999999E-2</v>
      </c>
      <c r="Y72" s="27">
        <v>56.615586925999999</v>
      </c>
      <c r="Z72" s="27">
        <v>1.1648379643</v>
      </c>
      <c r="AA72" s="80" t="s">
        <v>136</v>
      </c>
      <c r="AB72" s="80">
        <v>0</v>
      </c>
      <c r="AC72" s="27">
        <v>0</v>
      </c>
      <c r="AD72" s="27">
        <v>0</v>
      </c>
      <c r="AE72" s="80" t="s">
        <v>136</v>
      </c>
      <c r="AF72" s="80">
        <v>0</v>
      </c>
      <c r="AG72" s="80" t="s">
        <v>136</v>
      </c>
      <c r="AH72" s="80">
        <v>0</v>
      </c>
      <c r="AI72" s="27">
        <f t="shared" si="8"/>
        <v>0</v>
      </c>
      <c r="AJ72" s="27">
        <f t="shared" si="9"/>
        <v>0</v>
      </c>
      <c r="AK72" s="27">
        <v>154.81173935000001</v>
      </c>
      <c r="AL72" s="27">
        <v>1.8950248371</v>
      </c>
      <c r="AM72" s="80" t="s">
        <v>136</v>
      </c>
      <c r="AN72" s="80">
        <v>0</v>
      </c>
      <c r="AO72" s="80" t="s">
        <v>136</v>
      </c>
      <c r="AP72" s="80">
        <v>0</v>
      </c>
      <c r="AQ72" s="80" t="s">
        <v>136</v>
      </c>
      <c r="AR72" s="80">
        <v>0</v>
      </c>
      <c r="AS72" s="27">
        <v>105.58100018</v>
      </c>
      <c r="AT72" s="27">
        <v>3.2222262850000001</v>
      </c>
      <c r="AU72" s="27">
        <v>98.519450613999993</v>
      </c>
      <c r="AV72" s="27">
        <v>0.66450970610000004</v>
      </c>
      <c r="AW72" s="27">
        <v>44.016859942000004</v>
      </c>
      <c r="AX72" s="27">
        <v>0.4058927591</v>
      </c>
      <c r="AY72" s="27">
        <v>15.049922857</v>
      </c>
      <c r="AZ72" s="27">
        <v>0.121183891</v>
      </c>
      <c r="BA72" s="80">
        <f t="shared" si="10"/>
        <v>39.452667814999991</v>
      </c>
      <c r="BB72" s="80">
        <f t="shared" si="11"/>
        <v>0.137433056</v>
      </c>
      <c r="BC72" s="27">
        <v>0</v>
      </c>
      <c r="BD72" s="80">
        <v>0</v>
      </c>
      <c r="BE72" s="27">
        <v>319.95990838</v>
      </c>
      <c r="BF72" s="27">
        <v>2.4122984506999998</v>
      </c>
      <c r="BG72" s="79">
        <v>1.6254744000000002E-2</v>
      </c>
      <c r="BH72" s="80">
        <v>0</v>
      </c>
      <c r="BI72" s="27">
        <v>193.05526073999999</v>
      </c>
      <c r="BJ72" s="27">
        <v>5.6108422493000001</v>
      </c>
      <c r="BK72" s="27">
        <v>388.97662845999997</v>
      </c>
      <c r="BL72" s="27">
        <v>2.6531710900999999</v>
      </c>
      <c r="BM72" s="27">
        <v>95.727573872999997</v>
      </c>
      <c r="BN72" s="27">
        <v>0.42324074789999999</v>
      </c>
      <c r="BO72" s="27">
        <v>1.3562349502</v>
      </c>
      <c r="BP72" s="27">
        <v>1.6447956000000001E-3</v>
      </c>
      <c r="BQ72" s="27">
        <v>0</v>
      </c>
      <c r="BR72" s="92">
        <v>0</v>
      </c>
      <c r="BS72" s="80" t="s">
        <v>136</v>
      </c>
      <c r="BT72" s="80">
        <v>0</v>
      </c>
      <c r="BU72" s="79">
        <v>0.92845253640000003</v>
      </c>
      <c r="BV72" s="27">
        <v>9.7096222999999999E-3</v>
      </c>
      <c r="BW72" s="27">
        <v>36.401627755</v>
      </c>
      <c r="BX72" s="27">
        <v>0.28403983059999999</v>
      </c>
      <c r="BY72" s="80" t="s">
        <v>136</v>
      </c>
      <c r="BZ72" s="80">
        <v>0</v>
      </c>
      <c r="CA72" s="80" t="s">
        <v>136</v>
      </c>
      <c r="CB72" s="80">
        <v>0</v>
      </c>
      <c r="CC72" s="27">
        <v>40.087008677999997</v>
      </c>
      <c r="CD72" s="27">
        <v>3.1517170099999998E-2</v>
      </c>
      <c r="CE72" s="27">
        <v>33.432528707000003</v>
      </c>
      <c r="CF72" s="92">
        <v>7.3898694799999998E-2</v>
      </c>
      <c r="CG72" s="80" t="s">
        <v>136</v>
      </c>
      <c r="CH72" s="80">
        <v>0</v>
      </c>
      <c r="CI72" s="80" t="s">
        <v>136</v>
      </c>
      <c r="CJ72" s="80">
        <v>0</v>
      </c>
      <c r="CK72" s="80" t="s">
        <v>136</v>
      </c>
      <c r="CL72" s="80">
        <v>0</v>
      </c>
      <c r="CM72" s="80" t="s">
        <v>136</v>
      </c>
      <c r="CN72" s="80">
        <v>0</v>
      </c>
      <c r="CO72" s="79">
        <v>0.266523222</v>
      </c>
      <c r="CP72" s="27">
        <v>2.6451678000000002E-3</v>
      </c>
      <c r="CQ72" s="27">
        <v>0.79283696199999998</v>
      </c>
      <c r="CR72" s="27">
        <v>7.9770372000000003E-3</v>
      </c>
      <c r="CS72" s="27">
        <v>6.0190973878999996</v>
      </c>
      <c r="CT72" s="27">
        <v>6.0580318199999997E-2</v>
      </c>
      <c r="CU72" s="27">
        <v>50.596489538</v>
      </c>
      <c r="CV72" s="92">
        <v>1.1042576461</v>
      </c>
      <c r="CW72" s="80" t="s">
        <v>136</v>
      </c>
      <c r="CX72" s="80">
        <v>0</v>
      </c>
      <c r="CY72" s="80" t="s">
        <v>136</v>
      </c>
      <c r="CZ72" s="80">
        <v>0</v>
      </c>
      <c r="DA72" s="79">
        <v>29.680986672</v>
      </c>
      <c r="DB72" s="27">
        <v>0.42133054170000001</v>
      </c>
      <c r="DC72" s="27">
        <v>75.900013504</v>
      </c>
      <c r="DD72" s="27">
        <v>2.8008957432999999</v>
      </c>
      <c r="DE72" s="27">
        <v>94.986453749999995</v>
      </c>
      <c r="DF72" s="27">
        <v>0.90337423080000001</v>
      </c>
      <c r="DG72" s="27">
        <v>224.97345462999999</v>
      </c>
      <c r="DH72" s="92">
        <v>1.5089242199999999</v>
      </c>
      <c r="DI72" s="95">
        <v>6.4788305000000003E-3</v>
      </c>
      <c r="DJ72" s="96">
        <v>1.1161712000000001E-2</v>
      </c>
      <c r="DK72" s="96">
        <v>1.28355112E-2</v>
      </c>
      <c r="DL72" s="96">
        <v>1.33721404E-2</v>
      </c>
      <c r="DM72" s="96">
        <v>1.3581349600000001E-2</v>
      </c>
      <c r="DN72" s="96">
        <v>1.3723322E-2</v>
      </c>
      <c r="DO72" s="96">
        <v>1.38049275E-2</v>
      </c>
      <c r="DP72" s="96">
        <v>1.38611666E-2</v>
      </c>
      <c r="DQ72" s="96">
        <v>1.38956822E-2</v>
      </c>
      <c r="DR72" s="97">
        <v>1.3925501999999999E-2</v>
      </c>
      <c r="DS72" s="93">
        <v>119.37665577999999</v>
      </c>
      <c r="DT72" s="80">
        <v>0.82562442759999999</v>
      </c>
      <c r="DU72" s="80">
        <v>67.722415991999995</v>
      </c>
      <c r="DV72" s="80">
        <v>0.48153934990000002</v>
      </c>
      <c r="DW72" s="80">
        <v>38.275139150000001</v>
      </c>
      <c r="DX72" s="80">
        <v>0.28002633090000001</v>
      </c>
      <c r="DY72" s="80">
        <v>21.794127819</v>
      </c>
      <c r="DZ72" s="80">
        <v>0.16521975210000001</v>
      </c>
      <c r="EA72" s="80">
        <v>12.668826384999999</v>
      </c>
      <c r="EB72" s="80">
        <v>0.10055624320000001</v>
      </c>
      <c r="EC72" s="80">
        <v>7.5964163858999996</v>
      </c>
      <c r="ED72" s="80">
        <v>6.4015587400000004E-2</v>
      </c>
      <c r="EE72" s="80">
        <v>4.7198496280000004</v>
      </c>
      <c r="EF72" s="80">
        <v>4.2890310600000002E-2</v>
      </c>
      <c r="EG72" s="80">
        <v>3.0203580043999998</v>
      </c>
      <c r="EH72" s="80">
        <v>3.00796646E-2</v>
      </c>
      <c r="EI72" s="80">
        <v>2.0037675013</v>
      </c>
      <c r="EJ72" s="80">
        <v>2.2170386899999998E-2</v>
      </c>
      <c r="EK72" s="80">
        <v>1.3793182931000001</v>
      </c>
      <c r="EL72" s="94">
        <v>1.7116447100000001E-2</v>
      </c>
    </row>
    <row r="73" spans="1:142" x14ac:dyDescent="0.2">
      <c r="A73" s="79">
        <v>15000</v>
      </c>
      <c r="B73" s="27">
        <v>18620</v>
      </c>
      <c r="C73" s="79">
        <v>3622.1721686999999</v>
      </c>
      <c r="D73" s="27">
        <v>12222.952622000001</v>
      </c>
      <c r="E73" s="27">
        <v>198.40905296</v>
      </c>
      <c r="F73" s="27">
        <v>0.12090706280000001</v>
      </c>
      <c r="G73" s="79">
        <v>87.081375795</v>
      </c>
      <c r="H73" s="27">
        <v>1.40704942E-2</v>
      </c>
      <c r="I73" s="27">
        <v>217.92648118</v>
      </c>
      <c r="J73" s="27">
        <v>1.4523814649</v>
      </c>
      <c r="K73" s="27">
        <v>119.94088089</v>
      </c>
      <c r="L73" s="27">
        <v>0.74615869239999999</v>
      </c>
      <c r="M73" s="27">
        <v>44.169146513000001</v>
      </c>
      <c r="N73" s="27">
        <v>0.34139176440000002</v>
      </c>
      <c r="O73" s="80" t="s">
        <v>136</v>
      </c>
      <c r="P73" s="80">
        <v>0</v>
      </c>
      <c r="Q73" s="27">
        <v>99.521219919000004</v>
      </c>
      <c r="R73" s="27">
        <v>0.1368180665</v>
      </c>
      <c r="S73" s="80" t="s">
        <v>136</v>
      </c>
      <c r="T73" s="80">
        <v>0</v>
      </c>
      <c r="U73" s="80" t="s">
        <v>136</v>
      </c>
      <c r="V73" s="80">
        <v>0</v>
      </c>
      <c r="W73" s="27">
        <v>1.6274403171</v>
      </c>
      <c r="X73" s="27">
        <v>1.54754417E-2</v>
      </c>
      <c r="Y73" s="27">
        <v>72.378680430000003</v>
      </c>
      <c r="Z73" s="27">
        <v>1.4252147202000001</v>
      </c>
      <c r="AA73" s="80" t="s">
        <v>136</v>
      </c>
      <c r="AB73" s="80">
        <v>0</v>
      </c>
      <c r="AC73" s="27">
        <v>0</v>
      </c>
      <c r="AD73" s="27">
        <v>0</v>
      </c>
      <c r="AE73" s="80" t="s">
        <v>136</v>
      </c>
      <c r="AF73" s="80">
        <v>0</v>
      </c>
      <c r="AG73" s="80" t="s">
        <v>136</v>
      </c>
      <c r="AH73" s="80">
        <v>0</v>
      </c>
      <c r="AI73" s="27">
        <f t="shared" si="8"/>
        <v>0</v>
      </c>
      <c r="AJ73" s="27">
        <f t="shared" si="9"/>
        <v>0</v>
      </c>
      <c r="AK73" s="27">
        <v>168.31602108000001</v>
      </c>
      <c r="AL73" s="27">
        <v>2.0119841081000001</v>
      </c>
      <c r="AM73" s="80" t="s">
        <v>136</v>
      </c>
      <c r="AN73" s="80">
        <v>0</v>
      </c>
      <c r="AO73" s="80" t="s">
        <v>136</v>
      </c>
      <c r="AP73" s="80">
        <v>0</v>
      </c>
      <c r="AQ73" s="80" t="s">
        <v>136</v>
      </c>
      <c r="AR73" s="80">
        <v>0</v>
      </c>
      <c r="AS73" s="27">
        <v>122.97858103</v>
      </c>
      <c r="AT73" s="27">
        <v>3.5644276793</v>
      </c>
      <c r="AU73" s="27">
        <v>120.06262175000001</v>
      </c>
      <c r="AV73" s="27">
        <v>0.76765844159999996</v>
      </c>
      <c r="AW73" s="27">
        <v>52.656573377999997</v>
      </c>
      <c r="AX73" s="27">
        <v>0.47055586690000001</v>
      </c>
      <c r="AY73" s="27">
        <v>17.204770076999999</v>
      </c>
      <c r="AZ73" s="27">
        <v>0.13282544460000001</v>
      </c>
      <c r="BA73" s="80">
        <f t="shared" si="10"/>
        <v>50.201278295000009</v>
      </c>
      <c r="BB73" s="80">
        <f t="shared" si="11"/>
        <v>0.1642771301</v>
      </c>
      <c r="BC73" s="27">
        <v>1.8101893599999998E-2</v>
      </c>
      <c r="BD73" s="80">
        <v>3.3706682E-6</v>
      </c>
      <c r="BE73" s="27">
        <v>456.43795442999999</v>
      </c>
      <c r="BF73" s="27">
        <v>2.8804674944999999</v>
      </c>
      <c r="BG73" s="79">
        <v>3.3215186899999999E-2</v>
      </c>
      <c r="BH73" s="80">
        <v>3.7077299999999998E-5</v>
      </c>
      <c r="BI73" s="27">
        <v>206.09936887000001</v>
      </c>
      <c r="BJ73" s="27">
        <v>5.8927732709000002</v>
      </c>
      <c r="BK73" s="27">
        <v>478.15598190999998</v>
      </c>
      <c r="BL73" s="27">
        <v>3.1356977923999998</v>
      </c>
      <c r="BM73" s="27">
        <v>114.58386659999999</v>
      </c>
      <c r="BN73" s="27">
        <v>0.47933286689999999</v>
      </c>
      <c r="BO73" s="27">
        <v>3.3097361307000002</v>
      </c>
      <c r="BP73" s="27">
        <v>2.7540826999999999E-3</v>
      </c>
      <c r="BQ73" s="27">
        <v>0</v>
      </c>
      <c r="BR73" s="92">
        <v>0</v>
      </c>
      <c r="BS73" s="80" t="s">
        <v>136</v>
      </c>
      <c r="BT73" s="80">
        <v>0</v>
      </c>
      <c r="BU73" s="79">
        <v>1.3994034067000001</v>
      </c>
      <c r="BV73" s="27">
        <v>1.2662194700000001E-2</v>
      </c>
      <c r="BW73" s="27">
        <v>42.769743106</v>
      </c>
      <c r="BX73" s="27">
        <v>0.32872956959999999</v>
      </c>
      <c r="BY73" s="80" t="s">
        <v>136</v>
      </c>
      <c r="BZ73" s="80">
        <v>0</v>
      </c>
      <c r="CA73" s="80" t="s">
        <v>136</v>
      </c>
      <c r="CB73" s="80">
        <v>0</v>
      </c>
      <c r="CC73" s="27">
        <v>56.844975583</v>
      </c>
      <c r="CD73" s="27">
        <v>4.2006835399999998E-2</v>
      </c>
      <c r="CE73" s="27">
        <v>42.676244336000003</v>
      </c>
      <c r="CF73" s="92">
        <v>9.4811231100000004E-2</v>
      </c>
      <c r="CG73" s="80" t="s">
        <v>136</v>
      </c>
      <c r="CH73" s="80">
        <v>0</v>
      </c>
      <c r="CI73" s="80" t="s">
        <v>136</v>
      </c>
      <c r="CJ73" s="80">
        <v>0</v>
      </c>
      <c r="CK73" s="80" t="s">
        <v>136</v>
      </c>
      <c r="CL73" s="80">
        <v>0</v>
      </c>
      <c r="CM73" s="80" t="s">
        <v>136</v>
      </c>
      <c r="CN73" s="80">
        <v>0</v>
      </c>
      <c r="CO73" s="79">
        <v>0.42879348249999999</v>
      </c>
      <c r="CP73" s="27">
        <v>3.8514040000000001E-3</v>
      </c>
      <c r="CQ73" s="27">
        <v>1.1986468346000001</v>
      </c>
      <c r="CR73" s="27">
        <v>1.1624037699999999E-2</v>
      </c>
      <c r="CS73" s="27">
        <v>8.8696993104999997</v>
      </c>
      <c r="CT73" s="27">
        <v>8.3062268100000003E-2</v>
      </c>
      <c r="CU73" s="27">
        <v>63.508981120000001</v>
      </c>
      <c r="CV73" s="92">
        <v>1.3421524520999999</v>
      </c>
      <c r="CW73" s="80" t="s">
        <v>136</v>
      </c>
      <c r="CX73" s="80">
        <v>0</v>
      </c>
      <c r="CY73" s="80" t="s">
        <v>136</v>
      </c>
      <c r="CZ73" s="80">
        <v>0</v>
      </c>
      <c r="DA73" s="79">
        <v>36.677207699999997</v>
      </c>
      <c r="DB73" s="27">
        <v>0.49947436420000002</v>
      </c>
      <c r="DC73" s="27">
        <v>86.301373330999994</v>
      </c>
      <c r="DD73" s="27">
        <v>3.0649533151999999</v>
      </c>
      <c r="DE73" s="27">
        <v>164.79633742999999</v>
      </c>
      <c r="DF73" s="27">
        <v>1.1573238019000001</v>
      </c>
      <c r="DG73" s="27">
        <v>291.641617</v>
      </c>
      <c r="DH73" s="92">
        <v>1.7231436926000001</v>
      </c>
      <c r="DI73" s="95">
        <v>1.3195633199999999E-2</v>
      </c>
      <c r="DJ73" s="96">
        <v>2.3003173200000001E-2</v>
      </c>
      <c r="DK73" s="96">
        <v>2.68791749E-2</v>
      </c>
      <c r="DL73" s="96">
        <v>2.8405637500000001E-2</v>
      </c>
      <c r="DM73" s="96">
        <v>2.9105398300000002E-2</v>
      </c>
      <c r="DN73" s="96">
        <v>2.9523922500000001E-2</v>
      </c>
      <c r="DO73" s="96">
        <v>2.9791466400000001E-2</v>
      </c>
      <c r="DP73" s="96">
        <v>2.9978417600000001E-2</v>
      </c>
      <c r="DQ73" s="96">
        <v>3.0114264700000001E-2</v>
      </c>
      <c r="DR73" s="97">
        <v>3.0240290100000001E-2</v>
      </c>
      <c r="DS73" s="93">
        <v>128.09569298</v>
      </c>
      <c r="DT73" s="80">
        <v>0.88330715900000001</v>
      </c>
      <c r="DU73" s="80">
        <v>74.646384678999993</v>
      </c>
      <c r="DV73" s="80">
        <v>0.52801838160000003</v>
      </c>
      <c r="DW73" s="80">
        <v>43.467615369999997</v>
      </c>
      <c r="DX73" s="80">
        <v>0.31546080139999999</v>
      </c>
      <c r="DY73" s="80">
        <v>25.544683117000002</v>
      </c>
      <c r="DZ73" s="80">
        <v>0.19137491970000001</v>
      </c>
      <c r="EA73" s="80">
        <v>15.326712838000001</v>
      </c>
      <c r="EB73" s="80">
        <v>0.1195748047</v>
      </c>
      <c r="EC73" s="80">
        <v>9.4625119465999994</v>
      </c>
      <c r="ED73" s="80">
        <v>7.7808937199999997E-2</v>
      </c>
      <c r="EE73" s="80">
        <v>6.0511326410999997</v>
      </c>
      <c r="EF73" s="80">
        <v>5.3088629399999997E-2</v>
      </c>
      <c r="EG73" s="80">
        <v>3.9983010524</v>
      </c>
      <c r="EH73" s="80">
        <v>3.7862716900000003E-2</v>
      </c>
      <c r="EI73" s="80">
        <v>2.7275081584</v>
      </c>
      <c r="EJ73" s="80">
        <v>2.81792129E-2</v>
      </c>
      <c r="EK73" s="80">
        <v>1.9178723673</v>
      </c>
      <c r="EL73" s="94">
        <v>2.1809803799999999E-2</v>
      </c>
    </row>
    <row r="74" spans="1:142" x14ac:dyDescent="0.2">
      <c r="A74" s="79">
        <v>20000</v>
      </c>
      <c r="B74" s="27">
        <v>9957</v>
      </c>
      <c r="C74" s="79">
        <v>3971.9325331</v>
      </c>
      <c r="D74" s="27">
        <v>17241.654481000001</v>
      </c>
      <c r="E74" s="27">
        <v>227.68728472000001</v>
      </c>
      <c r="F74" s="27">
        <v>0.12914697359999999</v>
      </c>
      <c r="G74" s="79">
        <v>167.28091078</v>
      </c>
      <c r="H74" s="27">
        <v>2.1362557000000001E-2</v>
      </c>
      <c r="I74" s="27">
        <v>223.0847181</v>
      </c>
      <c r="J74" s="27">
        <v>1.4857650049</v>
      </c>
      <c r="K74" s="27">
        <v>127.70259273000001</v>
      </c>
      <c r="L74" s="27">
        <v>0.79077771939999997</v>
      </c>
      <c r="M74" s="27">
        <v>47.523736382000003</v>
      </c>
      <c r="N74" s="27">
        <v>0.36451284090000002</v>
      </c>
      <c r="O74" s="80" t="s">
        <v>136</v>
      </c>
      <c r="P74" s="80">
        <v>0</v>
      </c>
      <c r="Q74" s="27">
        <v>116.11653903</v>
      </c>
      <c r="R74" s="27">
        <v>0.15629904529999999</v>
      </c>
      <c r="S74" s="80" t="s">
        <v>136</v>
      </c>
      <c r="T74" s="80">
        <v>0</v>
      </c>
      <c r="U74" s="80" t="s">
        <v>136</v>
      </c>
      <c r="V74" s="80">
        <v>0</v>
      </c>
      <c r="W74" s="27">
        <v>1.9141447604999999</v>
      </c>
      <c r="X74" s="27">
        <v>1.80652065E-2</v>
      </c>
      <c r="Y74" s="27">
        <v>83.672339476999994</v>
      </c>
      <c r="Z74" s="27">
        <v>1.5989077605999999</v>
      </c>
      <c r="AA74" s="80" t="s">
        <v>136</v>
      </c>
      <c r="AB74" s="80">
        <v>0</v>
      </c>
      <c r="AC74" s="27">
        <v>0</v>
      </c>
      <c r="AD74" s="27">
        <v>0</v>
      </c>
      <c r="AE74" s="80" t="s">
        <v>136</v>
      </c>
      <c r="AF74" s="80">
        <v>0</v>
      </c>
      <c r="AG74" s="80" t="s">
        <v>136</v>
      </c>
      <c r="AH74" s="80">
        <v>0</v>
      </c>
      <c r="AI74" s="27">
        <f t="shared" si="8"/>
        <v>0</v>
      </c>
      <c r="AJ74" s="27">
        <f t="shared" si="9"/>
        <v>0</v>
      </c>
      <c r="AK74" s="27">
        <v>175.35004968000001</v>
      </c>
      <c r="AL74" s="27">
        <v>2.0805115510999999</v>
      </c>
      <c r="AM74" s="80" t="s">
        <v>136</v>
      </c>
      <c r="AN74" s="80">
        <v>0</v>
      </c>
      <c r="AO74" s="80" t="s">
        <v>136</v>
      </c>
      <c r="AP74" s="80">
        <v>0</v>
      </c>
      <c r="AQ74" s="80" t="s">
        <v>136</v>
      </c>
      <c r="AR74" s="80">
        <v>0</v>
      </c>
      <c r="AS74" s="27">
        <v>134.22885059000001</v>
      </c>
      <c r="AT74" s="27">
        <v>3.7798185231999999</v>
      </c>
      <c r="AU74" s="27">
        <v>135.58941719000001</v>
      </c>
      <c r="AV74" s="27">
        <v>0.83980356119999999</v>
      </c>
      <c r="AW74" s="27">
        <v>58.651007774</v>
      </c>
      <c r="AX74" s="27">
        <v>0.5147185581</v>
      </c>
      <c r="AY74" s="27">
        <v>19.095431539</v>
      </c>
      <c r="AZ74" s="27">
        <v>0.14227416600000001</v>
      </c>
      <c r="BA74" s="80">
        <f t="shared" si="10"/>
        <v>57.84297787700001</v>
      </c>
      <c r="BB74" s="80">
        <f t="shared" si="11"/>
        <v>0.18281083710000001</v>
      </c>
      <c r="BC74" s="27">
        <v>1.7243963899999999E-2</v>
      </c>
      <c r="BD74" s="80">
        <v>3.2109170999999998E-6</v>
      </c>
      <c r="BE74" s="27">
        <v>568.62308083000005</v>
      </c>
      <c r="BF74" s="27">
        <v>3.2025685040999998</v>
      </c>
      <c r="BG74" s="79">
        <v>5.2222603499999999E-2</v>
      </c>
      <c r="BH74" s="80">
        <v>3.5320100000000001E-5</v>
      </c>
      <c r="BI74" s="27">
        <v>213.68131066000001</v>
      </c>
      <c r="BJ74" s="27">
        <v>6.0582086416000003</v>
      </c>
      <c r="BK74" s="27">
        <v>527.19118246999994</v>
      </c>
      <c r="BL74" s="27">
        <v>3.3774976800999998</v>
      </c>
      <c r="BM74" s="27">
        <v>124.80763077</v>
      </c>
      <c r="BN74" s="27">
        <v>0.50812550879999996</v>
      </c>
      <c r="BO74" s="27">
        <v>6.9120799702999998</v>
      </c>
      <c r="BP74" s="27">
        <v>4.5627002999999999E-3</v>
      </c>
      <c r="BQ74" s="27">
        <v>0</v>
      </c>
      <c r="BR74" s="92">
        <v>0</v>
      </c>
      <c r="BS74" s="80" t="s">
        <v>136</v>
      </c>
      <c r="BT74" s="80">
        <v>0</v>
      </c>
      <c r="BU74" s="79">
        <v>1.7549950237</v>
      </c>
      <c r="BV74" s="27">
        <v>1.46643343E-2</v>
      </c>
      <c r="BW74" s="27">
        <v>45.768741359000003</v>
      </c>
      <c r="BX74" s="27">
        <v>0.3498485066</v>
      </c>
      <c r="BY74" s="80" t="s">
        <v>136</v>
      </c>
      <c r="BZ74" s="80">
        <v>0</v>
      </c>
      <c r="CA74" s="80" t="s">
        <v>136</v>
      </c>
      <c r="CB74" s="80">
        <v>0</v>
      </c>
      <c r="CC74" s="27">
        <v>67.592138852000005</v>
      </c>
      <c r="CD74" s="27">
        <v>4.8523481100000002E-2</v>
      </c>
      <c r="CE74" s="27">
        <v>48.524400178999997</v>
      </c>
      <c r="CF74" s="92">
        <v>0.10777556420000001</v>
      </c>
      <c r="CG74" s="80" t="s">
        <v>136</v>
      </c>
      <c r="CH74" s="80">
        <v>0</v>
      </c>
      <c r="CI74" s="80" t="s">
        <v>136</v>
      </c>
      <c r="CJ74" s="80">
        <v>0</v>
      </c>
      <c r="CK74" s="80" t="s">
        <v>136</v>
      </c>
      <c r="CL74" s="80">
        <v>0</v>
      </c>
      <c r="CM74" s="80" t="s">
        <v>136</v>
      </c>
      <c r="CN74" s="80">
        <v>0</v>
      </c>
      <c r="CO74" s="79">
        <v>0.53198987959999999</v>
      </c>
      <c r="CP74" s="27">
        <v>4.6286673999999996E-3</v>
      </c>
      <c r="CQ74" s="27">
        <v>1.3821548808999999</v>
      </c>
      <c r="CR74" s="27">
        <v>1.34365391E-2</v>
      </c>
      <c r="CS74" s="27">
        <v>11.537939836</v>
      </c>
      <c r="CT74" s="27">
        <v>0.1004607329</v>
      </c>
      <c r="CU74" s="27">
        <v>72.134399641000002</v>
      </c>
      <c r="CV74" s="92">
        <v>1.4984470276999999</v>
      </c>
      <c r="CW74" s="80" t="s">
        <v>136</v>
      </c>
      <c r="CX74" s="80">
        <v>0</v>
      </c>
      <c r="CY74" s="80" t="s">
        <v>136</v>
      </c>
      <c r="CZ74" s="80">
        <v>0</v>
      </c>
      <c r="DA74" s="79">
        <v>41.475165771999997</v>
      </c>
      <c r="DB74" s="27">
        <v>0.55145830269999996</v>
      </c>
      <c r="DC74" s="27">
        <v>92.753684817000007</v>
      </c>
      <c r="DD74" s="27">
        <v>3.2283602204999999</v>
      </c>
      <c r="DE74" s="27">
        <v>226.61735005</v>
      </c>
      <c r="DF74" s="27">
        <v>1.3386622979</v>
      </c>
      <c r="DG74" s="27">
        <v>342.00573078000002</v>
      </c>
      <c r="DH74" s="92">
        <v>1.8639062062</v>
      </c>
      <c r="DI74" s="95">
        <v>1.98346119E-2</v>
      </c>
      <c r="DJ74" s="96">
        <v>3.5019753399999999E-2</v>
      </c>
      <c r="DK74" s="96">
        <v>4.1884970200000003E-2</v>
      </c>
      <c r="DL74" s="96">
        <v>4.4878485199999998E-2</v>
      </c>
      <c r="DM74" s="96">
        <v>4.6252197799999999E-2</v>
      </c>
      <c r="DN74" s="96">
        <v>4.7090452099999999E-2</v>
      </c>
      <c r="DO74" s="96">
        <v>4.7624371899999997E-2</v>
      </c>
      <c r="DP74" s="96">
        <v>4.7979163800000002E-2</v>
      </c>
      <c r="DQ74" s="96">
        <v>4.8243803199999997E-2</v>
      </c>
      <c r="DR74" s="97">
        <v>4.8486778100000003E-2</v>
      </c>
      <c r="DS74" s="93">
        <v>132.64693412</v>
      </c>
      <c r="DT74" s="80">
        <v>0.91293357119999996</v>
      </c>
      <c r="DU74" s="80">
        <v>78.366759999999999</v>
      </c>
      <c r="DV74" s="80">
        <v>0.55252542059999998</v>
      </c>
      <c r="DW74" s="80">
        <v>46.323873009000003</v>
      </c>
      <c r="DX74" s="80">
        <v>0.33455179060000001</v>
      </c>
      <c r="DY74" s="80">
        <v>27.670347530000001</v>
      </c>
      <c r="DZ74" s="80">
        <v>0.20577786249999999</v>
      </c>
      <c r="EA74" s="80">
        <v>16.886939953999999</v>
      </c>
      <c r="EB74" s="80">
        <v>0.13028008269999999</v>
      </c>
      <c r="EC74" s="80">
        <v>10.601103266999999</v>
      </c>
      <c r="ED74" s="80">
        <v>8.5714659600000007E-2</v>
      </c>
      <c r="EE74" s="80">
        <v>6.8775867327000002</v>
      </c>
      <c r="EF74" s="80">
        <v>5.8923117800000001E-2</v>
      </c>
      <c r="EG74" s="80">
        <v>4.5947634302999996</v>
      </c>
      <c r="EH74" s="80">
        <v>4.2168231399999999E-2</v>
      </c>
      <c r="EI74" s="80">
        <v>3.1663325619</v>
      </c>
      <c r="EJ74" s="80">
        <v>3.1418267600000001E-2</v>
      </c>
      <c r="EK74" s="80">
        <v>2.2464181046</v>
      </c>
      <c r="EL74" s="94">
        <v>2.4282285800000001E-2</v>
      </c>
    </row>
    <row r="75" spans="1:142" x14ac:dyDescent="0.2">
      <c r="A75" s="79">
        <v>25000</v>
      </c>
      <c r="B75" s="27">
        <v>5754</v>
      </c>
      <c r="C75" s="79">
        <v>4222.3105222000004</v>
      </c>
      <c r="D75" s="27">
        <v>22286.390788000001</v>
      </c>
      <c r="E75" s="27">
        <v>248.47136291999999</v>
      </c>
      <c r="F75" s="27">
        <v>0.1347705511</v>
      </c>
      <c r="G75" s="79">
        <v>233.21263425000001</v>
      </c>
      <c r="H75" s="27">
        <v>2.6530982500000001E-2</v>
      </c>
      <c r="I75" s="27">
        <v>226.36967189999999</v>
      </c>
      <c r="J75" s="27">
        <v>1.5067616604</v>
      </c>
      <c r="K75" s="27">
        <v>133.13741554000001</v>
      </c>
      <c r="L75" s="27">
        <v>0.81991864140000004</v>
      </c>
      <c r="M75" s="27">
        <v>50.159728555000001</v>
      </c>
      <c r="N75" s="27">
        <v>0.38104030859999999</v>
      </c>
      <c r="O75" s="80" t="s">
        <v>136</v>
      </c>
      <c r="P75" s="80">
        <v>0</v>
      </c>
      <c r="Q75" s="27">
        <v>126.87979946</v>
      </c>
      <c r="R75" s="27">
        <v>0.1697215557</v>
      </c>
      <c r="S75" s="80" t="s">
        <v>136</v>
      </c>
      <c r="T75" s="80">
        <v>0</v>
      </c>
      <c r="U75" s="80" t="s">
        <v>136</v>
      </c>
      <c r="V75" s="80">
        <v>0</v>
      </c>
      <c r="W75" s="27">
        <v>2.1286712480999999</v>
      </c>
      <c r="X75" s="27">
        <v>2.0518061800000001E-2</v>
      </c>
      <c r="Y75" s="27">
        <v>91.030397742000005</v>
      </c>
      <c r="Z75" s="27">
        <v>1.7012873989999999</v>
      </c>
      <c r="AA75" s="80" t="s">
        <v>136</v>
      </c>
      <c r="AB75" s="80">
        <v>0</v>
      </c>
      <c r="AC75" s="27">
        <v>0</v>
      </c>
      <c r="AD75" s="27">
        <v>0</v>
      </c>
      <c r="AE75" s="80" t="s">
        <v>136</v>
      </c>
      <c r="AF75" s="80">
        <v>0</v>
      </c>
      <c r="AG75" s="80" t="s">
        <v>136</v>
      </c>
      <c r="AH75" s="80">
        <v>0</v>
      </c>
      <c r="AI75" s="27">
        <f t="shared" si="8"/>
        <v>0</v>
      </c>
      <c r="AJ75" s="27">
        <f t="shared" si="9"/>
        <v>0</v>
      </c>
      <c r="AK75" s="27">
        <v>179.39472221</v>
      </c>
      <c r="AL75" s="27">
        <v>2.1229855907999999</v>
      </c>
      <c r="AM75" s="80" t="s">
        <v>136</v>
      </c>
      <c r="AN75" s="80">
        <v>0</v>
      </c>
      <c r="AO75" s="80" t="s">
        <v>136</v>
      </c>
      <c r="AP75" s="80">
        <v>0</v>
      </c>
      <c r="AQ75" s="80" t="s">
        <v>136</v>
      </c>
      <c r="AR75" s="80">
        <v>0</v>
      </c>
      <c r="AS75" s="27">
        <v>142.52241312000001</v>
      </c>
      <c r="AT75" s="27">
        <v>3.9333498710999999</v>
      </c>
      <c r="AU75" s="27">
        <v>146.69283594000001</v>
      </c>
      <c r="AV75" s="27">
        <v>0.89067638370000002</v>
      </c>
      <c r="AW75" s="27">
        <v>62.838060628000001</v>
      </c>
      <c r="AX75" s="27">
        <v>0.54605772289999999</v>
      </c>
      <c r="AY75" s="27">
        <v>20.331322575000002</v>
      </c>
      <c r="AZ75" s="27">
        <v>0.14859568710000001</v>
      </c>
      <c r="BA75" s="80">
        <f t="shared" si="10"/>
        <v>63.523452737000014</v>
      </c>
      <c r="BB75" s="80">
        <f t="shared" si="11"/>
        <v>0.19602297369999999</v>
      </c>
      <c r="BC75" s="27">
        <v>7.0366889500000002E-2</v>
      </c>
      <c r="BD75" s="80">
        <v>1.7174199999999999E-5</v>
      </c>
      <c r="BE75" s="27">
        <v>656.25427506999995</v>
      </c>
      <c r="BF75" s="27">
        <v>3.4335231804999999</v>
      </c>
      <c r="BG75" s="79">
        <v>6.7204134099999993E-2</v>
      </c>
      <c r="BH75" s="80">
        <v>3.5954420000000001E-4</v>
      </c>
      <c r="BI75" s="27">
        <v>218.25821024000001</v>
      </c>
      <c r="BJ75" s="27">
        <v>6.1636950120999998</v>
      </c>
      <c r="BK75" s="27">
        <v>558.52045305000001</v>
      </c>
      <c r="BL75" s="27">
        <v>3.5229747699999998</v>
      </c>
      <c r="BM75" s="27">
        <v>131.58046762000001</v>
      </c>
      <c r="BN75" s="27">
        <v>0.52607313180000004</v>
      </c>
      <c r="BO75" s="27">
        <v>13.215035395999999</v>
      </c>
      <c r="BP75" s="27">
        <v>7.474418E-3</v>
      </c>
      <c r="BQ75" s="27">
        <v>0</v>
      </c>
      <c r="BR75" s="92">
        <v>0</v>
      </c>
      <c r="BS75" s="80" t="s">
        <v>136</v>
      </c>
      <c r="BT75" s="80">
        <v>0</v>
      </c>
      <c r="BU75" s="79">
        <v>2.1009841357000001</v>
      </c>
      <c r="BV75" s="27">
        <v>1.64624552E-2</v>
      </c>
      <c r="BW75" s="27">
        <v>48.058744419</v>
      </c>
      <c r="BX75" s="27">
        <v>0.36457785329999998</v>
      </c>
      <c r="BY75" s="80" t="s">
        <v>136</v>
      </c>
      <c r="BZ75" s="80">
        <v>0</v>
      </c>
      <c r="CA75" s="80" t="s">
        <v>136</v>
      </c>
      <c r="CB75" s="80">
        <v>0</v>
      </c>
      <c r="CC75" s="27">
        <v>74.402893401</v>
      </c>
      <c r="CD75" s="27">
        <v>5.3009790100000002E-2</v>
      </c>
      <c r="CE75" s="27">
        <v>52.476906059999997</v>
      </c>
      <c r="CF75" s="92">
        <v>0.1167117656</v>
      </c>
      <c r="CG75" s="80" t="s">
        <v>136</v>
      </c>
      <c r="CH75" s="80">
        <v>0</v>
      </c>
      <c r="CI75" s="80" t="s">
        <v>136</v>
      </c>
      <c r="CJ75" s="80">
        <v>0</v>
      </c>
      <c r="CK75" s="80" t="s">
        <v>136</v>
      </c>
      <c r="CL75" s="80">
        <v>0</v>
      </c>
      <c r="CM75" s="80" t="s">
        <v>136</v>
      </c>
      <c r="CN75" s="80">
        <v>0</v>
      </c>
      <c r="CO75" s="79">
        <v>0.58103977549999997</v>
      </c>
      <c r="CP75" s="27">
        <v>5.1999630999999998E-3</v>
      </c>
      <c r="CQ75" s="27">
        <v>1.5476314726</v>
      </c>
      <c r="CR75" s="27">
        <v>1.5318098699999999E-2</v>
      </c>
      <c r="CS75" s="27">
        <v>13.704806288</v>
      </c>
      <c r="CT75" s="27">
        <v>0.1134732755</v>
      </c>
      <c r="CU75" s="27">
        <v>77.325591454000005</v>
      </c>
      <c r="CV75" s="92">
        <v>1.5878141235000001</v>
      </c>
      <c r="CW75" s="80" t="s">
        <v>136</v>
      </c>
      <c r="CX75" s="80">
        <v>0</v>
      </c>
      <c r="CY75" s="80" t="s">
        <v>136</v>
      </c>
      <c r="CZ75" s="80">
        <v>0</v>
      </c>
      <c r="DA75" s="79">
        <v>45.394487282</v>
      </c>
      <c r="DB75" s="27">
        <v>0.59201934680000001</v>
      </c>
      <c r="DC75" s="27">
        <v>97.127925840000003</v>
      </c>
      <c r="DD75" s="27">
        <v>3.3413305243</v>
      </c>
      <c r="DE75" s="27">
        <v>276.98850750999998</v>
      </c>
      <c r="DF75" s="27">
        <v>1.4727076339</v>
      </c>
      <c r="DG75" s="27">
        <v>379.26576755000002</v>
      </c>
      <c r="DH75" s="92">
        <v>1.9608155465999999</v>
      </c>
      <c r="DI75" s="95">
        <v>2.4369292399999999E-2</v>
      </c>
      <c r="DJ75" s="96">
        <v>4.3269928700000002E-2</v>
      </c>
      <c r="DK75" s="96">
        <v>5.2617504199999998E-2</v>
      </c>
      <c r="DL75" s="96">
        <v>5.70362747E-2</v>
      </c>
      <c r="DM75" s="96">
        <v>5.9167496399999998E-2</v>
      </c>
      <c r="DN75" s="96">
        <v>6.0470874899999999E-2</v>
      </c>
      <c r="DO75" s="96">
        <v>6.1277643700000002E-2</v>
      </c>
      <c r="DP75" s="96">
        <v>6.18186851E-2</v>
      </c>
      <c r="DQ75" s="96">
        <v>6.2210693999999997E-2</v>
      </c>
      <c r="DR75" s="97">
        <v>6.2551073900000004E-2</v>
      </c>
      <c r="DS75" s="93">
        <v>135.57363559000001</v>
      </c>
      <c r="DT75" s="80">
        <v>0.93168649290000005</v>
      </c>
      <c r="DU75" s="80">
        <v>80.781771332999995</v>
      </c>
      <c r="DV75" s="80">
        <v>0.56809421029999996</v>
      </c>
      <c r="DW75" s="80">
        <v>48.234261596000003</v>
      </c>
      <c r="DX75" s="80">
        <v>0.34691836380000002</v>
      </c>
      <c r="DY75" s="80">
        <v>29.134699081000001</v>
      </c>
      <c r="DZ75" s="80">
        <v>0.21528508690000001</v>
      </c>
      <c r="EA75" s="80">
        <v>17.981254739000001</v>
      </c>
      <c r="EB75" s="80">
        <v>0.1374437718</v>
      </c>
      <c r="EC75" s="80">
        <v>11.411880455</v>
      </c>
      <c r="ED75" s="80">
        <v>9.1105348000000003E-2</v>
      </c>
      <c r="EE75" s="80">
        <v>7.4700155293000003</v>
      </c>
      <c r="EF75" s="80">
        <v>6.2959440000000005E-2</v>
      </c>
      <c r="EG75" s="80">
        <v>5.0337879720999998</v>
      </c>
      <c r="EH75" s="80">
        <v>4.5240415200000002E-2</v>
      </c>
      <c r="EI75" s="80">
        <v>3.4983694624999999</v>
      </c>
      <c r="EJ75" s="80">
        <v>3.3808034600000002E-2</v>
      </c>
      <c r="EK75" s="80">
        <v>2.5023530749999998</v>
      </c>
      <c r="EL75" s="94">
        <v>2.6171889600000001E-2</v>
      </c>
    </row>
    <row r="76" spans="1:142" x14ac:dyDescent="0.2">
      <c r="A76" s="79">
        <v>30000</v>
      </c>
      <c r="B76" s="27">
        <v>3620</v>
      </c>
      <c r="C76" s="79">
        <v>4412.7473067999999</v>
      </c>
      <c r="D76" s="27">
        <v>27325.495792999998</v>
      </c>
      <c r="E76" s="27">
        <v>264.06585568000003</v>
      </c>
      <c r="F76" s="27">
        <v>0.1390157638</v>
      </c>
      <c r="G76" s="79">
        <v>289.43175535</v>
      </c>
      <c r="H76" s="27">
        <v>3.0380357600000001E-2</v>
      </c>
      <c r="I76" s="27">
        <v>228.69520575999999</v>
      </c>
      <c r="J76" s="27">
        <v>1.5210556056</v>
      </c>
      <c r="K76" s="27">
        <v>136.89779222999999</v>
      </c>
      <c r="L76" s="27">
        <v>0.83972981020000004</v>
      </c>
      <c r="M76" s="27">
        <v>52.050078106999997</v>
      </c>
      <c r="N76" s="27">
        <v>0.39282938639999998</v>
      </c>
      <c r="O76" s="80" t="s">
        <v>136</v>
      </c>
      <c r="P76" s="80">
        <v>0</v>
      </c>
      <c r="Q76" s="27">
        <v>134.67447125999999</v>
      </c>
      <c r="R76" s="27">
        <v>0.1790109906</v>
      </c>
      <c r="S76" s="80" t="s">
        <v>136</v>
      </c>
      <c r="T76" s="80">
        <v>0</v>
      </c>
      <c r="U76" s="80" t="s">
        <v>136</v>
      </c>
      <c r="V76" s="80">
        <v>0</v>
      </c>
      <c r="W76" s="27">
        <v>2.3216704825000001</v>
      </c>
      <c r="X76" s="27">
        <v>2.2129827099999999E-2</v>
      </c>
      <c r="Y76" s="27">
        <v>95.712380818</v>
      </c>
      <c r="Z76" s="27">
        <v>1.7618939468999999</v>
      </c>
      <c r="AA76" s="80" t="s">
        <v>136</v>
      </c>
      <c r="AB76" s="80">
        <v>0</v>
      </c>
      <c r="AC76" s="27">
        <v>5.3103809999999999E-4</v>
      </c>
      <c r="AD76" s="27">
        <v>2.6121465000000001E-6</v>
      </c>
      <c r="AE76" s="80" t="s">
        <v>136</v>
      </c>
      <c r="AF76" s="80">
        <v>0</v>
      </c>
      <c r="AG76" s="80" t="s">
        <v>136</v>
      </c>
      <c r="AH76" s="80">
        <v>0</v>
      </c>
      <c r="AI76" s="27">
        <f t="shared" si="8"/>
        <v>5.3103809999999999E-4</v>
      </c>
      <c r="AJ76" s="27">
        <f t="shared" si="9"/>
        <v>2.6121465000000001E-6</v>
      </c>
      <c r="AK76" s="27">
        <v>181.89404728</v>
      </c>
      <c r="AL76" s="27">
        <v>2.1486154609999999</v>
      </c>
      <c r="AM76" s="80" t="s">
        <v>136</v>
      </c>
      <c r="AN76" s="80">
        <v>0</v>
      </c>
      <c r="AO76" s="80" t="s">
        <v>136</v>
      </c>
      <c r="AP76" s="80">
        <v>0</v>
      </c>
      <c r="AQ76" s="80" t="s">
        <v>136</v>
      </c>
      <c r="AR76" s="80">
        <v>0</v>
      </c>
      <c r="AS76" s="27">
        <v>148.30244920000001</v>
      </c>
      <c r="AT76" s="27">
        <v>4.0368169840999997</v>
      </c>
      <c r="AU76" s="27">
        <v>155.21298856999999</v>
      </c>
      <c r="AV76" s="27">
        <v>0.92659856460000001</v>
      </c>
      <c r="AW76" s="27">
        <v>65.983041119999996</v>
      </c>
      <c r="AX76" s="27">
        <v>0.56843550720000002</v>
      </c>
      <c r="AY76" s="27">
        <v>21.048350384999999</v>
      </c>
      <c r="AZ76" s="27">
        <v>0.1524502542</v>
      </c>
      <c r="BA76" s="80">
        <f t="shared" si="10"/>
        <v>68.181597065000005</v>
      </c>
      <c r="BB76" s="80">
        <f t="shared" si="11"/>
        <v>0.20571280319999996</v>
      </c>
      <c r="BC76" s="27">
        <v>0.10203189610000001</v>
      </c>
      <c r="BD76" s="80">
        <v>2.8033499999999998E-5</v>
      </c>
      <c r="BE76" s="27">
        <v>721.19965444000002</v>
      </c>
      <c r="BF76" s="27">
        <v>3.5914435199999999</v>
      </c>
      <c r="BG76" s="79">
        <v>7.9425460700000006E-2</v>
      </c>
      <c r="BH76" s="80">
        <v>4.2458559999999999E-4</v>
      </c>
      <c r="BI76" s="27">
        <v>221.14163797</v>
      </c>
      <c r="BJ76" s="27">
        <v>6.2358016434000003</v>
      </c>
      <c r="BK76" s="27">
        <v>582.64216417</v>
      </c>
      <c r="BL76" s="27">
        <v>3.6195978924999999</v>
      </c>
      <c r="BM76" s="27">
        <v>136.63271616</v>
      </c>
      <c r="BN76" s="27">
        <v>0.53833620660000003</v>
      </c>
      <c r="BO76" s="27">
        <v>22.0200402</v>
      </c>
      <c r="BP76" s="27">
        <v>1.10024514E-2</v>
      </c>
      <c r="BQ76" s="27">
        <v>0</v>
      </c>
      <c r="BR76" s="92">
        <v>0</v>
      </c>
      <c r="BS76" s="80" t="s">
        <v>136</v>
      </c>
      <c r="BT76" s="80">
        <v>0</v>
      </c>
      <c r="BU76" s="79">
        <v>2.4877093316000001</v>
      </c>
      <c r="BV76" s="27">
        <v>1.80874577E-2</v>
      </c>
      <c r="BW76" s="27">
        <v>49.562368776</v>
      </c>
      <c r="BX76" s="27">
        <v>0.37474192880000001</v>
      </c>
      <c r="BY76" s="80" t="s">
        <v>136</v>
      </c>
      <c r="BZ76" s="80">
        <v>0</v>
      </c>
      <c r="CA76" s="80" t="s">
        <v>136</v>
      </c>
      <c r="CB76" s="80">
        <v>0</v>
      </c>
      <c r="CC76" s="27">
        <v>79.449684157999997</v>
      </c>
      <c r="CD76" s="27">
        <v>5.61656393E-2</v>
      </c>
      <c r="CE76" s="27">
        <v>55.224787106000001</v>
      </c>
      <c r="CF76" s="92">
        <v>0.1228453513</v>
      </c>
      <c r="CG76" s="80" t="s">
        <v>136</v>
      </c>
      <c r="CH76" s="80">
        <v>0</v>
      </c>
      <c r="CI76" s="80" t="s">
        <v>136</v>
      </c>
      <c r="CJ76" s="80">
        <v>0</v>
      </c>
      <c r="CK76" s="80" t="s">
        <v>136</v>
      </c>
      <c r="CL76" s="80">
        <v>0</v>
      </c>
      <c r="CM76" s="80" t="s">
        <v>136</v>
      </c>
      <c r="CN76" s="80">
        <v>0</v>
      </c>
      <c r="CO76" s="79">
        <v>0.61671786630000003</v>
      </c>
      <c r="CP76" s="27">
        <v>5.4151323000000001E-3</v>
      </c>
      <c r="CQ76" s="27">
        <v>1.7049526161999999</v>
      </c>
      <c r="CR76" s="27">
        <v>1.6714694799999999E-2</v>
      </c>
      <c r="CS76" s="27">
        <v>15.156549857</v>
      </c>
      <c r="CT76" s="27">
        <v>0.120661939</v>
      </c>
      <c r="CU76" s="27">
        <v>80.555830959999994</v>
      </c>
      <c r="CV76" s="92">
        <v>1.6412320079</v>
      </c>
      <c r="CW76" s="80" t="s">
        <v>136</v>
      </c>
      <c r="CX76" s="80">
        <v>0</v>
      </c>
      <c r="CY76" s="80" t="s">
        <v>136</v>
      </c>
      <c r="CZ76" s="80">
        <v>0</v>
      </c>
      <c r="DA76" s="79">
        <v>48.156904703999999</v>
      </c>
      <c r="DB76" s="27">
        <v>0.6204441315</v>
      </c>
      <c r="DC76" s="27">
        <v>100.1455445</v>
      </c>
      <c r="DD76" s="27">
        <v>3.4163728525999999</v>
      </c>
      <c r="DE76" s="27">
        <v>315.69009181000001</v>
      </c>
      <c r="DF76" s="27">
        <v>1.5655135334000001</v>
      </c>
      <c r="DG76" s="27">
        <v>405.50956263</v>
      </c>
      <c r="DH76" s="92">
        <v>2.0259299866</v>
      </c>
      <c r="DI76" s="95">
        <v>2.76589031E-2</v>
      </c>
      <c r="DJ76" s="96">
        <v>4.92569588E-2</v>
      </c>
      <c r="DK76" s="96">
        <v>6.05262757E-2</v>
      </c>
      <c r="DL76" s="96">
        <v>6.6145615599999999E-2</v>
      </c>
      <c r="DM76" s="96">
        <v>6.9004262299999994E-2</v>
      </c>
      <c r="DN76" s="96">
        <v>7.0774675800000006E-2</v>
      </c>
      <c r="DO76" s="96">
        <v>7.1859419600000002E-2</v>
      </c>
      <c r="DP76" s="96">
        <v>7.2600024400000004E-2</v>
      </c>
      <c r="DQ76" s="96">
        <v>7.31354689E-2</v>
      </c>
      <c r="DR76" s="97">
        <v>7.3598109800000006E-2</v>
      </c>
      <c r="DS76" s="93">
        <v>137.67356409000001</v>
      </c>
      <c r="DT76" s="80">
        <v>0.94459578730000004</v>
      </c>
      <c r="DU76" s="80">
        <v>82.549428144000004</v>
      </c>
      <c r="DV76" s="80">
        <v>0.57901396650000003</v>
      </c>
      <c r="DW76" s="80">
        <v>49.647211323999997</v>
      </c>
      <c r="DX76" s="80">
        <v>0.35566590590000002</v>
      </c>
      <c r="DY76" s="80">
        <v>30.229150949000001</v>
      </c>
      <c r="DZ76" s="80">
        <v>0.22203617910000001</v>
      </c>
      <c r="EA76" s="80">
        <v>18.811361932000001</v>
      </c>
      <c r="EB76" s="80">
        <v>0.14251676930000001</v>
      </c>
      <c r="EC76" s="80">
        <v>12.031853965</v>
      </c>
      <c r="ED76" s="80">
        <v>9.4868587099999999E-2</v>
      </c>
      <c r="EE76" s="80">
        <v>7.9361280363000004</v>
      </c>
      <c r="EF76" s="80">
        <v>6.5768526699999996E-2</v>
      </c>
      <c r="EG76" s="80">
        <v>5.3864858276999996</v>
      </c>
      <c r="EH76" s="80">
        <v>4.7347018400000003E-2</v>
      </c>
      <c r="EI76" s="80">
        <v>3.7603157356999999</v>
      </c>
      <c r="EJ76" s="80">
        <v>3.5361635900000001E-2</v>
      </c>
      <c r="EK76" s="80">
        <v>2.6955645948</v>
      </c>
      <c r="EL76" s="94">
        <v>2.7313113300000001E-2</v>
      </c>
    </row>
    <row r="77" spans="1:142" x14ac:dyDescent="0.2">
      <c r="A77" s="79">
        <v>35000</v>
      </c>
      <c r="B77" s="27">
        <v>2498</v>
      </c>
      <c r="C77" s="79">
        <v>4562.0088499000003</v>
      </c>
      <c r="D77" s="27">
        <v>32372.598871999999</v>
      </c>
      <c r="E77" s="27">
        <v>274.13373237000002</v>
      </c>
      <c r="F77" s="27">
        <v>0.1418683181</v>
      </c>
      <c r="G77" s="79">
        <v>338.85706916999999</v>
      </c>
      <c r="H77" s="27">
        <v>3.3366030300000002E-2</v>
      </c>
      <c r="I77" s="27">
        <v>230.13655949</v>
      </c>
      <c r="J77" s="27">
        <v>1.5300763348999999</v>
      </c>
      <c r="K77" s="27">
        <v>139.96077531</v>
      </c>
      <c r="L77" s="27">
        <v>0.85454797979999997</v>
      </c>
      <c r="M77" s="27">
        <v>53.174632367999997</v>
      </c>
      <c r="N77" s="27">
        <v>0.40046825829999999</v>
      </c>
      <c r="O77" s="80" t="s">
        <v>136</v>
      </c>
      <c r="P77" s="80">
        <v>0</v>
      </c>
      <c r="Q77" s="27">
        <v>140.85179955000001</v>
      </c>
      <c r="R77" s="27">
        <v>0.1863087098</v>
      </c>
      <c r="S77" s="80" t="s">
        <v>136</v>
      </c>
      <c r="T77" s="80">
        <v>0</v>
      </c>
      <c r="U77" s="80" t="s">
        <v>136</v>
      </c>
      <c r="V77" s="80">
        <v>0</v>
      </c>
      <c r="W77" s="27">
        <v>2.4492355584999999</v>
      </c>
      <c r="X77" s="27">
        <v>2.3101889300000001E-2</v>
      </c>
      <c r="Y77" s="27">
        <v>99.698799234999996</v>
      </c>
      <c r="Z77" s="27">
        <v>1.8040581862</v>
      </c>
      <c r="AA77" s="80" t="s">
        <v>136</v>
      </c>
      <c r="AB77" s="80">
        <v>0</v>
      </c>
      <c r="AC77" s="27">
        <v>5.3015919999999995E-4</v>
      </c>
      <c r="AD77" s="27">
        <v>2.6078235E-6</v>
      </c>
      <c r="AE77" s="80" t="s">
        <v>136</v>
      </c>
      <c r="AF77" s="80">
        <v>0</v>
      </c>
      <c r="AG77" s="80" t="s">
        <v>136</v>
      </c>
      <c r="AH77" s="80">
        <v>0</v>
      </c>
      <c r="AI77" s="27">
        <f t="shared" si="8"/>
        <v>5.3015919999999995E-4</v>
      </c>
      <c r="AJ77" s="27">
        <f t="shared" si="9"/>
        <v>2.6078235E-6</v>
      </c>
      <c r="AK77" s="27">
        <v>183.86350601999999</v>
      </c>
      <c r="AL77" s="27">
        <v>2.1664008142000002</v>
      </c>
      <c r="AM77" s="80" t="s">
        <v>136</v>
      </c>
      <c r="AN77" s="80">
        <v>0</v>
      </c>
      <c r="AO77" s="80" t="s">
        <v>136</v>
      </c>
      <c r="AP77" s="80">
        <v>0</v>
      </c>
      <c r="AQ77" s="80" t="s">
        <v>136</v>
      </c>
      <c r="AR77" s="80">
        <v>0</v>
      </c>
      <c r="AS77" s="27">
        <v>152.86714861999999</v>
      </c>
      <c r="AT77" s="27">
        <v>4.1157156586000001</v>
      </c>
      <c r="AU77" s="27">
        <v>161.30784387</v>
      </c>
      <c r="AV77" s="27">
        <v>0.95277366320000001</v>
      </c>
      <c r="AW77" s="27">
        <v>68.212275098999996</v>
      </c>
      <c r="AX77" s="27">
        <v>0.58495905329999998</v>
      </c>
      <c r="AY77" s="27">
        <v>21.570476030999998</v>
      </c>
      <c r="AZ77" s="27">
        <v>0.15499371849999999</v>
      </c>
      <c r="BA77" s="80">
        <f t="shared" si="10"/>
        <v>71.525092740000005</v>
      </c>
      <c r="BB77" s="80">
        <f t="shared" si="11"/>
        <v>0.21282089140000005</v>
      </c>
      <c r="BC77" s="27">
        <v>0.10087136469999999</v>
      </c>
      <c r="BD77" s="80">
        <v>2.775E-5</v>
      </c>
      <c r="BE77" s="27">
        <v>774.22480714999995</v>
      </c>
      <c r="BF77" s="27">
        <v>3.7147650198000002</v>
      </c>
      <c r="BG77" s="79">
        <v>8.9943152400000004E-2</v>
      </c>
      <c r="BH77" s="80">
        <v>4.1938229999999998E-4</v>
      </c>
      <c r="BI77" s="27">
        <v>223.46747575000001</v>
      </c>
      <c r="BJ77" s="27">
        <v>6.2882919383999996</v>
      </c>
      <c r="BK77" s="27">
        <v>602.12112602000002</v>
      </c>
      <c r="BL77" s="27">
        <v>3.6898431241999998</v>
      </c>
      <c r="BM77" s="27">
        <v>140.72459107</v>
      </c>
      <c r="BN77" s="27">
        <v>0.54644072870000004</v>
      </c>
      <c r="BO77" s="27">
        <v>32.071855647</v>
      </c>
      <c r="BP77" s="27">
        <v>1.49921338E-2</v>
      </c>
      <c r="BQ77" s="27">
        <v>0</v>
      </c>
      <c r="BR77" s="92">
        <v>0</v>
      </c>
      <c r="BS77" s="80" t="s">
        <v>136</v>
      </c>
      <c r="BT77" s="80">
        <v>0</v>
      </c>
      <c r="BU77" s="79">
        <v>2.6180767487000001</v>
      </c>
      <c r="BV77" s="27">
        <v>1.8975901699999999E-2</v>
      </c>
      <c r="BW77" s="27">
        <v>50.556555619000001</v>
      </c>
      <c r="BX77" s="27">
        <v>0.38149235660000003</v>
      </c>
      <c r="BY77" s="80" t="s">
        <v>136</v>
      </c>
      <c r="BZ77" s="80">
        <v>0</v>
      </c>
      <c r="CA77" s="80" t="s">
        <v>136</v>
      </c>
      <c r="CB77" s="80">
        <v>0</v>
      </c>
      <c r="CC77" s="27">
        <v>83.827554913</v>
      </c>
      <c r="CD77" s="27">
        <v>5.8793162500000003E-2</v>
      </c>
      <c r="CE77" s="27">
        <v>57.024244635000002</v>
      </c>
      <c r="CF77" s="92">
        <v>0.12751554740000001</v>
      </c>
      <c r="CG77" s="80" t="s">
        <v>136</v>
      </c>
      <c r="CH77" s="80">
        <v>0</v>
      </c>
      <c r="CI77" s="80" t="s">
        <v>136</v>
      </c>
      <c r="CJ77" s="80">
        <v>0</v>
      </c>
      <c r="CK77" s="80" t="s">
        <v>136</v>
      </c>
      <c r="CL77" s="80">
        <v>0</v>
      </c>
      <c r="CM77" s="80" t="s">
        <v>136</v>
      </c>
      <c r="CN77" s="80">
        <v>0</v>
      </c>
      <c r="CO77" s="79">
        <v>0.65556407760000002</v>
      </c>
      <c r="CP77" s="27">
        <v>5.4801956000000004E-3</v>
      </c>
      <c r="CQ77" s="27">
        <v>1.7936714809000001</v>
      </c>
      <c r="CR77" s="27">
        <v>1.7621693800000001E-2</v>
      </c>
      <c r="CS77" s="27">
        <v>16.883133809</v>
      </c>
      <c r="CT77" s="27">
        <v>0.12832324749999999</v>
      </c>
      <c r="CU77" s="27">
        <v>82.815665425999995</v>
      </c>
      <c r="CV77" s="92">
        <v>1.6757349387</v>
      </c>
      <c r="CW77" s="80" t="s">
        <v>136</v>
      </c>
      <c r="CX77" s="80">
        <v>0</v>
      </c>
      <c r="CY77" s="80" t="s">
        <v>136</v>
      </c>
      <c r="CZ77" s="80">
        <v>0</v>
      </c>
      <c r="DA77" s="79">
        <v>50.340668569000002</v>
      </c>
      <c r="DB77" s="27">
        <v>0.64423179200000003</v>
      </c>
      <c r="DC77" s="27">
        <v>102.52648005</v>
      </c>
      <c r="DD77" s="27">
        <v>3.4714838665999999</v>
      </c>
      <c r="DE77" s="27">
        <v>348.27082359000002</v>
      </c>
      <c r="DF77" s="27">
        <v>1.6406683688000001</v>
      </c>
      <c r="DG77" s="27">
        <v>425.95398355999998</v>
      </c>
      <c r="DH77" s="92">
        <v>2.0740966510000001</v>
      </c>
      <c r="DI77" s="95">
        <v>3.01454245E-2</v>
      </c>
      <c r="DJ77" s="96">
        <v>5.3802367300000001E-2</v>
      </c>
      <c r="DK77" s="96">
        <v>6.6567001799999997E-2</v>
      </c>
      <c r="DL77" s="96">
        <v>7.3255006400000003E-2</v>
      </c>
      <c r="DM77" s="96">
        <v>7.6863434199999997E-2</v>
      </c>
      <c r="DN77" s="96">
        <v>7.9193054799999996E-2</v>
      </c>
      <c r="DO77" s="96">
        <v>8.0692426299999995E-2</v>
      </c>
      <c r="DP77" s="96">
        <v>8.17279858E-2</v>
      </c>
      <c r="DQ77" s="96">
        <v>8.2476367499999995E-2</v>
      </c>
      <c r="DR77" s="97">
        <v>8.3107505900000003E-2</v>
      </c>
      <c r="DS77" s="93">
        <v>138.96822623</v>
      </c>
      <c r="DT77" s="80">
        <v>0.95273830020000005</v>
      </c>
      <c r="DU77" s="80">
        <v>83.633350820000004</v>
      </c>
      <c r="DV77" s="80">
        <v>0.58589477150000002</v>
      </c>
      <c r="DW77" s="80">
        <v>50.512226642000002</v>
      </c>
      <c r="DX77" s="80">
        <v>0.36121035639999999</v>
      </c>
      <c r="DY77" s="80">
        <v>30.901765567000002</v>
      </c>
      <c r="DZ77" s="80">
        <v>0.22634563539999999</v>
      </c>
      <c r="EA77" s="80">
        <v>19.322795770999999</v>
      </c>
      <c r="EB77" s="80">
        <v>0.14578784780000001</v>
      </c>
      <c r="EC77" s="80">
        <v>12.419569397</v>
      </c>
      <c r="ED77" s="80">
        <v>9.7339683799999993E-2</v>
      </c>
      <c r="EE77" s="80">
        <v>8.2338855434999996</v>
      </c>
      <c r="EF77" s="80">
        <v>6.7649226300000004E-2</v>
      </c>
      <c r="EG77" s="80">
        <v>5.6155338520999996</v>
      </c>
      <c r="EH77" s="80">
        <v>4.8780764599999998E-2</v>
      </c>
      <c r="EI77" s="80">
        <v>3.9340022064000002</v>
      </c>
      <c r="EJ77" s="80">
        <v>3.64352654E-2</v>
      </c>
      <c r="EK77" s="80">
        <v>2.8300660207999999</v>
      </c>
      <c r="EL77" s="94">
        <v>2.8138136099999999E-2</v>
      </c>
    </row>
    <row r="78" spans="1:142" x14ac:dyDescent="0.2">
      <c r="A78" s="79">
        <v>40000</v>
      </c>
      <c r="B78" s="27">
        <v>1748</v>
      </c>
      <c r="C78" s="79">
        <v>4684.5603819999997</v>
      </c>
      <c r="D78" s="27">
        <v>37389.659845000002</v>
      </c>
      <c r="E78" s="27">
        <v>282.73508771000002</v>
      </c>
      <c r="F78" s="27">
        <v>0.14394815</v>
      </c>
      <c r="G78" s="79">
        <v>385.61309484999998</v>
      </c>
      <c r="H78" s="27">
        <v>3.5815139400000001E-2</v>
      </c>
      <c r="I78" s="27">
        <v>231.30165808999999</v>
      </c>
      <c r="J78" s="27">
        <v>1.5373198457999999</v>
      </c>
      <c r="K78" s="27">
        <v>141.98004943999999</v>
      </c>
      <c r="L78" s="27">
        <v>0.86424117840000003</v>
      </c>
      <c r="M78" s="27">
        <v>54.048103552999997</v>
      </c>
      <c r="N78" s="27">
        <v>0.4059965478</v>
      </c>
      <c r="O78" s="80" t="s">
        <v>136</v>
      </c>
      <c r="P78" s="80">
        <v>0</v>
      </c>
      <c r="Q78" s="27">
        <v>145.69612050000001</v>
      </c>
      <c r="R78" s="27">
        <v>0.19166834220000001</v>
      </c>
      <c r="S78" s="80" t="s">
        <v>136</v>
      </c>
      <c r="T78" s="80">
        <v>0</v>
      </c>
      <c r="U78" s="80" t="s">
        <v>136</v>
      </c>
      <c r="V78" s="80">
        <v>0</v>
      </c>
      <c r="W78" s="27">
        <v>2.5429725792000002</v>
      </c>
      <c r="X78" s="27">
        <v>2.3667715299999999E-2</v>
      </c>
      <c r="Y78" s="27">
        <v>102.89645098</v>
      </c>
      <c r="Z78" s="27">
        <v>1.8365144100999999</v>
      </c>
      <c r="AA78" s="80" t="s">
        <v>136</v>
      </c>
      <c r="AB78" s="80">
        <v>0</v>
      </c>
      <c r="AC78" s="27">
        <v>5.293893E-4</v>
      </c>
      <c r="AD78" s="27">
        <v>2.6040362999999999E-6</v>
      </c>
      <c r="AE78" s="80" t="s">
        <v>136</v>
      </c>
      <c r="AF78" s="80">
        <v>0</v>
      </c>
      <c r="AG78" s="80" t="s">
        <v>136</v>
      </c>
      <c r="AH78" s="80">
        <v>0</v>
      </c>
      <c r="AI78" s="27">
        <f t="shared" si="8"/>
        <v>5.293893E-4</v>
      </c>
      <c r="AJ78" s="27">
        <f t="shared" si="9"/>
        <v>2.6040362999999999E-6</v>
      </c>
      <c r="AK78" s="27">
        <v>185.22749673999999</v>
      </c>
      <c r="AL78" s="27">
        <v>2.1785007941000001</v>
      </c>
      <c r="AM78" s="80" t="s">
        <v>136</v>
      </c>
      <c r="AN78" s="80">
        <v>0</v>
      </c>
      <c r="AO78" s="80" t="s">
        <v>136</v>
      </c>
      <c r="AP78" s="80">
        <v>0</v>
      </c>
      <c r="AQ78" s="80" t="s">
        <v>136</v>
      </c>
      <c r="AR78" s="80">
        <v>0</v>
      </c>
      <c r="AS78" s="27">
        <v>156.02951558999999</v>
      </c>
      <c r="AT78" s="27">
        <v>4.1702898823999996</v>
      </c>
      <c r="AU78" s="27">
        <v>166.5264823</v>
      </c>
      <c r="AV78" s="27">
        <v>0.97378854579999996</v>
      </c>
      <c r="AW78" s="27">
        <v>69.936982647999997</v>
      </c>
      <c r="AX78" s="27">
        <v>0.59752280300000005</v>
      </c>
      <c r="AY78" s="27">
        <v>21.935363827</v>
      </c>
      <c r="AZ78" s="27">
        <v>0.1568716399</v>
      </c>
      <c r="BA78" s="80">
        <f t="shared" si="10"/>
        <v>74.654135824999997</v>
      </c>
      <c r="BB78" s="80">
        <f t="shared" si="11"/>
        <v>0.21939410289999994</v>
      </c>
      <c r="BC78" s="27">
        <v>0.12754410560000001</v>
      </c>
      <c r="BD78" s="80">
        <v>3.26219E-5</v>
      </c>
      <c r="BE78" s="27">
        <v>812.32554315000004</v>
      </c>
      <c r="BF78" s="27">
        <v>3.8021348789</v>
      </c>
      <c r="BG78" s="79">
        <v>9.8022965899999995E-2</v>
      </c>
      <c r="BH78" s="80">
        <v>4.6873770000000002E-4</v>
      </c>
      <c r="BI78" s="27">
        <v>225.33278038</v>
      </c>
      <c r="BJ78" s="27">
        <v>6.3325047050999999</v>
      </c>
      <c r="BK78" s="27">
        <v>615.79949262000002</v>
      </c>
      <c r="BL78" s="27">
        <v>3.7366841850000001</v>
      </c>
      <c r="BM78" s="27">
        <v>143.55071186000001</v>
      </c>
      <c r="BN78" s="27">
        <v>0.55125353619999995</v>
      </c>
      <c r="BO78" s="27">
        <v>42.150937132999999</v>
      </c>
      <c r="BP78" s="27">
        <v>1.84718231E-2</v>
      </c>
      <c r="BQ78" s="27">
        <v>0</v>
      </c>
      <c r="BR78" s="92">
        <v>0</v>
      </c>
      <c r="BS78" s="80" t="s">
        <v>136</v>
      </c>
      <c r="BT78" s="80">
        <v>0</v>
      </c>
      <c r="BU78" s="79">
        <v>2.7903619467</v>
      </c>
      <c r="BV78" s="27">
        <v>1.9757759400000002E-2</v>
      </c>
      <c r="BW78" s="27">
        <v>51.257741606000003</v>
      </c>
      <c r="BX78" s="27">
        <v>0.38623878849999999</v>
      </c>
      <c r="BY78" s="80" t="s">
        <v>136</v>
      </c>
      <c r="BZ78" s="80">
        <v>0</v>
      </c>
      <c r="CA78" s="80" t="s">
        <v>136</v>
      </c>
      <c r="CB78" s="80">
        <v>0</v>
      </c>
      <c r="CC78" s="27">
        <v>87.012185529999996</v>
      </c>
      <c r="CD78" s="27">
        <v>6.0634211100000002E-2</v>
      </c>
      <c r="CE78" s="27">
        <v>58.683934968000003</v>
      </c>
      <c r="CF78" s="92">
        <v>0.13103413110000001</v>
      </c>
      <c r="CG78" s="80" t="s">
        <v>136</v>
      </c>
      <c r="CH78" s="80">
        <v>0</v>
      </c>
      <c r="CI78" s="80" t="s">
        <v>136</v>
      </c>
      <c r="CJ78" s="80">
        <v>0</v>
      </c>
      <c r="CK78" s="80" t="s">
        <v>136</v>
      </c>
      <c r="CL78" s="80">
        <v>0</v>
      </c>
      <c r="CM78" s="80" t="s">
        <v>136</v>
      </c>
      <c r="CN78" s="80">
        <v>0</v>
      </c>
      <c r="CO78" s="79">
        <v>0.70558169370000001</v>
      </c>
      <c r="CP78" s="27">
        <v>5.736891E-3</v>
      </c>
      <c r="CQ78" s="27">
        <v>1.8373908854000001</v>
      </c>
      <c r="CR78" s="27">
        <v>1.7930824299999999E-2</v>
      </c>
      <c r="CS78" s="27">
        <v>18.281593153999999</v>
      </c>
      <c r="CT78" s="27">
        <v>0.13396119679999999</v>
      </c>
      <c r="CU78" s="27">
        <v>84.614857821000001</v>
      </c>
      <c r="CV78" s="92">
        <v>1.7025532133000001</v>
      </c>
      <c r="CW78" s="80" t="s">
        <v>136</v>
      </c>
      <c r="CX78" s="80">
        <v>0</v>
      </c>
      <c r="CY78" s="80" t="s">
        <v>136</v>
      </c>
      <c r="CZ78" s="80">
        <v>0</v>
      </c>
      <c r="DA78" s="79">
        <v>51.871391273</v>
      </c>
      <c r="DB78" s="27">
        <v>0.66131258250000002</v>
      </c>
      <c r="DC78" s="27">
        <v>104.15812432</v>
      </c>
      <c r="DD78" s="27">
        <v>3.5089772999000002</v>
      </c>
      <c r="DE78" s="27">
        <v>370.86340302999997</v>
      </c>
      <c r="DF78" s="27">
        <v>1.6920077716999999</v>
      </c>
      <c r="DG78" s="27">
        <v>441.46214012000002</v>
      </c>
      <c r="DH78" s="92">
        <v>2.1101271071999999</v>
      </c>
      <c r="DI78" s="95">
        <v>3.2142758100000002E-2</v>
      </c>
      <c r="DJ78" s="96">
        <v>5.7441988999999999E-2</v>
      </c>
      <c r="DK78" s="96">
        <v>7.1423528E-2</v>
      </c>
      <c r="DL78" s="96">
        <v>7.8915237200000002E-2</v>
      </c>
      <c r="DM78" s="96">
        <v>8.3113943800000006E-2</v>
      </c>
      <c r="DN78" s="96">
        <v>8.5845361800000006E-2</v>
      </c>
      <c r="DO78" s="96">
        <v>8.7637305499999998E-2</v>
      </c>
      <c r="DP78" s="96">
        <v>8.88961942E-2</v>
      </c>
      <c r="DQ78" s="96">
        <v>8.9792574E-2</v>
      </c>
      <c r="DR78" s="97">
        <v>9.0540569500000001E-2</v>
      </c>
      <c r="DS78" s="93">
        <v>140.02027759000001</v>
      </c>
      <c r="DT78" s="80">
        <v>0.95930553169999999</v>
      </c>
      <c r="DU78" s="80">
        <v>84.517054552000005</v>
      </c>
      <c r="DV78" s="80">
        <v>0.59146758850000003</v>
      </c>
      <c r="DW78" s="80">
        <v>51.213236758999997</v>
      </c>
      <c r="DX78" s="80">
        <v>0.36567537979999998</v>
      </c>
      <c r="DY78" s="80">
        <v>31.437213626999998</v>
      </c>
      <c r="DZ78" s="80">
        <v>0.2297967393</v>
      </c>
      <c r="EA78" s="80">
        <v>19.719197768000001</v>
      </c>
      <c r="EB78" s="80">
        <v>0.14838336469999999</v>
      </c>
      <c r="EC78" s="80">
        <v>12.705139962000001</v>
      </c>
      <c r="ED78" s="80">
        <v>9.9255847800000005E-2</v>
      </c>
      <c r="EE78" s="80">
        <v>8.4370849585999999</v>
      </c>
      <c r="EF78" s="80">
        <v>6.9071454700000007E-2</v>
      </c>
      <c r="EG78" s="80">
        <v>5.7634364510999996</v>
      </c>
      <c r="EH78" s="80">
        <v>4.98633094E-2</v>
      </c>
      <c r="EI78" s="80">
        <v>4.0438508682999998</v>
      </c>
      <c r="EJ78" s="80">
        <v>3.7259673299999997E-2</v>
      </c>
      <c r="EK78" s="80">
        <v>2.9120060808999999</v>
      </c>
      <c r="EL78" s="94">
        <v>2.87692287E-2</v>
      </c>
    </row>
    <row r="79" spans="1:142" x14ac:dyDescent="0.2">
      <c r="A79" s="79">
        <v>45000</v>
      </c>
      <c r="B79" s="27">
        <v>1344</v>
      </c>
      <c r="C79" s="79">
        <v>4787.7754017999996</v>
      </c>
      <c r="D79" s="27">
        <v>42448.412929999999</v>
      </c>
      <c r="E79" s="27">
        <v>290.47380691000001</v>
      </c>
      <c r="F79" s="27">
        <v>0.14584447189999999</v>
      </c>
      <c r="G79" s="79">
        <v>428.10790221000002</v>
      </c>
      <c r="H79" s="27">
        <v>3.7898327799999999E-2</v>
      </c>
      <c r="I79" s="27">
        <v>232.46517854000001</v>
      </c>
      <c r="J79" s="27">
        <v>1.5434530918</v>
      </c>
      <c r="K79" s="27">
        <v>143.92156646999999</v>
      </c>
      <c r="L79" s="27">
        <v>0.87315864669999999</v>
      </c>
      <c r="M79" s="27">
        <v>54.680741888</v>
      </c>
      <c r="N79" s="27">
        <v>0.40998087709999997</v>
      </c>
      <c r="O79" s="80" t="s">
        <v>136</v>
      </c>
      <c r="P79" s="80">
        <v>0</v>
      </c>
      <c r="Q79" s="27">
        <v>149.74530611</v>
      </c>
      <c r="R79" s="27">
        <v>0.19664974639999999</v>
      </c>
      <c r="S79" s="80" t="s">
        <v>136</v>
      </c>
      <c r="T79" s="80">
        <v>0</v>
      </c>
      <c r="U79" s="80" t="s">
        <v>136</v>
      </c>
      <c r="V79" s="80">
        <v>0</v>
      </c>
      <c r="W79" s="27">
        <v>2.6000433823</v>
      </c>
      <c r="X79" s="27">
        <v>2.4049247700000002E-2</v>
      </c>
      <c r="Y79" s="27">
        <v>106.09155902000001</v>
      </c>
      <c r="Z79" s="27">
        <v>1.8654061419000001</v>
      </c>
      <c r="AA79" s="80" t="s">
        <v>136</v>
      </c>
      <c r="AB79" s="80">
        <v>0</v>
      </c>
      <c r="AC79" s="27">
        <v>5.288596E-4</v>
      </c>
      <c r="AD79" s="27">
        <v>2.6014308000000001E-6</v>
      </c>
      <c r="AE79" s="80" t="s">
        <v>136</v>
      </c>
      <c r="AF79" s="80">
        <v>0</v>
      </c>
      <c r="AG79" s="80" t="s">
        <v>136</v>
      </c>
      <c r="AH79" s="80">
        <v>0</v>
      </c>
      <c r="AI79" s="27">
        <f t="shared" si="8"/>
        <v>5.288596E-4</v>
      </c>
      <c r="AJ79" s="27">
        <f t="shared" si="9"/>
        <v>2.6014308000000001E-6</v>
      </c>
      <c r="AK79" s="27">
        <v>186.26992928000001</v>
      </c>
      <c r="AL79" s="27">
        <v>2.1881591967</v>
      </c>
      <c r="AM79" s="80" t="s">
        <v>136</v>
      </c>
      <c r="AN79" s="80">
        <v>0</v>
      </c>
      <c r="AO79" s="80" t="s">
        <v>136</v>
      </c>
      <c r="AP79" s="80">
        <v>0</v>
      </c>
      <c r="AQ79" s="80" t="s">
        <v>136</v>
      </c>
      <c r="AR79" s="80">
        <v>0</v>
      </c>
      <c r="AS79" s="27">
        <v>158.82532792999999</v>
      </c>
      <c r="AT79" s="27">
        <v>4.2186546093999997</v>
      </c>
      <c r="AU79" s="27">
        <v>171.17097111000001</v>
      </c>
      <c r="AV79" s="27">
        <v>0.99235866289999997</v>
      </c>
      <c r="AW79" s="27">
        <v>71.860567474999996</v>
      </c>
      <c r="AX79" s="27">
        <v>0.60963307929999999</v>
      </c>
      <c r="AY79" s="27">
        <v>22.171531036000001</v>
      </c>
      <c r="AZ79" s="27">
        <v>0.15806326430000001</v>
      </c>
      <c r="BA79" s="80">
        <f t="shared" si="10"/>
        <v>77.13887259900001</v>
      </c>
      <c r="BB79" s="80">
        <f t="shared" si="11"/>
        <v>0.22466231930000002</v>
      </c>
      <c r="BC79" s="27">
        <v>0.2208101582</v>
      </c>
      <c r="BD79" s="80">
        <v>4.9254800000000001E-5</v>
      </c>
      <c r="BE79" s="27">
        <v>846.91606217000003</v>
      </c>
      <c r="BF79" s="27">
        <v>3.8810494921999998</v>
      </c>
      <c r="BG79" s="79">
        <v>0.108476643</v>
      </c>
      <c r="BH79" s="80">
        <v>5.9467400000000001E-4</v>
      </c>
      <c r="BI79" s="27">
        <v>226.87108742999999</v>
      </c>
      <c r="BJ79" s="27">
        <v>6.3664485277000002</v>
      </c>
      <c r="BK79" s="27">
        <v>627.53682661000005</v>
      </c>
      <c r="BL79" s="27">
        <v>3.7772029783000001</v>
      </c>
      <c r="BM79" s="27">
        <v>145.84895958000001</v>
      </c>
      <c r="BN79" s="27">
        <v>0.5554189866</v>
      </c>
      <c r="BO79" s="27">
        <v>49.082722373999999</v>
      </c>
      <c r="BP79" s="27">
        <v>2.08160186E-2</v>
      </c>
      <c r="BQ79" s="27">
        <v>0</v>
      </c>
      <c r="BR79" s="92">
        <v>0</v>
      </c>
      <c r="BS79" s="80" t="s">
        <v>136</v>
      </c>
      <c r="BT79" s="80">
        <v>0</v>
      </c>
      <c r="BU79" s="79">
        <v>2.9564084601</v>
      </c>
      <c r="BV79" s="27">
        <v>2.0419006999999999E-2</v>
      </c>
      <c r="BW79" s="27">
        <v>51.724333426999998</v>
      </c>
      <c r="BX79" s="27">
        <v>0.38956187009999999</v>
      </c>
      <c r="BY79" s="80" t="s">
        <v>136</v>
      </c>
      <c r="BZ79" s="80">
        <v>0</v>
      </c>
      <c r="CA79" s="80" t="s">
        <v>136</v>
      </c>
      <c r="CB79" s="80">
        <v>0</v>
      </c>
      <c r="CC79" s="27">
        <v>89.690660801000007</v>
      </c>
      <c r="CD79" s="27">
        <v>6.23537916E-2</v>
      </c>
      <c r="CE79" s="27">
        <v>60.054645311000002</v>
      </c>
      <c r="CF79" s="92">
        <v>0.13429595480000001</v>
      </c>
      <c r="CG79" s="80" t="s">
        <v>136</v>
      </c>
      <c r="CH79" s="80">
        <v>0</v>
      </c>
      <c r="CI79" s="80" t="s">
        <v>136</v>
      </c>
      <c r="CJ79" s="80">
        <v>0</v>
      </c>
      <c r="CK79" s="80" t="s">
        <v>136</v>
      </c>
      <c r="CL79" s="80">
        <v>0</v>
      </c>
      <c r="CM79" s="80" t="s">
        <v>136</v>
      </c>
      <c r="CN79" s="80">
        <v>0</v>
      </c>
      <c r="CO79" s="79">
        <v>0.74106565700000004</v>
      </c>
      <c r="CP79" s="27">
        <v>5.9228509000000002E-3</v>
      </c>
      <c r="CQ79" s="27">
        <v>1.8589777253999999</v>
      </c>
      <c r="CR79" s="27">
        <v>1.81263968E-2</v>
      </c>
      <c r="CS79" s="27">
        <v>20.110287578000001</v>
      </c>
      <c r="CT79" s="27">
        <v>0.14137280369999999</v>
      </c>
      <c r="CU79" s="27">
        <v>85.981271442999997</v>
      </c>
      <c r="CV79" s="92">
        <v>1.7240333381999999</v>
      </c>
      <c r="CW79" s="80" t="s">
        <v>136</v>
      </c>
      <c r="CX79" s="80">
        <v>0</v>
      </c>
      <c r="CY79" s="80" t="s">
        <v>136</v>
      </c>
      <c r="CZ79" s="80">
        <v>0</v>
      </c>
      <c r="DA79" s="79">
        <v>53.194552045999998</v>
      </c>
      <c r="DB79" s="27">
        <v>0.67568219399999996</v>
      </c>
      <c r="DC79" s="27">
        <v>105.63077588</v>
      </c>
      <c r="DD79" s="27">
        <v>3.5429724153</v>
      </c>
      <c r="DE79" s="27">
        <v>391.17321507000003</v>
      </c>
      <c r="DF79" s="27">
        <v>1.7369174108000001</v>
      </c>
      <c r="DG79" s="27">
        <v>455.74284709</v>
      </c>
      <c r="DH79" s="92">
        <v>2.1441320813</v>
      </c>
      <c r="DI79" s="95">
        <v>3.37617796E-2</v>
      </c>
      <c r="DJ79" s="96">
        <v>6.0402179100000002E-2</v>
      </c>
      <c r="DK79" s="96">
        <v>7.5459284900000007E-2</v>
      </c>
      <c r="DL79" s="96">
        <v>8.36550296E-2</v>
      </c>
      <c r="DM79" s="96">
        <v>8.8377900199999998E-2</v>
      </c>
      <c r="DN79" s="96">
        <v>9.1520628500000006E-2</v>
      </c>
      <c r="DO79" s="96">
        <v>9.3645262399999998E-2</v>
      </c>
      <c r="DP79" s="96">
        <v>9.51427361E-2</v>
      </c>
      <c r="DQ79" s="96">
        <v>9.62222982E-2</v>
      </c>
      <c r="DR79" s="97">
        <v>9.7108476599999993E-2</v>
      </c>
      <c r="DS79" s="93">
        <v>141.07068405000001</v>
      </c>
      <c r="DT79" s="80">
        <v>0.9648766741</v>
      </c>
      <c r="DU79" s="80">
        <v>85.415334595000004</v>
      </c>
      <c r="DV79" s="80">
        <v>0.59623893679999995</v>
      </c>
      <c r="DW79" s="80">
        <v>51.957532849000003</v>
      </c>
      <c r="DX79" s="80">
        <v>0.3696347572</v>
      </c>
      <c r="DY79" s="80">
        <v>32.043755249999997</v>
      </c>
      <c r="DZ79" s="80">
        <v>0.23302403290000001</v>
      </c>
      <c r="EA79" s="80">
        <v>20.211240525000001</v>
      </c>
      <c r="EB79" s="80">
        <v>0.1510052684</v>
      </c>
      <c r="EC79" s="80">
        <v>13.106122988999999</v>
      </c>
      <c r="ED79" s="80">
        <v>0.1014180335</v>
      </c>
      <c r="EE79" s="80">
        <v>8.7583261503000003</v>
      </c>
      <c r="EF79" s="80">
        <v>7.0850669000000005E-2</v>
      </c>
      <c r="EG79" s="80">
        <v>6.0207851506000001</v>
      </c>
      <c r="EH79" s="80">
        <v>5.1348871599999998E-2</v>
      </c>
      <c r="EI79" s="80">
        <v>4.2609119147000003</v>
      </c>
      <c r="EJ79" s="80">
        <v>3.8525275300000002E-2</v>
      </c>
      <c r="EK79" s="80">
        <v>3.0935539393</v>
      </c>
      <c r="EL79" s="94">
        <v>2.9848401699999999E-2</v>
      </c>
    </row>
    <row r="80" spans="1:142" x14ac:dyDescent="0.2">
      <c r="A80" s="79">
        <v>50000</v>
      </c>
      <c r="B80" s="27">
        <v>1089</v>
      </c>
      <c r="C80" s="79">
        <v>4874.5783800999998</v>
      </c>
      <c r="D80" s="27">
        <v>47395.202388999998</v>
      </c>
      <c r="E80" s="27">
        <v>296.41089319999998</v>
      </c>
      <c r="F80" s="27">
        <v>0.147257152</v>
      </c>
      <c r="G80" s="79">
        <v>470.7492307</v>
      </c>
      <c r="H80" s="27">
        <v>3.9781496E-2</v>
      </c>
      <c r="I80" s="27">
        <v>233.20176656000001</v>
      </c>
      <c r="J80" s="27">
        <v>1.5470751524999999</v>
      </c>
      <c r="K80" s="27">
        <v>146.13351627</v>
      </c>
      <c r="L80" s="27">
        <v>0.88052895450000002</v>
      </c>
      <c r="M80" s="27">
        <v>55.469716810000001</v>
      </c>
      <c r="N80" s="27">
        <v>0.4146657017</v>
      </c>
      <c r="O80" s="80" t="s">
        <v>136</v>
      </c>
      <c r="P80" s="80">
        <v>0</v>
      </c>
      <c r="Q80" s="27">
        <v>153.28986209000001</v>
      </c>
      <c r="R80" s="27">
        <v>0.20050744449999999</v>
      </c>
      <c r="S80" s="80" t="s">
        <v>136</v>
      </c>
      <c r="T80" s="80">
        <v>0</v>
      </c>
      <c r="U80" s="80" t="s">
        <v>136</v>
      </c>
      <c r="V80" s="80">
        <v>0</v>
      </c>
      <c r="W80" s="27">
        <v>2.7381641899</v>
      </c>
      <c r="X80" s="27">
        <v>2.4953501499999999E-2</v>
      </c>
      <c r="Y80" s="27">
        <v>108.49080046</v>
      </c>
      <c r="Z80" s="27">
        <v>1.886666669</v>
      </c>
      <c r="AA80" s="80" t="s">
        <v>136</v>
      </c>
      <c r="AB80" s="80">
        <v>0</v>
      </c>
      <c r="AC80" s="27">
        <v>5.2846299999999996E-4</v>
      </c>
      <c r="AD80" s="27">
        <v>2.5994801000000001E-6</v>
      </c>
      <c r="AE80" s="80" t="s">
        <v>136</v>
      </c>
      <c r="AF80" s="80">
        <v>0</v>
      </c>
      <c r="AG80" s="80" t="s">
        <v>136</v>
      </c>
      <c r="AH80" s="80">
        <v>0</v>
      </c>
      <c r="AI80" s="27">
        <f t="shared" si="8"/>
        <v>5.2846299999999996E-4</v>
      </c>
      <c r="AJ80" s="27">
        <f t="shared" si="9"/>
        <v>2.5994801000000001E-6</v>
      </c>
      <c r="AK80" s="27">
        <v>187.23818094999999</v>
      </c>
      <c r="AL80" s="27">
        <v>2.1959677043000001</v>
      </c>
      <c r="AM80" s="80" t="s">
        <v>136</v>
      </c>
      <c r="AN80" s="80">
        <v>0</v>
      </c>
      <c r="AO80" s="80" t="s">
        <v>136</v>
      </c>
      <c r="AP80" s="80">
        <v>0</v>
      </c>
      <c r="AQ80" s="80" t="s">
        <v>136</v>
      </c>
      <c r="AR80" s="80">
        <v>0</v>
      </c>
      <c r="AS80" s="27">
        <v>161.17957852999999</v>
      </c>
      <c r="AT80" s="27">
        <v>4.2565192210999996</v>
      </c>
      <c r="AU80" s="27">
        <v>174.69688643000001</v>
      </c>
      <c r="AV80" s="27">
        <v>1.0065197466</v>
      </c>
      <c r="AW80" s="27">
        <v>73.243437697000005</v>
      </c>
      <c r="AX80" s="27">
        <v>0.61910351939999997</v>
      </c>
      <c r="AY80" s="27">
        <v>22.331184986</v>
      </c>
      <c r="AZ80" s="27">
        <v>0.158906982</v>
      </c>
      <c r="BA80" s="80">
        <f t="shared" si="10"/>
        <v>79.122263747000005</v>
      </c>
      <c r="BB80" s="80">
        <f t="shared" si="11"/>
        <v>0.22850924520000004</v>
      </c>
      <c r="BC80" s="27">
        <v>0.29445839260000001</v>
      </c>
      <c r="BD80" s="80">
        <v>6.0855600000000001E-5</v>
      </c>
      <c r="BE80" s="27">
        <v>877.51759330000004</v>
      </c>
      <c r="BF80" s="27">
        <v>3.9468689666999999</v>
      </c>
      <c r="BG80" s="79">
        <v>0.11537351160000001</v>
      </c>
      <c r="BH80" s="80">
        <v>7.0677779999999996E-4</v>
      </c>
      <c r="BI80" s="27">
        <v>228.15520960999999</v>
      </c>
      <c r="BJ80" s="27">
        <v>6.3932771493000002</v>
      </c>
      <c r="BK80" s="27">
        <v>635.92370888000005</v>
      </c>
      <c r="BL80" s="27">
        <v>3.8071689819999999</v>
      </c>
      <c r="BM80" s="27">
        <v>147.47547582000001</v>
      </c>
      <c r="BN80" s="27">
        <v>0.55827407610000002</v>
      </c>
      <c r="BO80" s="27">
        <v>56.620191550999998</v>
      </c>
      <c r="BP80" s="27">
        <v>2.30335565E-2</v>
      </c>
      <c r="BQ80" s="27">
        <v>0</v>
      </c>
      <c r="BR80" s="92">
        <v>0</v>
      </c>
      <c r="BS80" s="80" t="s">
        <v>136</v>
      </c>
      <c r="BT80" s="80">
        <v>0</v>
      </c>
      <c r="BU80" s="79">
        <v>3.1237585085999999</v>
      </c>
      <c r="BV80" s="27">
        <v>2.1123393800000001E-2</v>
      </c>
      <c r="BW80" s="27">
        <v>52.345958301000003</v>
      </c>
      <c r="BX80" s="27">
        <v>0.39354230800000001</v>
      </c>
      <c r="BY80" s="80" t="s">
        <v>136</v>
      </c>
      <c r="BZ80" s="80">
        <v>0</v>
      </c>
      <c r="CA80" s="80" t="s">
        <v>136</v>
      </c>
      <c r="CB80" s="80">
        <v>0</v>
      </c>
      <c r="CC80" s="27">
        <v>91.986343223999995</v>
      </c>
      <c r="CD80" s="27">
        <v>6.3600230999999993E-2</v>
      </c>
      <c r="CE80" s="27">
        <v>61.303518869999998</v>
      </c>
      <c r="CF80" s="92">
        <v>0.13690721350000001</v>
      </c>
      <c r="CG80" s="80" t="s">
        <v>136</v>
      </c>
      <c r="CH80" s="80">
        <v>0</v>
      </c>
      <c r="CI80" s="80" t="s">
        <v>136</v>
      </c>
      <c r="CJ80" s="80">
        <v>0</v>
      </c>
      <c r="CK80" s="80" t="s">
        <v>136</v>
      </c>
      <c r="CL80" s="80">
        <v>0</v>
      </c>
      <c r="CM80" s="80" t="s">
        <v>136</v>
      </c>
      <c r="CN80" s="80">
        <v>0</v>
      </c>
      <c r="CO80" s="79">
        <v>0.77140080010000001</v>
      </c>
      <c r="CP80" s="27">
        <v>5.9903676999999997E-3</v>
      </c>
      <c r="CQ80" s="27">
        <v>1.9667633899000001</v>
      </c>
      <c r="CR80" s="27">
        <v>1.89631338E-2</v>
      </c>
      <c r="CS80" s="27">
        <v>21.387038149999999</v>
      </c>
      <c r="CT80" s="27">
        <v>0.1468496708</v>
      </c>
      <c r="CU80" s="27">
        <v>87.103762313000004</v>
      </c>
      <c r="CV80" s="92">
        <v>1.7398169982</v>
      </c>
      <c r="CW80" s="80" t="s">
        <v>136</v>
      </c>
      <c r="CX80" s="80">
        <v>0</v>
      </c>
      <c r="CY80" s="80" t="s">
        <v>136</v>
      </c>
      <c r="CZ80" s="80">
        <v>0</v>
      </c>
      <c r="DA80" s="79">
        <v>54.354155988000002</v>
      </c>
      <c r="DB80" s="27">
        <v>0.68681247619999997</v>
      </c>
      <c r="DC80" s="27">
        <v>106.82542254000001</v>
      </c>
      <c r="DD80" s="27">
        <v>3.569706745</v>
      </c>
      <c r="DE80" s="27">
        <v>409.52472130000001</v>
      </c>
      <c r="DF80" s="27">
        <v>1.7752726735</v>
      </c>
      <c r="DG80" s="27">
        <v>467.99287199999998</v>
      </c>
      <c r="DH80" s="92">
        <v>2.1715962931999999</v>
      </c>
      <c r="DI80" s="95">
        <v>3.5203589100000002E-2</v>
      </c>
      <c r="DJ80" s="96">
        <v>6.30419542E-2</v>
      </c>
      <c r="DK80" s="96">
        <v>7.9030424500000002E-2</v>
      </c>
      <c r="DL80" s="96">
        <v>8.7859020499999996E-2</v>
      </c>
      <c r="DM80" s="96">
        <v>9.3065060800000002E-2</v>
      </c>
      <c r="DN80" s="96">
        <v>9.6589036399999995E-2</v>
      </c>
      <c r="DO80" s="96">
        <v>9.9004482399999996E-2</v>
      </c>
      <c r="DP80" s="96">
        <v>0.1007294356</v>
      </c>
      <c r="DQ80" s="96">
        <v>0.1019946701</v>
      </c>
      <c r="DR80" s="97">
        <v>0.1030271051</v>
      </c>
      <c r="DS80" s="93">
        <v>141.72861695</v>
      </c>
      <c r="DT80" s="80">
        <v>0.96814985850000002</v>
      </c>
      <c r="DU80" s="80">
        <v>85.969078741999994</v>
      </c>
      <c r="DV80" s="80">
        <v>0.59899713290000001</v>
      </c>
      <c r="DW80" s="80">
        <v>52.407486630000001</v>
      </c>
      <c r="DX80" s="80">
        <v>0.3718562084</v>
      </c>
      <c r="DY80" s="80">
        <v>32.400659746999999</v>
      </c>
      <c r="DZ80" s="80">
        <v>0.23476675629999999</v>
      </c>
      <c r="EA80" s="80">
        <v>20.484159167000001</v>
      </c>
      <c r="EB80" s="80">
        <v>0.15231832779999999</v>
      </c>
      <c r="EC80" s="80">
        <v>13.311213728</v>
      </c>
      <c r="ED80" s="80">
        <v>0.1023860387</v>
      </c>
      <c r="EE80" s="80">
        <v>8.9076078377000005</v>
      </c>
      <c r="EF80" s="80">
        <v>7.1544831099999998E-2</v>
      </c>
      <c r="EG80" s="80">
        <v>6.1252914154999996</v>
      </c>
      <c r="EH80" s="80">
        <v>5.1837259500000003E-2</v>
      </c>
      <c r="EI80" s="80">
        <v>4.3370659844999997</v>
      </c>
      <c r="EJ80" s="80">
        <v>3.8880775100000001E-2</v>
      </c>
      <c r="EK80" s="80">
        <v>3.1465469206000001</v>
      </c>
      <c r="EL80" s="94">
        <v>3.0102123500000001E-2</v>
      </c>
    </row>
    <row r="81" spans="1:142" x14ac:dyDescent="0.2">
      <c r="A81" s="79">
        <v>100000</v>
      </c>
      <c r="B81" s="27">
        <v>4262</v>
      </c>
      <c r="C81" s="79">
        <v>5314.6534347999996</v>
      </c>
      <c r="D81" s="27">
        <v>67427.634216000006</v>
      </c>
      <c r="E81" s="27">
        <v>320.41405868999999</v>
      </c>
      <c r="F81" s="27">
        <v>0.15316523509999999</v>
      </c>
      <c r="G81" s="79">
        <v>742.21747676999996</v>
      </c>
      <c r="H81" s="27">
        <v>4.9068564500000002E-2</v>
      </c>
      <c r="I81" s="27">
        <v>236.75326673999999</v>
      </c>
      <c r="J81" s="27">
        <v>1.5624684064000001</v>
      </c>
      <c r="K81" s="27">
        <v>156.3899624</v>
      </c>
      <c r="L81" s="27">
        <v>0.91334237640000004</v>
      </c>
      <c r="M81" s="27">
        <v>58.611668428999998</v>
      </c>
      <c r="N81" s="27">
        <v>0.43155509019999999</v>
      </c>
      <c r="O81" s="80" t="s">
        <v>136</v>
      </c>
      <c r="P81" s="80">
        <v>0</v>
      </c>
      <c r="Q81" s="27">
        <v>173.27057452</v>
      </c>
      <c r="R81" s="27">
        <v>0.22286492359999999</v>
      </c>
      <c r="S81" s="80" t="s">
        <v>136</v>
      </c>
      <c r="T81" s="80">
        <v>0</v>
      </c>
      <c r="U81" s="80" t="s">
        <v>136</v>
      </c>
      <c r="V81" s="80">
        <v>0</v>
      </c>
      <c r="W81" s="27">
        <v>3.3107358017999999</v>
      </c>
      <c r="X81" s="27">
        <v>2.8389820999999999E-2</v>
      </c>
      <c r="Y81" s="27">
        <v>118.36781937000001</v>
      </c>
      <c r="Z81" s="27">
        <v>1.9681001531</v>
      </c>
      <c r="AA81" s="80" t="s">
        <v>136</v>
      </c>
      <c r="AB81" s="80">
        <v>0</v>
      </c>
      <c r="AC81" s="27">
        <v>5.2638420000000003E-4</v>
      </c>
      <c r="AD81" s="27">
        <v>2.5892546E-6</v>
      </c>
      <c r="AE81" s="80" t="s">
        <v>136</v>
      </c>
      <c r="AF81" s="80">
        <v>0</v>
      </c>
      <c r="AG81" s="80" t="s">
        <v>136</v>
      </c>
      <c r="AH81" s="80">
        <v>0</v>
      </c>
      <c r="AI81" s="27">
        <f t="shared" si="8"/>
        <v>5.2638420000000003E-4</v>
      </c>
      <c r="AJ81" s="27">
        <f t="shared" si="9"/>
        <v>2.5892546E-6</v>
      </c>
      <c r="AK81" s="27">
        <v>190.78152901000001</v>
      </c>
      <c r="AL81" s="27">
        <v>2.2305746657999999</v>
      </c>
      <c r="AM81" s="80" t="s">
        <v>136</v>
      </c>
      <c r="AN81" s="80">
        <v>0</v>
      </c>
      <c r="AO81" s="80" t="s">
        <v>136</v>
      </c>
      <c r="AP81" s="80">
        <v>0</v>
      </c>
      <c r="AQ81" s="80" t="s">
        <v>136</v>
      </c>
      <c r="AR81" s="80">
        <v>0</v>
      </c>
      <c r="AS81" s="27">
        <v>173.67699134</v>
      </c>
      <c r="AT81" s="27">
        <v>4.4566066835000004</v>
      </c>
      <c r="AU81" s="27">
        <v>202.59199050999999</v>
      </c>
      <c r="AV81" s="27">
        <v>1.0907231127000001</v>
      </c>
      <c r="AW81" s="27">
        <v>84.967722160999998</v>
      </c>
      <c r="AX81" s="27">
        <v>0.67471956629999996</v>
      </c>
      <c r="AY81" s="27">
        <v>22.872611659</v>
      </c>
      <c r="AZ81" s="27">
        <v>0.16179114</v>
      </c>
      <c r="BA81" s="80">
        <f t="shared" si="10"/>
        <v>94.75165668999999</v>
      </c>
      <c r="BB81" s="80">
        <f t="shared" si="11"/>
        <v>0.2542124064000002</v>
      </c>
      <c r="BC81" s="27">
        <v>1.1033999584</v>
      </c>
      <c r="BD81" s="80">
        <v>1.797751E-4</v>
      </c>
      <c r="BE81" s="27">
        <v>1041.7210163</v>
      </c>
      <c r="BF81" s="27">
        <v>4.2902129672999996</v>
      </c>
      <c r="BG81" s="79">
        <v>0.1598453621</v>
      </c>
      <c r="BH81" s="80">
        <v>1.9925123999999998E-3</v>
      </c>
      <c r="BI81" s="27">
        <v>233.79667215000001</v>
      </c>
      <c r="BJ81" s="27">
        <v>6.5068943182999996</v>
      </c>
      <c r="BK81" s="27">
        <v>672.29313148000006</v>
      </c>
      <c r="BL81" s="27">
        <v>3.9257025022000001</v>
      </c>
      <c r="BM81" s="27">
        <v>154.91623494999999</v>
      </c>
      <c r="BN81" s="27">
        <v>0.56948063240000002</v>
      </c>
      <c r="BO81" s="27">
        <v>98.578111848000006</v>
      </c>
      <c r="BP81" s="27">
        <v>3.3753326600000001E-2</v>
      </c>
      <c r="BQ81" s="27">
        <v>0</v>
      </c>
      <c r="BR81" s="92">
        <v>0</v>
      </c>
      <c r="BS81" s="80" t="s">
        <v>136</v>
      </c>
      <c r="BT81" s="80">
        <v>0</v>
      </c>
      <c r="BU81" s="79">
        <v>4.1000475695</v>
      </c>
      <c r="BV81" s="27">
        <v>2.44155785E-2</v>
      </c>
      <c r="BW81" s="27">
        <v>54.511620860000001</v>
      </c>
      <c r="BX81" s="27">
        <v>0.4071395116</v>
      </c>
      <c r="BY81" s="80" t="s">
        <v>136</v>
      </c>
      <c r="BZ81" s="80">
        <v>0</v>
      </c>
      <c r="CA81" s="80" t="s">
        <v>136</v>
      </c>
      <c r="CB81" s="80">
        <v>0</v>
      </c>
      <c r="CC81" s="27">
        <v>104.91726359</v>
      </c>
      <c r="CD81" s="27">
        <v>7.1039677900000001E-2</v>
      </c>
      <c r="CE81" s="27">
        <v>68.353310926000006</v>
      </c>
      <c r="CF81" s="92">
        <v>0.15182524580000001</v>
      </c>
      <c r="CG81" s="80" t="s">
        <v>136</v>
      </c>
      <c r="CH81" s="80">
        <v>0</v>
      </c>
      <c r="CI81" s="80" t="s">
        <v>136</v>
      </c>
      <c r="CJ81" s="80">
        <v>0</v>
      </c>
      <c r="CK81" s="80" t="s">
        <v>136</v>
      </c>
      <c r="CL81" s="80">
        <v>0</v>
      </c>
      <c r="CM81" s="80" t="s">
        <v>136</v>
      </c>
      <c r="CN81" s="80">
        <v>0</v>
      </c>
      <c r="CO81" s="79">
        <v>1.1929967072000001</v>
      </c>
      <c r="CP81" s="27">
        <v>8.1897014000000008E-3</v>
      </c>
      <c r="CQ81" s="27">
        <v>2.1177390946000001</v>
      </c>
      <c r="CR81" s="27">
        <v>2.02001196E-2</v>
      </c>
      <c r="CS81" s="27">
        <v>27.266350209999999</v>
      </c>
      <c r="CT81" s="27">
        <v>0.17230363030000001</v>
      </c>
      <c r="CU81" s="27">
        <v>91.101469162000001</v>
      </c>
      <c r="CV81" s="92">
        <v>1.7957965227999999</v>
      </c>
      <c r="CW81" s="80" t="s">
        <v>136</v>
      </c>
      <c r="CX81" s="80">
        <v>0</v>
      </c>
      <c r="CY81" s="80" t="s">
        <v>136</v>
      </c>
      <c r="CZ81" s="80">
        <v>0</v>
      </c>
      <c r="DA81" s="79">
        <v>60.975184110999997</v>
      </c>
      <c r="DB81" s="27">
        <v>0.75113005359999996</v>
      </c>
      <c r="DC81" s="27">
        <v>112.70180723</v>
      </c>
      <c r="DD81" s="27">
        <v>3.7054766299000002</v>
      </c>
      <c r="DE81" s="27">
        <v>500.85528639</v>
      </c>
      <c r="DF81" s="27">
        <v>1.9672893124999999</v>
      </c>
      <c r="DG81" s="27">
        <v>540.86572990000002</v>
      </c>
      <c r="DH81" s="92">
        <v>2.3229236547999998</v>
      </c>
      <c r="DI81" s="95">
        <v>4.13776504E-2</v>
      </c>
      <c r="DJ81" s="96">
        <v>7.4727210200000005E-2</v>
      </c>
      <c r="DK81" s="96">
        <v>9.5343671500000005E-2</v>
      </c>
      <c r="DL81" s="96">
        <v>0.1078098488</v>
      </c>
      <c r="DM81" s="96">
        <v>0.1159762503</v>
      </c>
      <c r="DN81" s="96">
        <v>0.1219968256</v>
      </c>
      <c r="DO81" s="96">
        <v>0.12648713180000001</v>
      </c>
      <c r="DP81" s="96">
        <v>0.12994640599999999</v>
      </c>
      <c r="DQ81" s="96">
        <v>0.13268628239999999</v>
      </c>
      <c r="DR81" s="97">
        <v>0.13498215059999999</v>
      </c>
      <c r="DS81" s="93">
        <v>144.90099276999999</v>
      </c>
      <c r="DT81" s="80">
        <v>0.98208499390000004</v>
      </c>
      <c r="DU81" s="80">
        <v>88.681848556999995</v>
      </c>
      <c r="DV81" s="80">
        <v>0.61091369890000002</v>
      </c>
      <c r="DW81" s="80">
        <v>54.655122917</v>
      </c>
      <c r="DX81" s="80">
        <v>0.38160521269999997</v>
      </c>
      <c r="DY81" s="80">
        <v>34.225457513000002</v>
      </c>
      <c r="DZ81" s="80">
        <v>0.24253526459999999</v>
      </c>
      <c r="EA81" s="80">
        <v>21.937033542000002</v>
      </c>
      <c r="EB81" s="80">
        <v>0.1583865253</v>
      </c>
      <c r="EC81" s="80">
        <v>14.452318035999999</v>
      </c>
      <c r="ED81" s="80">
        <v>0.10709154479999999</v>
      </c>
      <c r="EE81" s="80">
        <v>9.7877772407000005</v>
      </c>
      <c r="EF81" s="80">
        <v>7.5172433900000002E-2</v>
      </c>
      <c r="EG81" s="80">
        <v>6.8006080075000002</v>
      </c>
      <c r="EH81" s="80">
        <v>5.4648083700000002E-2</v>
      </c>
      <c r="EI81" s="80">
        <v>4.8690383141</v>
      </c>
      <c r="EJ81" s="80">
        <v>4.1082359499999999E-2</v>
      </c>
      <c r="EK81" s="80">
        <v>3.5637354766999998</v>
      </c>
      <c r="EL81" s="94">
        <v>3.1816956100000002E-2</v>
      </c>
    </row>
    <row r="82" spans="1:142" x14ac:dyDescent="0.2">
      <c r="A82" s="79">
        <v>200000</v>
      </c>
      <c r="B82" s="27">
        <v>1459</v>
      </c>
      <c r="C82" s="79">
        <v>5580.2375875999996</v>
      </c>
      <c r="D82" s="27">
        <v>135619.77780000001</v>
      </c>
      <c r="E82" s="27">
        <v>330.41687602000002</v>
      </c>
      <c r="F82" s="27">
        <v>0.15564773539999999</v>
      </c>
      <c r="G82" s="79">
        <v>967.97791457000005</v>
      </c>
      <c r="H82" s="27">
        <v>5.4203746099999998E-2</v>
      </c>
      <c r="I82" s="27">
        <v>238.66639129000001</v>
      </c>
      <c r="J82" s="27">
        <v>1.5687371823</v>
      </c>
      <c r="K82" s="27">
        <v>166.35315378999999</v>
      </c>
      <c r="L82" s="27">
        <v>0.92953243399999996</v>
      </c>
      <c r="M82" s="27">
        <v>59.494990430000001</v>
      </c>
      <c r="N82" s="27">
        <v>0.43604038890000002</v>
      </c>
      <c r="O82" s="80" t="s">
        <v>136</v>
      </c>
      <c r="P82" s="80">
        <v>0</v>
      </c>
      <c r="Q82" s="27">
        <v>187.50698557999999</v>
      </c>
      <c r="R82" s="27">
        <v>0.23849218320000001</v>
      </c>
      <c r="S82" s="80" t="s">
        <v>136</v>
      </c>
      <c r="T82" s="80">
        <v>0</v>
      </c>
      <c r="U82" s="80" t="s">
        <v>136</v>
      </c>
      <c r="V82" s="80">
        <v>0</v>
      </c>
      <c r="W82" s="27">
        <v>3.6124139674000002</v>
      </c>
      <c r="X82" s="27">
        <v>3.01772763E-2</v>
      </c>
      <c r="Y82" s="27">
        <v>122.34267756</v>
      </c>
      <c r="Z82" s="27">
        <v>1.9924179429</v>
      </c>
      <c r="AA82" s="80" t="s">
        <v>136</v>
      </c>
      <c r="AB82" s="80">
        <v>0</v>
      </c>
      <c r="AC82" s="27">
        <v>5.2515519999999998E-4</v>
      </c>
      <c r="AD82" s="27">
        <v>2.5832091000000001E-6</v>
      </c>
      <c r="AE82" s="80" t="s">
        <v>136</v>
      </c>
      <c r="AF82" s="80">
        <v>0</v>
      </c>
      <c r="AG82" s="80" t="s">
        <v>136</v>
      </c>
      <c r="AH82" s="80">
        <v>0</v>
      </c>
      <c r="AI82" s="27">
        <f t="shared" si="8"/>
        <v>5.2515519999999998E-4</v>
      </c>
      <c r="AJ82" s="27">
        <f t="shared" si="9"/>
        <v>2.5832091000000001E-6</v>
      </c>
      <c r="AK82" s="27">
        <v>192.68104378999999</v>
      </c>
      <c r="AL82" s="27">
        <v>2.2470408434000002</v>
      </c>
      <c r="AM82" s="80" t="s">
        <v>136</v>
      </c>
      <c r="AN82" s="80">
        <v>0</v>
      </c>
      <c r="AO82" s="80" t="s">
        <v>136</v>
      </c>
      <c r="AP82" s="80">
        <v>0</v>
      </c>
      <c r="AQ82" s="80" t="s">
        <v>136</v>
      </c>
      <c r="AR82" s="80">
        <v>0</v>
      </c>
      <c r="AS82" s="27">
        <v>181.32299877</v>
      </c>
      <c r="AT82" s="27">
        <v>4.5794208656000004</v>
      </c>
      <c r="AU82" s="27">
        <v>224.99928138000001</v>
      </c>
      <c r="AV82" s="27">
        <v>1.1428993107000001</v>
      </c>
      <c r="AW82" s="27">
        <v>93.659157629999996</v>
      </c>
      <c r="AX82" s="27">
        <v>0.70678331380000003</v>
      </c>
      <c r="AY82" s="27">
        <v>23.046004023999998</v>
      </c>
      <c r="AZ82" s="27">
        <v>0.16276400050000001</v>
      </c>
      <c r="BA82" s="80">
        <f t="shared" si="10"/>
        <v>108.29411972600002</v>
      </c>
      <c r="BB82" s="80">
        <f t="shared" si="11"/>
        <v>0.27335199639999996</v>
      </c>
      <c r="BC82" s="27">
        <v>1.9114065438000001</v>
      </c>
      <c r="BD82" s="80">
        <v>2.7870789999999998E-4</v>
      </c>
      <c r="BE82" s="27">
        <v>1161.3903378</v>
      </c>
      <c r="BF82" s="27">
        <v>4.5465007659000003</v>
      </c>
      <c r="BG82" s="79">
        <v>0.19437287240000001</v>
      </c>
      <c r="BH82" s="80">
        <v>4.1344535999999999E-3</v>
      </c>
      <c r="BI82" s="27">
        <v>236.90635578000001</v>
      </c>
      <c r="BJ82" s="27">
        <v>6.5576406689000004</v>
      </c>
      <c r="BK82" s="27">
        <v>683.27889048999998</v>
      </c>
      <c r="BL82" s="27">
        <v>3.9638492752999999</v>
      </c>
      <c r="BM82" s="27">
        <v>158.84934498999999</v>
      </c>
      <c r="BN82" s="27">
        <v>0.57346983019999997</v>
      </c>
      <c r="BO82" s="27">
        <v>113.05681767999999</v>
      </c>
      <c r="BP82" s="27">
        <v>3.6332137600000002E-2</v>
      </c>
      <c r="BQ82" s="27">
        <v>0</v>
      </c>
      <c r="BR82" s="92">
        <v>0</v>
      </c>
      <c r="BS82" s="80" t="s">
        <v>136</v>
      </c>
      <c r="BT82" s="80">
        <v>0</v>
      </c>
      <c r="BU82" s="79">
        <v>4.4060732374000002</v>
      </c>
      <c r="BV82" s="27">
        <v>2.5475818300000001E-2</v>
      </c>
      <c r="BW82" s="27">
        <v>55.088917191999997</v>
      </c>
      <c r="BX82" s="27">
        <v>0.41056457070000002</v>
      </c>
      <c r="BY82" s="80" t="s">
        <v>136</v>
      </c>
      <c r="BZ82" s="80">
        <v>0</v>
      </c>
      <c r="CA82" s="80" t="s">
        <v>136</v>
      </c>
      <c r="CB82" s="80">
        <v>0</v>
      </c>
      <c r="CC82" s="27">
        <v>114.70407682</v>
      </c>
      <c r="CD82" s="27">
        <v>7.6787342499999994E-2</v>
      </c>
      <c r="CE82" s="27">
        <v>72.802908755999994</v>
      </c>
      <c r="CF82" s="92">
        <v>0.16170484069999999</v>
      </c>
      <c r="CG82" s="80" t="s">
        <v>136</v>
      </c>
      <c r="CH82" s="80">
        <v>0</v>
      </c>
      <c r="CI82" s="80" t="s">
        <v>136</v>
      </c>
      <c r="CJ82" s="80">
        <v>0</v>
      </c>
      <c r="CK82" s="80" t="s">
        <v>136</v>
      </c>
      <c r="CL82" s="80">
        <v>0</v>
      </c>
      <c r="CM82" s="80" t="s">
        <v>136</v>
      </c>
      <c r="CN82" s="80">
        <v>0</v>
      </c>
      <c r="CO82" s="79">
        <v>1.3882224169999999</v>
      </c>
      <c r="CP82" s="27">
        <v>9.0583612999999997E-3</v>
      </c>
      <c r="CQ82" s="27">
        <v>2.2241915505000001</v>
      </c>
      <c r="CR82" s="27">
        <v>2.1118914999999999E-2</v>
      </c>
      <c r="CS82" s="27">
        <v>30.153903597999999</v>
      </c>
      <c r="CT82" s="27">
        <v>0.18240096629999999</v>
      </c>
      <c r="CU82" s="27">
        <v>92.188773963000003</v>
      </c>
      <c r="CV82" s="92">
        <v>1.8100169766</v>
      </c>
      <c r="CW82" s="80" t="s">
        <v>136</v>
      </c>
      <c r="CX82" s="80">
        <v>0</v>
      </c>
      <c r="CY82" s="80" t="s">
        <v>136</v>
      </c>
      <c r="CZ82" s="80">
        <v>0</v>
      </c>
      <c r="DA82" s="79">
        <v>65.544792869999995</v>
      </c>
      <c r="DB82" s="27">
        <v>0.79660139330000002</v>
      </c>
      <c r="DC82" s="27">
        <v>115.7782059</v>
      </c>
      <c r="DD82" s="27">
        <v>3.7828194722999999</v>
      </c>
      <c r="DE82" s="27">
        <v>566.38142621999998</v>
      </c>
      <c r="DF82" s="27">
        <v>2.1096732944999999</v>
      </c>
      <c r="DG82" s="27">
        <v>595.00891153999999</v>
      </c>
      <c r="DH82" s="92">
        <v>2.4368274714</v>
      </c>
      <c r="DI82" s="95">
        <v>4.3957252600000003E-2</v>
      </c>
      <c r="DJ82" s="96">
        <v>7.9795981099999996E-2</v>
      </c>
      <c r="DK82" s="96">
        <v>0.1027357912</v>
      </c>
      <c r="DL82" s="96">
        <v>0.1173337852</v>
      </c>
      <c r="DM82" s="96">
        <v>0.12745465589999999</v>
      </c>
      <c r="DN82" s="96">
        <v>0.1352272571</v>
      </c>
      <c r="DO82" s="96">
        <v>0.1412845462</v>
      </c>
      <c r="DP82" s="96">
        <v>0.14615258440000001</v>
      </c>
      <c r="DQ82" s="96">
        <v>0.1501572266</v>
      </c>
      <c r="DR82" s="97">
        <v>0.153591438</v>
      </c>
      <c r="DS82" s="93">
        <v>146.63017880000001</v>
      </c>
      <c r="DT82" s="80">
        <v>0.98788929999999997</v>
      </c>
      <c r="DU82" s="80">
        <v>90.199607080999996</v>
      </c>
      <c r="DV82" s="80">
        <v>0.61601897949999995</v>
      </c>
      <c r="DW82" s="80">
        <v>55.954612230999999</v>
      </c>
      <c r="DX82" s="80">
        <v>0.3859431438</v>
      </c>
      <c r="DY82" s="80">
        <v>35.331893893999997</v>
      </c>
      <c r="DZ82" s="80">
        <v>0.24615262969999999</v>
      </c>
      <c r="EA82" s="80">
        <v>22.862706295999999</v>
      </c>
      <c r="EB82" s="80">
        <v>0.16133433420000001</v>
      </c>
      <c r="EC82" s="80">
        <v>15.217382254</v>
      </c>
      <c r="ED82" s="80">
        <v>0.1094638969</v>
      </c>
      <c r="EE82" s="80">
        <v>10.413310643000001</v>
      </c>
      <c r="EF82" s="80">
        <v>7.7074022199999995E-2</v>
      </c>
      <c r="EG82" s="80">
        <v>7.3118317526999999</v>
      </c>
      <c r="EH82" s="80">
        <v>5.6165179599999997E-2</v>
      </c>
      <c r="EI82" s="80">
        <v>5.2796185268000002</v>
      </c>
      <c r="EJ82" s="80">
        <v>4.2289168100000003E-2</v>
      </c>
      <c r="EK82" s="80">
        <v>3.8965992435999999</v>
      </c>
      <c r="EL82" s="94">
        <v>3.2799621299999998E-2</v>
      </c>
    </row>
    <row r="83" spans="1:142" x14ac:dyDescent="0.2">
      <c r="A83" s="79">
        <v>300000</v>
      </c>
      <c r="B83" s="27">
        <v>320</v>
      </c>
      <c r="C83" s="79">
        <v>5671.9727974999996</v>
      </c>
      <c r="D83" s="27">
        <v>241382.6819</v>
      </c>
      <c r="E83" s="27">
        <v>333.46232187999999</v>
      </c>
      <c r="F83" s="27">
        <v>0.15631076090000001</v>
      </c>
      <c r="G83" s="79">
        <v>1056.7458113</v>
      </c>
      <c r="H83" s="27">
        <v>5.5799112800000002E-2</v>
      </c>
      <c r="I83" s="27">
        <v>239.23959776999999</v>
      </c>
      <c r="J83" s="27">
        <v>1.5703064309999999</v>
      </c>
      <c r="K83" s="27">
        <v>170.29420195</v>
      </c>
      <c r="L83" s="27">
        <v>0.93408509760000002</v>
      </c>
      <c r="M83" s="27">
        <v>59.652164116999998</v>
      </c>
      <c r="N83" s="27">
        <v>0.43679022290000002</v>
      </c>
      <c r="O83" s="80" t="s">
        <v>136</v>
      </c>
      <c r="P83" s="80">
        <v>0</v>
      </c>
      <c r="Q83" s="27">
        <v>192.89343767</v>
      </c>
      <c r="R83" s="27">
        <v>0.2442458384</v>
      </c>
      <c r="S83" s="80" t="s">
        <v>136</v>
      </c>
      <c r="T83" s="80">
        <v>0</v>
      </c>
      <c r="U83" s="80" t="s">
        <v>136</v>
      </c>
      <c r="V83" s="80">
        <v>0</v>
      </c>
      <c r="W83" s="27">
        <v>3.8182959569000001</v>
      </c>
      <c r="X83" s="27">
        <v>3.10886935E-2</v>
      </c>
      <c r="Y83" s="27">
        <v>123.26942251</v>
      </c>
      <c r="Z83" s="27">
        <v>1.9973562877</v>
      </c>
      <c r="AA83" s="80" t="s">
        <v>136</v>
      </c>
      <c r="AB83" s="80">
        <v>0</v>
      </c>
      <c r="AC83" s="27">
        <v>5.2479019999999998E-4</v>
      </c>
      <c r="AD83" s="27">
        <v>2.5814138000000001E-6</v>
      </c>
      <c r="AE83" s="80" t="s">
        <v>136</v>
      </c>
      <c r="AF83" s="80">
        <v>0</v>
      </c>
      <c r="AG83" s="80" t="s">
        <v>136</v>
      </c>
      <c r="AH83" s="80">
        <v>0</v>
      </c>
      <c r="AI83" s="27">
        <f t="shared" si="8"/>
        <v>5.2479019999999998E-4</v>
      </c>
      <c r="AJ83" s="27">
        <f t="shared" si="9"/>
        <v>2.5814138000000001E-6</v>
      </c>
      <c r="AK83" s="27">
        <v>193.09798001999999</v>
      </c>
      <c r="AL83" s="27">
        <v>2.2521355007000001</v>
      </c>
      <c r="AM83" s="80" t="s">
        <v>136</v>
      </c>
      <c r="AN83" s="80">
        <v>0</v>
      </c>
      <c r="AO83" s="80" t="s">
        <v>136</v>
      </c>
      <c r="AP83" s="80">
        <v>0</v>
      </c>
      <c r="AQ83" s="80" t="s">
        <v>136</v>
      </c>
      <c r="AR83" s="80">
        <v>0</v>
      </c>
      <c r="AS83" s="27">
        <v>184.13554133</v>
      </c>
      <c r="AT83" s="27">
        <v>4.6258657580999998</v>
      </c>
      <c r="AU83" s="27">
        <v>235.80126937</v>
      </c>
      <c r="AV83" s="27">
        <v>1.1602386952999999</v>
      </c>
      <c r="AW83" s="27">
        <v>97.764762777000001</v>
      </c>
      <c r="AX83" s="27">
        <v>0.71690871379999999</v>
      </c>
      <c r="AY83" s="27">
        <v>23.083439340999998</v>
      </c>
      <c r="AZ83" s="27">
        <v>0.16302193609999999</v>
      </c>
      <c r="BA83" s="80">
        <f t="shared" si="10"/>
        <v>114.953067252</v>
      </c>
      <c r="BB83" s="80">
        <f t="shared" si="11"/>
        <v>0.28030804539999998</v>
      </c>
      <c r="BC83" s="27">
        <v>2.6659995503</v>
      </c>
      <c r="BD83" s="80">
        <v>3.5578489999999998E-4</v>
      </c>
      <c r="BE83" s="27">
        <v>1209.5034661</v>
      </c>
      <c r="BF83" s="27">
        <v>4.6386123236000003</v>
      </c>
      <c r="BG83" s="79">
        <v>0.20851055539999999</v>
      </c>
      <c r="BH83" s="80">
        <v>6.8487562999999998E-3</v>
      </c>
      <c r="BI83" s="27">
        <v>237.64505455</v>
      </c>
      <c r="BJ83" s="27">
        <v>6.5706661881999997</v>
      </c>
      <c r="BK83" s="27">
        <v>686.51737557000001</v>
      </c>
      <c r="BL83" s="27">
        <v>3.9730938542000001</v>
      </c>
      <c r="BM83" s="27">
        <v>159.95687297000001</v>
      </c>
      <c r="BN83" s="27">
        <v>0.57449698689999995</v>
      </c>
      <c r="BO83" s="27">
        <v>117.01828965999999</v>
      </c>
      <c r="BP83" s="27">
        <v>3.70137179E-2</v>
      </c>
      <c r="BQ83" s="27">
        <v>0</v>
      </c>
      <c r="BR83" s="92">
        <v>0</v>
      </c>
      <c r="BS83" s="80" t="s">
        <v>136</v>
      </c>
      <c r="BT83" s="80">
        <v>0</v>
      </c>
      <c r="BU83" s="79">
        <v>4.4554839358000002</v>
      </c>
      <c r="BV83" s="27">
        <v>2.5544252E-2</v>
      </c>
      <c r="BW83" s="27">
        <v>55.196680180999998</v>
      </c>
      <c r="BX83" s="27">
        <v>0.41124597099999999</v>
      </c>
      <c r="BY83" s="80" t="s">
        <v>136</v>
      </c>
      <c r="BZ83" s="80">
        <v>0</v>
      </c>
      <c r="CA83" s="80" t="s">
        <v>136</v>
      </c>
      <c r="CB83" s="80">
        <v>0</v>
      </c>
      <c r="CC83" s="27">
        <v>118.65720441000001</v>
      </c>
      <c r="CD83" s="27">
        <v>7.9025941799999999E-2</v>
      </c>
      <c r="CE83" s="27">
        <v>74.236233251000002</v>
      </c>
      <c r="CF83" s="92">
        <v>0.16521989670000001</v>
      </c>
      <c r="CG83" s="80" t="s">
        <v>136</v>
      </c>
      <c r="CH83" s="80">
        <v>0</v>
      </c>
      <c r="CI83" s="80" t="s">
        <v>136</v>
      </c>
      <c r="CJ83" s="80">
        <v>0</v>
      </c>
      <c r="CK83" s="80" t="s">
        <v>136</v>
      </c>
      <c r="CL83" s="80">
        <v>0</v>
      </c>
      <c r="CM83" s="80" t="s">
        <v>136</v>
      </c>
      <c r="CN83" s="80">
        <v>0</v>
      </c>
      <c r="CO83" s="79">
        <v>1.5835171560000001</v>
      </c>
      <c r="CP83" s="27">
        <v>9.8942578999999999E-3</v>
      </c>
      <c r="CQ83" s="27">
        <v>2.2347788009</v>
      </c>
      <c r="CR83" s="27">
        <v>2.1194435599999999E-2</v>
      </c>
      <c r="CS83" s="27">
        <v>30.917048170000001</v>
      </c>
      <c r="CT83" s="27">
        <v>0.18600442249999999</v>
      </c>
      <c r="CU83" s="27">
        <v>92.352374339999997</v>
      </c>
      <c r="CV83" s="92">
        <v>1.8113518651</v>
      </c>
      <c r="CW83" s="80" t="s">
        <v>136</v>
      </c>
      <c r="CX83" s="80">
        <v>0</v>
      </c>
      <c r="CY83" s="80" t="s">
        <v>136</v>
      </c>
      <c r="CZ83" s="80">
        <v>0</v>
      </c>
      <c r="DA83" s="79">
        <v>67.419911705000004</v>
      </c>
      <c r="DB83" s="27">
        <v>0.81684822560000003</v>
      </c>
      <c r="DC83" s="27">
        <v>116.71562963</v>
      </c>
      <c r="DD83" s="27">
        <v>3.8090175325</v>
      </c>
      <c r="DE83" s="27">
        <v>592.39253344999997</v>
      </c>
      <c r="DF83" s="27">
        <v>2.1620589764</v>
      </c>
      <c r="DG83" s="27">
        <v>617.11093267000001</v>
      </c>
      <c r="DH83" s="92">
        <v>2.4765533470999999</v>
      </c>
      <c r="DI83" s="95">
        <v>4.4536802E-2</v>
      </c>
      <c r="DJ83" s="96">
        <v>8.0949909299999998E-2</v>
      </c>
      <c r="DK83" s="96">
        <v>0.1044451203</v>
      </c>
      <c r="DL83" s="96">
        <v>0.1195835847</v>
      </c>
      <c r="DM83" s="96">
        <v>0.1302269429</v>
      </c>
      <c r="DN83" s="96">
        <v>0.1384929318</v>
      </c>
      <c r="DO83" s="96">
        <v>0.1450207335</v>
      </c>
      <c r="DP83" s="96">
        <v>0.15035097489999999</v>
      </c>
      <c r="DQ83" s="96">
        <v>0.15479286370000001</v>
      </c>
      <c r="DR83" s="97">
        <v>0.15864049159999999</v>
      </c>
      <c r="DS83" s="93">
        <v>147.16380017</v>
      </c>
      <c r="DT83" s="80">
        <v>0.98937270219999995</v>
      </c>
      <c r="DU83" s="80">
        <v>90.684238585000003</v>
      </c>
      <c r="DV83" s="80">
        <v>0.61736179219999998</v>
      </c>
      <c r="DW83" s="80">
        <v>56.387357674</v>
      </c>
      <c r="DX83" s="80">
        <v>0.3871171753</v>
      </c>
      <c r="DY83" s="80">
        <v>35.712807550999997</v>
      </c>
      <c r="DZ83" s="80">
        <v>0.24715502859999999</v>
      </c>
      <c r="EA83" s="80">
        <v>23.202781049999999</v>
      </c>
      <c r="EB83" s="80">
        <v>0.1621863291</v>
      </c>
      <c r="EC83" s="80">
        <v>15.520467881</v>
      </c>
      <c r="ED83" s="80">
        <v>0.11018707229999999</v>
      </c>
      <c r="EE83" s="80">
        <v>10.683520797</v>
      </c>
      <c r="EF83" s="80">
        <v>7.7691191199999995E-2</v>
      </c>
      <c r="EG83" s="80">
        <v>7.5517024564000002</v>
      </c>
      <c r="EH83" s="80">
        <v>5.6691648400000003E-2</v>
      </c>
      <c r="EI83" s="80">
        <v>5.4919055522000004</v>
      </c>
      <c r="EJ83" s="80">
        <v>4.2738700099999999E-2</v>
      </c>
      <c r="EK83" s="80">
        <v>4.0828985474000001</v>
      </c>
      <c r="EL83" s="94">
        <v>3.3183125299999998E-2</v>
      </c>
    </row>
    <row r="84" spans="1:142" x14ac:dyDescent="0.2">
      <c r="A84" s="79">
        <v>400000</v>
      </c>
      <c r="B84" s="27">
        <v>115</v>
      </c>
      <c r="C84" s="79">
        <v>5715.3901354999998</v>
      </c>
      <c r="D84" s="27">
        <v>343073.24959000002</v>
      </c>
      <c r="E84" s="27">
        <v>334.25548429999998</v>
      </c>
      <c r="F84" s="27">
        <v>0.15648104139999999</v>
      </c>
      <c r="G84" s="79">
        <v>1106.5489878000001</v>
      </c>
      <c r="H84" s="27">
        <v>5.6538149900000001E-2</v>
      </c>
      <c r="I84" s="27">
        <v>239.39934287</v>
      </c>
      <c r="J84" s="27">
        <v>1.5708443728999999</v>
      </c>
      <c r="K84" s="27">
        <v>171.93524478</v>
      </c>
      <c r="L84" s="27">
        <v>0.93579982110000004</v>
      </c>
      <c r="M84" s="27">
        <v>59.680817085000001</v>
      </c>
      <c r="N84" s="27">
        <v>0.4369220526</v>
      </c>
      <c r="O84" s="80" t="s">
        <v>136</v>
      </c>
      <c r="P84" s="80">
        <v>0</v>
      </c>
      <c r="Q84" s="27">
        <v>194.76116415999999</v>
      </c>
      <c r="R84" s="27">
        <v>0.24606515200000001</v>
      </c>
      <c r="S84" s="80" t="s">
        <v>136</v>
      </c>
      <c r="T84" s="80">
        <v>0</v>
      </c>
      <c r="U84" s="80" t="s">
        <v>136</v>
      </c>
      <c r="V84" s="80">
        <v>0</v>
      </c>
      <c r="W84" s="27">
        <v>3.8449611988000001</v>
      </c>
      <c r="X84" s="27">
        <v>3.1264679500000003E-2</v>
      </c>
      <c r="Y84" s="27">
        <v>123.60230154</v>
      </c>
      <c r="Z84" s="27">
        <v>1.9990978037</v>
      </c>
      <c r="AA84" s="80" t="s">
        <v>136</v>
      </c>
      <c r="AB84" s="80">
        <v>0</v>
      </c>
      <c r="AC84" s="27">
        <v>5.2468600000000001E-4</v>
      </c>
      <c r="AD84" s="27">
        <v>2.5809013000000002E-6</v>
      </c>
      <c r="AE84" s="80" t="s">
        <v>136</v>
      </c>
      <c r="AF84" s="80">
        <v>0</v>
      </c>
      <c r="AG84" s="80" t="s">
        <v>136</v>
      </c>
      <c r="AH84" s="80">
        <v>0</v>
      </c>
      <c r="AI84" s="27">
        <f t="shared" si="8"/>
        <v>5.2468600000000001E-4</v>
      </c>
      <c r="AJ84" s="27">
        <f t="shared" si="9"/>
        <v>2.5809013000000002E-6</v>
      </c>
      <c r="AK84" s="27">
        <v>193.26332384</v>
      </c>
      <c r="AL84" s="27">
        <v>2.2541131464999999</v>
      </c>
      <c r="AM84" s="80" t="s">
        <v>136</v>
      </c>
      <c r="AN84" s="80">
        <v>0</v>
      </c>
      <c r="AO84" s="80" t="s">
        <v>136</v>
      </c>
      <c r="AP84" s="80">
        <v>0</v>
      </c>
      <c r="AQ84" s="80" t="s">
        <v>136</v>
      </c>
      <c r="AR84" s="80">
        <v>0</v>
      </c>
      <c r="AS84" s="27">
        <v>185.40609194999999</v>
      </c>
      <c r="AT84" s="27">
        <v>4.6454010231999998</v>
      </c>
      <c r="AU84" s="27">
        <v>238.14130782999999</v>
      </c>
      <c r="AV84" s="27">
        <v>1.165148319</v>
      </c>
      <c r="AW84" s="27">
        <v>98.483221536000002</v>
      </c>
      <c r="AX84" s="27">
        <v>0.7200029443</v>
      </c>
      <c r="AY84" s="27">
        <v>23.092232236000001</v>
      </c>
      <c r="AZ84" s="27">
        <v>0.16311871680000001</v>
      </c>
      <c r="BA84" s="80">
        <f t="shared" si="10"/>
        <v>116.56585405799999</v>
      </c>
      <c r="BB84" s="80">
        <f t="shared" si="11"/>
        <v>0.28202665790000003</v>
      </c>
      <c r="BC84" s="27">
        <v>3.0298901587999998</v>
      </c>
      <c r="BD84" s="80">
        <v>3.827042E-4</v>
      </c>
      <c r="BE84" s="27">
        <v>1238.1040055999999</v>
      </c>
      <c r="BF84" s="27">
        <v>4.6830498673000003</v>
      </c>
      <c r="BG84" s="79">
        <v>0.2166950228</v>
      </c>
      <c r="BH84" s="80">
        <v>7.6721994000000003E-3</v>
      </c>
      <c r="BI84" s="27">
        <v>237.91626371000001</v>
      </c>
      <c r="BJ84" s="27">
        <v>6.5753048959999996</v>
      </c>
      <c r="BK84" s="27">
        <v>688.61007285000005</v>
      </c>
      <c r="BL84" s="27">
        <v>3.9767813952000002</v>
      </c>
      <c r="BM84" s="27">
        <v>160.12421646000001</v>
      </c>
      <c r="BN84" s="27">
        <v>0.57484632570000005</v>
      </c>
      <c r="BO84" s="27">
        <v>118.62028002</v>
      </c>
      <c r="BP84" s="27">
        <v>3.7247013799999999E-2</v>
      </c>
      <c r="BQ84" s="27">
        <v>0</v>
      </c>
      <c r="BR84" s="92">
        <v>0</v>
      </c>
      <c r="BS84" s="80" t="s">
        <v>136</v>
      </c>
      <c r="BT84" s="80">
        <v>0</v>
      </c>
      <c r="BU84" s="79">
        <v>4.4624957867999999</v>
      </c>
      <c r="BV84" s="27">
        <v>2.55651291E-2</v>
      </c>
      <c r="BW84" s="27">
        <v>55.218321299000003</v>
      </c>
      <c r="BX84" s="27">
        <v>0.41135692350000003</v>
      </c>
      <c r="BY84" s="80" t="s">
        <v>136</v>
      </c>
      <c r="BZ84" s="80">
        <v>0</v>
      </c>
      <c r="CA84" s="80" t="s">
        <v>136</v>
      </c>
      <c r="CB84" s="80">
        <v>0</v>
      </c>
      <c r="CC84" s="27">
        <v>119.96317843999999</v>
      </c>
      <c r="CD84" s="27">
        <v>7.9722771299999995E-2</v>
      </c>
      <c r="CE84" s="27">
        <v>74.797985714999996</v>
      </c>
      <c r="CF84" s="92">
        <v>0.16634238069999999</v>
      </c>
      <c r="CG84" s="80" t="s">
        <v>136</v>
      </c>
      <c r="CH84" s="80">
        <v>0</v>
      </c>
      <c r="CI84" s="80" t="s">
        <v>136</v>
      </c>
      <c r="CJ84" s="80">
        <v>0</v>
      </c>
      <c r="CK84" s="80" t="s">
        <v>136</v>
      </c>
      <c r="CL84" s="80">
        <v>0</v>
      </c>
      <c r="CM84" s="80" t="s">
        <v>136</v>
      </c>
      <c r="CN84" s="80">
        <v>0</v>
      </c>
      <c r="CO84" s="79">
        <v>1.6107116372000001</v>
      </c>
      <c r="CP84" s="27">
        <v>1.0075131399999999E-2</v>
      </c>
      <c r="CQ84" s="27">
        <v>2.2342495616</v>
      </c>
      <c r="CR84" s="27">
        <v>2.1189547999999999E-2</v>
      </c>
      <c r="CS84" s="27">
        <v>31.202181587999998</v>
      </c>
      <c r="CT84" s="27">
        <v>0.1872516638</v>
      </c>
      <c r="CU84" s="27">
        <v>92.400119947999997</v>
      </c>
      <c r="CV84" s="92">
        <v>1.8118461399000001</v>
      </c>
      <c r="CW84" s="80" t="s">
        <v>136</v>
      </c>
      <c r="CX84" s="80">
        <v>0</v>
      </c>
      <c r="CY84" s="80" t="s">
        <v>136</v>
      </c>
      <c r="CZ84" s="80">
        <v>0</v>
      </c>
      <c r="DA84" s="79">
        <v>68.263670243000007</v>
      </c>
      <c r="DB84" s="27">
        <v>0.82496015649999999</v>
      </c>
      <c r="DC84" s="27">
        <v>117.1424217</v>
      </c>
      <c r="DD84" s="27">
        <v>3.8204408666999998</v>
      </c>
      <c r="DE84" s="27">
        <v>608.06806260999997</v>
      </c>
      <c r="DF84" s="27">
        <v>2.1887470673</v>
      </c>
      <c r="DG84" s="27">
        <v>630.03594295000005</v>
      </c>
      <c r="DH84" s="92">
        <v>2.4943027998999998</v>
      </c>
      <c r="DI84" s="95">
        <v>4.4762520399999998E-2</v>
      </c>
      <c r="DJ84" s="96">
        <v>8.1401009299999993E-2</v>
      </c>
      <c r="DK84" s="96">
        <v>0.1051165971</v>
      </c>
      <c r="DL84" s="96">
        <v>0.1204722342</v>
      </c>
      <c r="DM84" s="96">
        <v>0.13132702560000001</v>
      </c>
      <c r="DN84" s="96">
        <v>0.1397995222</v>
      </c>
      <c r="DO84" s="96">
        <v>0.1465258565</v>
      </c>
      <c r="DP84" s="96">
        <v>0.1520507743</v>
      </c>
      <c r="DQ84" s="96">
        <v>0.1566862232</v>
      </c>
      <c r="DR84" s="97">
        <v>0.16072478309999999</v>
      </c>
      <c r="DS84" s="93">
        <v>147.3028415</v>
      </c>
      <c r="DT84" s="80">
        <v>0.98988330889999998</v>
      </c>
      <c r="DU84" s="80">
        <v>90.800447792</v>
      </c>
      <c r="DV84" s="80">
        <v>0.6178301759</v>
      </c>
      <c r="DW84" s="80">
        <v>56.478411668</v>
      </c>
      <c r="DX84" s="80">
        <v>0.38752682040000003</v>
      </c>
      <c r="DY84" s="80">
        <v>35.786813158000001</v>
      </c>
      <c r="DZ84" s="80">
        <v>0.24750547140000001</v>
      </c>
      <c r="EA84" s="80">
        <v>23.259663465999999</v>
      </c>
      <c r="EB84" s="80">
        <v>0.16247439820000001</v>
      </c>
      <c r="EC84" s="80">
        <v>15.562095895000001</v>
      </c>
      <c r="ED84" s="80">
        <v>0.1104221505</v>
      </c>
      <c r="EE84" s="80">
        <v>10.718922313</v>
      </c>
      <c r="EF84" s="80">
        <v>7.7889780300000003E-2</v>
      </c>
      <c r="EG84" s="80">
        <v>7.5826295206000003</v>
      </c>
      <c r="EH84" s="80">
        <v>5.68643094E-2</v>
      </c>
      <c r="EI84" s="80">
        <v>5.5187842128</v>
      </c>
      <c r="EJ84" s="80">
        <v>4.2887392199999999E-2</v>
      </c>
      <c r="EK84" s="80">
        <v>4.1055122516999996</v>
      </c>
      <c r="EL84" s="94">
        <v>3.33064203E-2</v>
      </c>
    </row>
    <row r="85" spans="1:142" x14ac:dyDescent="0.2">
      <c r="A85" s="79">
        <v>500000</v>
      </c>
      <c r="B85" s="27">
        <v>49</v>
      </c>
      <c r="C85" s="79">
        <v>5740.6043061999999</v>
      </c>
      <c r="D85" s="27">
        <v>444733.24984</v>
      </c>
      <c r="E85" s="27">
        <v>334.74943768999998</v>
      </c>
      <c r="F85" s="27">
        <v>0.1565684181</v>
      </c>
      <c r="G85" s="79">
        <v>1135.9817702</v>
      </c>
      <c r="H85" s="27">
        <v>5.6935934700000003E-2</v>
      </c>
      <c r="I85" s="27">
        <v>239.52021789</v>
      </c>
      <c r="J85" s="27">
        <v>1.5710571215</v>
      </c>
      <c r="K85" s="27">
        <v>172.27957225</v>
      </c>
      <c r="L85" s="27">
        <v>0.9365917909</v>
      </c>
      <c r="M85" s="27">
        <v>59.701275639000002</v>
      </c>
      <c r="N85" s="27">
        <v>0.43705747909999998</v>
      </c>
      <c r="O85" s="80" t="s">
        <v>136</v>
      </c>
      <c r="P85" s="80">
        <v>0</v>
      </c>
      <c r="Q85" s="27">
        <v>195.61408</v>
      </c>
      <c r="R85" s="27">
        <v>0.2469172717</v>
      </c>
      <c r="S85" s="80" t="s">
        <v>136</v>
      </c>
      <c r="T85" s="80">
        <v>0</v>
      </c>
      <c r="U85" s="80" t="s">
        <v>136</v>
      </c>
      <c r="V85" s="80">
        <v>0</v>
      </c>
      <c r="W85" s="27">
        <v>3.8685164935</v>
      </c>
      <c r="X85" s="27">
        <v>3.1597929300000001E-2</v>
      </c>
      <c r="Y85" s="27">
        <v>123.6797375</v>
      </c>
      <c r="Z85" s="27">
        <v>1.9994722598000001</v>
      </c>
      <c r="AA85" s="80" t="s">
        <v>136</v>
      </c>
      <c r="AB85" s="80">
        <v>0</v>
      </c>
      <c r="AC85" s="27">
        <v>5.2458189999999997E-4</v>
      </c>
      <c r="AD85" s="27">
        <v>2.5803889999999998E-6</v>
      </c>
      <c r="AE85" s="80" t="s">
        <v>136</v>
      </c>
      <c r="AF85" s="80">
        <v>0</v>
      </c>
      <c r="AG85" s="80" t="s">
        <v>136</v>
      </c>
      <c r="AH85" s="80">
        <v>0</v>
      </c>
      <c r="AI85" s="27">
        <f t="shared" si="8"/>
        <v>5.2458189999999997E-4</v>
      </c>
      <c r="AJ85" s="27">
        <f t="shared" si="9"/>
        <v>2.5803889999999998E-6</v>
      </c>
      <c r="AK85" s="27">
        <v>193.34793682</v>
      </c>
      <c r="AL85" s="27">
        <v>2.2551777230000001</v>
      </c>
      <c r="AM85" s="80" t="s">
        <v>136</v>
      </c>
      <c r="AN85" s="80">
        <v>0</v>
      </c>
      <c r="AO85" s="80" t="s">
        <v>136</v>
      </c>
      <c r="AP85" s="80">
        <v>0</v>
      </c>
      <c r="AQ85" s="80" t="s">
        <v>136</v>
      </c>
      <c r="AR85" s="80">
        <v>0</v>
      </c>
      <c r="AS85" s="27">
        <v>186.09389998</v>
      </c>
      <c r="AT85" s="27">
        <v>4.6564544341999996</v>
      </c>
      <c r="AU85" s="27">
        <v>239.16086031</v>
      </c>
      <c r="AV85" s="27">
        <v>1.167064576</v>
      </c>
      <c r="AW85" s="27">
        <v>98.930730237999995</v>
      </c>
      <c r="AX85" s="27">
        <v>0.72130417479999998</v>
      </c>
      <c r="AY85" s="27">
        <v>23.105341767999999</v>
      </c>
      <c r="AZ85" s="27">
        <v>0.16314125879999999</v>
      </c>
      <c r="BA85" s="80">
        <f t="shared" si="10"/>
        <v>117.12478830400001</v>
      </c>
      <c r="BB85" s="80">
        <f t="shared" si="11"/>
        <v>0.28261914240000008</v>
      </c>
      <c r="BC85" s="27">
        <v>3.1480220373000001</v>
      </c>
      <c r="BD85" s="80">
        <v>3.9337120000000001E-4</v>
      </c>
      <c r="BE85" s="27">
        <v>1251.5645291000001</v>
      </c>
      <c r="BF85" s="27">
        <v>4.7035178111000002</v>
      </c>
      <c r="BG85" s="79">
        <v>0.2213712414</v>
      </c>
      <c r="BH85" s="80">
        <v>8.0048144000000009E-3</v>
      </c>
      <c r="BI85" s="27">
        <v>238.00053753</v>
      </c>
      <c r="BJ85" s="27">
        <v>6.5772623646000001</v>
      </c>
      <c r="BK85" s="27">
        <v>689.09194405999995</v>
      </c>
      <c r="BL85" s="27">
        <v>3.9782623027000001</v>
      </c>
      <c r="BM85" s="27">
        <v>160.29834890000001</v>
      </c>
      <c r="BN85" s="27">
        <v>0.57503174479999997</v>
      </c>
      <c r="BO85" s="27">
        <v>120.5372361</v>
      </c>
      <c r="BP85" s="27">
        <v>3.7389695799999997E-2</v>
      </c>
      <c r="BQ85" s="27">
        <v>0</v>
      </c>
      <c r="BR85" s="92">
        <v>0</v>
      </c>
      <c r="BS85" s="80" t="s">
        <v>136</v>
      </c>
      <c r="BT85" s="80">
        <v>0</v>
      </c>
      <c r="BU85" s="79">
        <v>4.4620792582000002</v>
      </c>
      <c r="BV85" s="27">
        <v>2.5565238399999999E-2</v>
      </c>
      <c r="BW85" s="27">
        <v>55.239196380999999</v>
      </c>
      <c r="BX85" s="27">
        <v>0.4114922406</v>
      </c>
      <c r="BY85" s="80" t="s">
        <v>136</v>
      </c>
      <c r="BZ85" s="80">
        <v>0</v>
      </c>
      <c r="CA85" s="80" t="s">
        <v>136</v>
      </c>
      <c r="CB85" s="80">
        <v>0</v>
      </c>
      <c r="CC85" s="27">
        <v>120.61586253</v>
      </c>
      <c r="CD85" s="27">
        <v>8.0070488999999995E-2</v>
      </c>
      <c r="CE85" s="27">
        <v>74.998217476999997</v>
      </c>
      <c r="CF85" s="92">
        <v>0.1668467827</v>
      </c>
      <c r="CG85" s="80" t="s">
        <v>136</v>
      </c>
      <c r="CH85" s="80">
        <v>0</v>
      </c>
      <c r="CI85" s="80" t="s">
        <v>136</v>
      </c>
      <c r="CJ85" s="80">
        <v>0</v>
      </c>
      <c r="CK85" s="80" t="s">
        <v>136</v>
      </c>
      <c r="CL85" s="80">
        <v>0</v>
      </c>
      <c r="CM85" s="80" t="s">
        <v>136</v>
      </c>
      <c r="CN85" s="80">
        <v>0</v>
      </c>
      <c r="CO85" s="79">
        <v>1.6239800523000001</v>
      </c>
      <c r="CP85" s="27">
        <v>1.03336622E-2</v>
      </c>
      <c r="CQ85" s="27">
        <v>2.2445364412000002</v>
      </c>
      <c r="CR85" s="27">
        <v>2.1264267100000001E-2</v>
      </c>
      <c r="CS85" s="27">
        <v>31.258850785</v>
      </c>
      <c r="CT85" s="27">
        <v>0.18752446810000001</v>
      </c>
      <c r="CU85" s="27">
        <v>92.420886713000002</v>
      </c>
      <c r="CV85" s="92">
        <v>1.8119477916</v>
      </c>
      <c r="CW85" s="80" t="s">
        <v>136</v>
      </c>
      <c r="CX85" s="80">
        <v>0</v>
      </c>
      <c r="CY85" s="80" t="s">
        <v>136</v>
      </c>
      <c r="CZ85" s="80">
        <v>0</v>
      </c>
      <c r="DA85" s="79">
        <v>68.755569418999997</v>
      </c>
      <c r="DB85" s="27">
        <v>0.82941027700000003</v>
      </c>
      <c r="DC85" s="27">
        <v>117.33833056</v>
      </c>
      <c r="DD85" s="27">
        <v>3.8270441572</v>
      </c>
      <c r="DE85" s="27">
        <v>617.18178920000003</v>
      </c>
      <c r="DF85" s="27">
        <v>2.2033825002</v>
      </c>
      <c r="DG85" s="27">
        <v>634.38273985000001</v>
      </c>
      <c r="DH85" s="92">
        <v>2.5001353109000002</v>
      </c>
      <c r="DI85" s="95">
        <v>4.4853542599999997E-2</v>
      </c>
      <c r="DJ85" s="96">
        <v>8.1584067100000005E-2</v>
      </c>
      <c r="DK85" s="96">
        <v>0.10539054890000001</v>
      </c>
      <c r="DL85" s="96">
        <v>0.1208367308</v>
      </c>
      <c r="DM85" s="96">
        <v>0.13178259949999999</v>
      </c>
      <c r="DN85" s="96">
        <v>0.14034646570000001</v>
      </c>
      <c r="DO85" s="96">
        <v>0.14716438530000001</v>
      </c>
      <c r="DP85" s="96">
        <v>0.15278104370000001</v>
      </c>
      <c r="DQ85" s="96">
        <v>0.1575043263</v>
      </c>
      <c r="DR85" s="97">
        <v>0.1616294603</v>
      </c>
      <c r="DS85" s="93">
        <v>147.41453379000001</v>
      </c>
      <c r="DT85" s="80">
        <v>0.99008533190000003</v>
      </c>
      <c r="DU85" s="80">
        <v>90.901312982999997</v>
      </c>
      <c r="DV85" s="80">
        <v>0.6180133163</v>
      </c>
      <c r="DW85" s="80">
        <v>56.569646296000002</v>
      </c>
      <c r="DX85" s="80">
        <v>0.38769351330000001</v>
      </c>
      <c r="DY85" s="80">
        <v>35.867788011999998</v>
      </c>
      <c r="DZ85" s="80">
        <v>0.24764907559999999</v>
      </c>
      <c r="EA85" s="80">
        <v>23.330365167</v>
      </c>
      <c r="EB85" s="80">
        <v>0.1625922776</v>
      </c>
      <c r="EC85" s="80">
        <v>15.622978817</v>
      </c>
      <c r="ED85" s="80">
        <v>0.1105169904</v>
      </c>
      <c r="EE85" s="80">
        <v>10.770605028</v>
      </c>
      <c r="EF85" s="80">
        <v>7.7963216299999999E-2</v>
      </c>
      <c r="EG85" s="80">
        <v>7.6263363651000002</v>
      </c>
      <c r="EH85" s="80">
        <v>5.6921624900000002E-2</v>
      </c>
      <c r="EI85" s="80">
        <v>5.5553523269999996</v>
      </c>
      <c r="EJ85" s="80">
        <v>4.2934406100000003E-2</v>
      </c>
      <c r="EK85" s="80">
        <v>4.1355737486999997</v>
      </c>
      <c r="EL85" s="94">
        <v>3.3346609399999998E-2</v>
      </c>
    </row>
    <row r="86" spans="1:142" x14ac:dyDescent="0.2">
      <c r="A86" s="79">
        <v>1000000</v>
      </c>
      <c r="B86" s="27">
        <v>76</v>
      </c>
      <c r="C86" s="79">
        <v>5787.1200700999998</v>
      </c>
      <c r="D86" s="27">
        <v>668431.99795999995</v>
      </c>
      <c r="E86" s="27">
        <v>335.32282163999997</v>
      </c>
      <c r="F86" s="27">
        <v>0.1566813219</v>
      </c>
      <c r="G86" s="79">
        <v>1202.9694448</v>
      </c>
      <c r="H86" s="27">
        <v>5.7611986800000001E-2</v>
      </c>
      <c r="I86" s="27">
        <v>239.60569042</v>
      </c>
      <c r="J86" s="27">
        <v>1.5713839127</v>
      </c>
      <c r="K86" s="27">
        <v>172.63784236999999</v>
      </c>
      <c r="L86" s="27">
        <v>0.93753615489999997</v>
      </c>
      <c r="M86" s="27">
        <v>59.713458056</v>
      </c>
      <c r="N86" s="27">
        <v>0.4371573849</v>
      </c>
      <c r="O86" s="80" t="s">
        <v>136</v>
      </c>
      <c r="P86" s="80">
        <v>0</v>
      </c>
      <c r="Q86" s="27">
        <v>196.59020523999999</v>
      </c>
      <c r="R86" s="27">
        <v>0.2478571598</v>
      </c>
      <c r="S86" s="80" t="s">
        <v>136</v>
      </c>
      <c r="T86" s="80">
        <v>0</v>
      </c>
      <c r="U86" s="80" t="s">
        <v>136</v>
      </c>
      <c r="V86" s="80">
        <v>0</v>
      </c>
      <c r="W86" s="27">
        <v>3.9821698325999999</v>
      </c>
      <c r="X86" s="27">
        <v>3.21079404E-2</v>
      </c>
      <c r="Y86" s="27">
        <v>123.92277722999999</v>
      </c>
      <c r="Z86" s="27">
        <v>2.0008626693</v>
      </c>
      <c r="AA86" s="80" t="s">
        <v>136</v>
      </c>
      <c r="AB86" s="80">
        <v>0</v>
      </c>
      <c r="AC86" s="27">
        <v>5.2426969999999997E-4</v>
      </c>
      <c r="AD86" s="27">
        <v>2.5788533999999999E-6</v>
      </c>
      <c r="AE86" s="80" t="s">
        <v>136</v>
      </c>
      <c r="AF86" s="80">
        <v>0</v>
      </c>
      <c r="AG86" s="80" t="s">
        <v>136</v>
      </c>
      <c r="AH86" s="80">
        <v>0</v>
      </c>
      <c r="AI86" s="27">
        <f t="shared" si="8"/>
        <v>5.2426969999999997E-4</v>
      </c>
      <c r="AJ86" s="27">
        <f t="shared" si="9"/>
        <v>2.5788533999999999E-6</v>
      </c>
      <c r="AK86" s="27">
        <v>193.44436954</v>
      </c>
      <c r="AL86" s="27">
        <v>2.2564632338999999</v>
      </c>
      <c r="AM86" s="80" t="s">
        <v>136</v>
      </c>
      <c r="AN86" s="80">
        <v>0</v>
      </c>
      <c r="AO86" s="80" t="s">
        <v>136</v>
      </c>
      <c r="AP86" s="80">
        <v>0</v>
      </c>
      <c r="AQ86" s="80" t="s">
        <v>136</v>
      </c>
      <c r="AR86" s="80">
        <v>0</v>
      </c>
      <c r="AS86" s="27">
        <v>187.2305819</v>
      </c>
      <c r="AT86" s="27">
        <v>4.6704388781999997</v>
      </c>
      <c r="AU86" s="27">
        <v>240.07663625000001</v>
      </c>
      <c r="AV86" s="27">
        <v>1.1692856920000001</v>
      </c>
      <c r="AW86" s="27">
        <v>99.104225307999997</v>
      </c>
      <c r="AX86" s="27">
        <v>0.72247236339999998</v>
      </c>
      <c r="AY86" s="27">
        <v>23.135988860000001</v>
      </c>
      <c r="AZ86" s="27">
        <v>0.1633090223</v>
      </c>
      <c r="BA86" s="80">
        <f t="shared" si="10"/>
        <v>117.83642208200001</v>
      </c>
      <c r="BB86" s="80">
        <f t="shared" si="11"/>
        <v>0.28350430630000012</v>
      </c>
      <c r="BC86" s="27">
        <v>3.3527165373000001</v>
      </c>
      <c r="BD86" s="80">
        <v>4.1440729999999999E-4</v>
      </c>
      <c r="BE86" s="27">
        <v>1280.1382062</v>
      </c>
      <c r="BF86" s="27">
        <v>4.7298599708999998</v>
      </c>
      <c r="BG86" s="79">
        <v>0.23088318250000001</v>
      </c>
      <c r="BH86" s="80">
        <v>8.4664596999999998E-3</v>
      </c>
      <c r="BI86" s="27">
        <v>238.19303676999999</v>
      </c>
      <c r="BJ86" s="27">
        <v>6.5800524417000004</v>
      </c>
      <c r="BK86" s="27">
        <v>689.94531935999998</v>
      </c>
      <c r="BL86" s="27">
        <v>3.9799046051999998</v>
      </c>
      <c r="BM86" s="27">
        <v>160.48373451000001</v>
      </c>
      <c r="BN86" s="27">
        <v>0.57521233279999995</v>
      </c>
      <c r="BO86" s="27">
        <v>124.36173178</v>
      </c>
      <c r="BP86" s="27">
        <v>3.7605807999999998E-2</v>
      </c>
      <c r="BQ86" s="27">
        <v>0</v>
      </c>
      <c r="BR86" s="92">
        <v>0</v>
      </c>
      <c r="BS86" s="80" t="s">
        <v>136</v>
      </c>
      <c r="BT86" s="80">
        <v>0</v>
      </c>
      <c r="BU86" s="79">
        <v>4.4614550111</v>
      </c>
      <c r="BV86" s="27">
        <v>2.55617988E-2</v>
      </c>
      <c r="BW86" s="27">
        <v>55.252003045000002</v>
      </c>
      <c r="BX86" s="27">
        <v>0.41159558600000001</v>
      </c>
      <c r="BY86" s="80" t="s">
        <v>136</v>
      </c>
      <c r="BZ86" s="80">
        <v>0</v>
      </c>
      <c r="CA86" s="80" t="s">
        <v>136</v>
      </c>
      <c r="CB86" s="80">
        <v>0</v>
      </c>
      <c r="CC86" s="27">
        <v>121.36794049</v>
      </c>
      <c r="CD86" s="27">
        <v>8.0439888700000003E-2</v>
      </c>
      <c r="CE86" s="27">
        <v>75.222264746999997</v>
      </c>
      <c r="CF86" s="92">
        <v>0.16741727109999999</v>
      </c>
      <c r="CG86" s="80" t="s">
        <v>136</v>
      </c>
      <c r="CH86" s="80">
        <v>0</v>
      </c>
      <c r="CI86" s="80" t="s">
        <v>136</v>
      </c>
      <c r="CJ86" s="80">
        <v>0</v>
      </c>
      <c r="CK86" s="80" t="s">
        <v>136</v>
      </c>
      <c r="CL86" s="80">
        <v>0</v>
      </c>
      <c r="CM86" s="80" t="s">
        <v>136</v>
      </c>
      <c r="CN86" s="80">
        <v>0</v>
      </c>
      <c r="CO86" s="79">
        <v>1.7383068922</v>
      </c>
      <c r="CP86" s="27">
        <v>1.08497114E-2</v>
      </c>
      <c r="CQ86" s="27">
        <v>2.2438629404000001</v>
      </c>
      <c r="CR86" s="27">
        <v>2.1258229100000001E-2</v>
      </c>
      <c r="CS86" s="27">
        <v>31.434690719999999</v>
      </c>
      <c r="CT86" s="27">
        <v>0.1881751968</v>
      </c>
      <c r="CU86" s="27">
        <v>92.488086507000006</v>
      </c>
      <c r="CV86" s="92">
        <v>1.8126874725</v>
      </c>
      <c r="CW86" s="80" t="s">
        <v>136</v>
      </c>
      <c r="CX86" s="80">
        <v>0</v>
      </c>
      <c r="CY86" s="80" t="s">
        <v>136</v>
      </c>
      <c r="CZ86" s="80">
        <v>0</v>
      </c>
      <c r="DA86" s="79">
        <v>69.641296539999999</v>
      </c>
      <c r="DB86" s="27">
        <v>0.83595090750000001</v>
      </c>
      <c r="DC86" s="27">
        <v>117.58928536000001</v>
      </c>
      <c r="DD86" s="27">
        <v>3.8344879708000001</v>
      </c>
      <c r="DE86" s="27">
        <v>632.26839909</v>
      </c>
      <c r="DF86" s="27">
        <v>2.2212243506</v>
      </c>
      <c r="DG86" s="27">
        <v>647.86980705999997</v>
      </c>
      <c r="DH86" s="92">
        <v>2.5086356203000002</v>
      </c>
      <c r="DI86" s="95">
        <v>4.4986577E-2</v>
      </c>
      <c r="DJ86" s="96">
        <v>8.1847952400000007E-2</v>
      </c>
      <c r="DK86" s="96">
        <v>0.1057842336</v>
      </c>
      <c r="DL86" s="96">
        <v>0.1213568162</v>
      </c>
      <c r="DM86" s="96">
        <v>0.1324274033</v>
      </c>
      <c r="DN86" s="96">
        <v>0.14111638839999999</v>
      </c>
      <c r="DO86" s="96">
        <v>0.14805724719999999</v>
      </c>
      <c r="DP86" s="96">
        <v>0.1537958227</v>
      </c>
      <c r="DQ86" s="96">
        <v>0.15863994049999999</v>
      </c>
      <c r="DR86" s="97">
        <v>0.1628860208</v>
      </c>
      <c r="DS86" s="93">
        <v>147.49343608999999</v>
      </c>
      <c r="DT86" s="80">
        <v>0.99040001909999997</v>
      </c>
      <c r="DU86" s="80">
        <v>90.972884023999995</v>
      </c>
      <c r="DV86" s="80">
        <v>0.61830335670000003</v>
      </c>
      <c r="DW86" s="80">
        <v>56.63320908</v>
      </c>
      <c r="DX86" s="80">
        <v>0.38795545190000003</v>
      </c>
      <c r="DY86" s="80">
        <v>35.924738841</v>
      </c>
      <c r="DZ86" s="80">
        <v>0.2478873596</v>
      </c>
      <c r="EA86" s="80">
        <v>23.380791464000001</v>
      </c>
      <c r="EB86" s="80">
        <v>0.1628045863</v>
      </c>
      <c r="EC86" s="80">
        <v>15.667899928000001</v>
      </c>
      <c r="ED86" s="80">
        <v>0.1107084733</v>
      </c>
      <c r="EE86" s="80">
        <v>10.81040052</v>
      </c>
      <c r="EF86" s="80">
        <v>7.8136411200000006E-2</v>
      </c>
      <c r="EG86" s="80">
        <v>7.6627924623999997</v>
      </c>
      <c r="EH86" s="80">
        <v>5.7079254400000001E-2</v>
      </c>
      <c r="EI86" s="80">
        <v>5.5885815702999997</v>
      </c>
      <c r="EJ86" s="80">
        <v>4.3076307600000002E-2</v>
      </c>
      <c r="EK86" s="80">
        <v>4.1665392663</v>
      </c>
      <c r="EL86" s="94">
        <v>3.3476860800000001E-2</v>
      </c>
    </row>
    <row r="87" spans="1:142" x14ac:dyDescent="0.2">
      <c r="A87" s="79">
        <v>2000000</v>
      </c>
      <c r="B87" s="27">
        <v>15</v>
      </c>
      <c r="C87" s="79">
        <v>5804.8461053999999</v>
      </c>
      <c r="D87" s="27">
        <v>1351186.1129000001</v>
      </c>
      <c r="E87" s="27">
        <v>335.52038374</v>
      </c>
      <c r="F87" s="27">
        <v>0.15670605260000001</v>
      </c>
      <c r="G87" s="79">
        <v>1240.0590622</v>
      </c>
      <c r="H87" s="27">
        <v>5.7751971899999997E-2</v>
      </c>
      <c r="I87" s="27">
        <v>239.61181723000001</v>
      </c>
      <c r="J87" s="27">
        <v>1.5714301015000001</v>
      </c>
      <c r="K87" s="27">
        <v>172.91152657999999</v>
      </c>
      <c r="L87" s="27">
        <v>0.93771290910000005</v>
      </c>
      <c r="M87" s="27">
        <v>59.713985098000002</v>
      </c>
      <c r="N87" s="27">
        <v>0.43715764889999997</v>
      </c>
      <c r="O87" s="80" t="s">
        <v>136</v>
      </c>
      <c r="P87" s="80">
        <v>0</v>
      </c>
      <c r="Q87" s="27">
        <v>196.71409611999999</v>
      </c>
      <c r="R87" s="27">
        <v>0.24803183379999999</v>
      </c>
      <c r="S87" s="80" t="s">
        <v>136</v>
      </c>
      <c r="T87" s="80">
        <v>0</v>
      </c>
      <c r="U87" s="80" t="s">
        <v>136</v>
      </c>
      <c r="V87" s="80">
        <v>0</v>
      </c>
      <c r="W87" s="27">
        <v>3.9819048585000001</v>
      </c>
      <c r="X87" s="27">
        <v>3.2105659299999999E-2</v>
      </c>
      <c r="Y87" s="27">
        <v>123.92843904999999</v>
      </c>
      <c r="Z87" s="27">
        <v>2.0008816672999998</v>
      </c>
      <c r="AA87" s="80" t="s">
        <v>136</v>
      </c>
      <c r="AB87" s="80">
        <v>0</v>
      </c>
      <c r="AC87" s="27">
        <v>5.2421770000000002E-4</v>
      </c>
      <c r="AD87" s="27">
        <v>2.5785975999999999E-6</v>
      </c>
      <c r="AE87" s="80" t="s">
        <v>136</v>
      </c>
      <c r="AF87" s="80">
        <v>0</v>
      </c>
      <c r="AG87" s="80" t="s">
        <v>136</v>
      </c>
      <c r="AH87" s="80">
        <v>0</v>
      </c>
      <c r="AI87" s="27">
        <f t="shared" si="8"/>
        <v>5.2421770000000002E-4</v>
      </c>
      <c r="AJ87" s="27">
        <f t="shared" si="9"/>
        <v>2.5785975999999999E-6</v>
      </c>
      <c r="AK87" s="27">
        <v>193.45841071999999</v>
      </c>
      <c r="AL87" s="27">
        <v>2.2568141783</v>
      </c>
      <c r="AM87" s="80" t="s">
        <v>136</v>
      </c>
      <c r="AN87" s="80">
        <v>0</v>
      </c>
      <c r="AO87" s="80" t="s">
        <v>136</v>
      </c>
      <c r="AP87" s="80">
        <v>0</v>
      </c>
      <c r="AQ87" s="80" t="s">
        <v>136</v>
      </c>
      <c r="AR87" s="80">
        <v>0</v>
      </c>
      <c r="AS87" s="27">
        <v>187.43716519</v>
      </c>
      <c r="AT87" s="27">
        <v>4.6759777577000001</v>
      </c>
      <c r="AU87" s="27">
        <v>240.1849756</v>
      </c>
      <c r="AV87" s="27">
        <v>1.1700543336</v>
      </c>
      <c r="AW87" s="27">
        <v>99.145992489999998</v>
      </c>
      <c r="AX87" s="27">
        <v>0.72312110709999999</v>
      </c>
      <c r="AY87" s="27">
        <v>23.139876882999999</v>
      </c>
      <c r="AZ87" s="27">
        <v>0.1633284445</v>
      </c>
      <c r="BA87" s="80">
        <f t="shared" si="10"/>
        <v>117.899106227</v>
      </c>
      <c r="BB87" s="80">
        <f t="shared" si="11"/>
        <v>0.28360478200000006</v>
      </c>
      <c r="BC87" s="27">
        <v>3.3525991815</v>
      </c>
      <c r="BD87" s="80">
        <v>4.1439310000000002E-4</v>
      </c>
      <c r="BE87" s="27">
        <v>1285.3523051</v>
      </c>
      <c r="BF87" s="27">
        <v>4.7375782286000003</v>
      </c>
      <c r="BG87" s="79">
        <v>0.23445474760000001</v>
      </c>
      <c r="BH87" s="80">
        <v>8.4661609999999998E-3</v>
      </c>
      <c r="BI87" s="27">
        <v>238.21409534</v>
      </c>
      <c r="BJ87" s="27">
        <v>6.5803595572000004</v>
      </c>
      <c r="BK87" s="27">
        <v>690.05884704000005</v>
      </c>
      <c r="BL87" s="27">
        <v>3.9801771799000001</v>
      </c>
      <c r="BM87" s="27">
        <v>160.50042683000001</v>
      </c>
      <c r="BN87" s="27">
        <v>0.57521380160000002</v>
      </c>
      <c r="BO87" s="27">
        <v>124.37547579</v>
      </c>
      <c r="BP87" s="27">
        <v>3.7615046399999998E-2</v>
      </c>
      <c r="BQ87" s="27">
        <v>0</v>
      </c>
      <c r="BR87" s="92">
        <v>0</v>
      </c>
      <c r="BS87" s="80" t="s">
        <v>136</v>
      </c>
      <c r="BT87" s="80">
        <v>0</v>
      </c>
      <c r="BU87" s="79">
        <v>4.4613317016999998</v>
      </c>
      <c r="BV87" s="27">
        <v>2.5561113699999999E-2</v>
      </c>
      <c r="BW87" s="27">
        <v>55.252653395999999</v>
      </c>
      <c r="BX87" s="27">
        <v>0.4115965352</v>
      </c>
      <c r="BY87" s="80" t="s">
        <v>136</v>
      </c>
      <c r="BZ87" s="80">
        <v>0</v>
      </c>
      <c r="CA87" s="80" t="s">
        <v>136</v>
      </c>
      <c r="CB87" s="80">
        <v>0</v>
      </c>
      <c r="CC87" s="27">
        <v>121.449153</v>
      </c>
      <c r="CD87" s="27">
        <v>8.0495589199999995E-2</v>
      </c>
      <c r="CE87" s="27">
        <v>75.264943121000002</v>
      </c>
      <c r="CF87" s="92">
        <v>0.16753624459999999</v>
      </c>
      <c r="CG87" s="80" t="s">
        <v>136</v>
      </c>
      <c r="CH87" s="80">
        <v>0</v>
      </c>
      <c r="CI87" s="80" t="s">
        <v>136</v>
      </c>
      <c r="CJ87" s="80">
        <v>0</v>
      </c>
      <c r="CK87" s="80" t="s">
        <v>136</v>
      </c>
      <c r="CL87" s="80">
        <v>0</v>
      </c>
      <c r="CM87" s="80" t="s">
        <v>136</v>
      </c>
      <c r="CN87" s="80">
        <v>0</v>
      </c>
      <c r="CO87" s="79">
        <v>1.7382144233000001</v>
      </c>
      <c r="CP87" s="27">
        <v>1.0849067299999999E-2</v>
      </c>
      <c r="CQ87" s="27">
        <v>2.2436904352</v>
      </c>
      <c r="CR87" s="27">
        <v>2.1256592099999999E-2</v>
      </c>
      <c r="CS87" s="27">
        <v>31.440710500000002</v>
      </c>
      <c r="CT87" s="27">
        <v>0.18820942630000001</v>
      </c>
      <c r="CU87" s="27">
        <v>92.487728548999996</v>
      </c>
      <c r="CV87" s="92">
        <v>1.8126722411</v>
      </c>
      <c r="CW87" s="80" t="s">
        <v>136</v>
      </c>
      <c r="CX87" s="80">
        <v>0</v>
      </c>
      <c r="CY87" s="80" t="s">
        <v>136</v>
      </c>
      <c r="CZ87" s="80">
        <v>0</v>
      </c>
      <c r="DA87" s="79">
        <v>69.770516756000006</v>
      </c>
      <c r="DB87" s="27">
        <v>0.8369485458</v>
      </c>
      <c r="DC87" s="27">
        <v>117.66664843</v>
      </c>
      <c r="DD87" s="27">
        <v>3.8390292117999998</v>
      </c>
      <c r="DE87" s="27">
        <v>635.07324435999999</v>
      </c>
      <c r="DF87" s="27">
        <v>2.2260033779000001</v>
      </c>
      <c r="DG87" s="27">
        <v>650.27906071999996</v>
      </c>
      <c r="DH87" s="92">
        <v>2.5115748507000002</v>
      </c>
      <c r="DI87" s="95">
        <v>4.5016040100000002E-2</v>
      </c>
      <c r="DJ87" s="96">
        <v>8.1907157100000003E-2</v>
      </c>
      <c r="DK87" s="96">
        <v>0.1058736416</v>
      </c>
      <c r="DL87" s="96">
        <v>0.1214766895</v>
      </c>
      <c r="DM87" s="96">
        <v>0.1325778776</v>
      </c>
      <c r="DN87" s="96">
        <v>0.14129753140000001</v>
      </c>
      <c r="DO87" s="96">
        <v>0.14826911409999999</v>
      </c>
      <c r="DP87" s="96">
        <v>0.15403845269999999</v>
      </c>
      <c r="DQ87" s="96">
        <v>0.15891336319999999</v>
      </c>
      <c r="DR87" s="97">
        <v>0.1631902553</v>
      </c>
      <c r="DS87" s="93">
        <v>147.50015321999999</v>
      </c>
      <c r="DT87" s="80">
        <v>0.99044923070000002</v>
      </c>
      <c r="DU87" s="80">
        <v>90.979415461000002</v>
      </c>
      <c r="DV87" s="80">
        <v>0.61835171089999996</v>
      </c>
      <c r="DW87" s="80">
        <v>56.639049200000002</v>
      </c>
      <c r="DX87" s="80">
        <v>0.38799981970000003</v>
      </c>
      <c r="DY87" s="80">
        <v>35.929826982999998</v>
      </c>
      <c r="DZ87" s="80">
        <v>0.2479274524</v>
      </c>
      <c r="EA87" s="80">
        <v>23.385535943000001</v>
      </c>
      <c r="EB87" s="80">
        <v>0.16284248479999999</v>
      </c>
      <c r="EC87" s="80">
        <v>15.672357495</v>
      </c>
      <c r="ED87" s="80">
        <v>0.1107443696</v>
      </c>
      <c r="EE87" s="80">
        <v>10.814477512</v>
      </c>
      <c r="EF87" s="80">
        <v>7.8169642900000003E-2</v>
      </c>
      <c r="EG87" s="80">
        <v>7.6664305936000003</v>
      </c>
      <c r="EH87" s="80">
        <v>5.71094147E-2</v>
      </c>
      <c r="EI87" s="80">
        <v>5.5917435302999996</v>
      </c>
      <c r="EJ87" s="80">
        <v>4.3103140400000003E-2</v>
      </c>
      <c r="EK87" s="80">
        <v>4.1694741478999999</v>
      </c>
      <c r="EL87" s="94">
        <v>3.3501492000000001E-2</v>
      </c>
    </row>
    <row r="88" spans="1:142" x14ac:dyDescent="0.2">
      <c r="A88" s="82" t="s">
        <v>11</v>
      </c>
      <c r="B88" s="83">
        <v>3</v>
      </c>
      <c r="C88" s="82">
        <v>5809.5780262999997</v>
      </c>
      <c r="D88" s="83">
        <v>2759955.0177000002</v>
      </c>
      <c r="E88" s="83">
        <v>335.51827885</v>
      </c>
      <c r="F88" s="83">
        <v>0.15670513220000001</v>
      </c>
      <c r="G88" s="82">
        <v>1256.5511521000001</v>
      </c>
      <c r="H88" s="83">
        <v>5.7790938E-2</v>
      </c>
      <c r="I88" s="83">
        <v>239.61102947000001</v>
      </c>
      <c r="J88" s="83">
        <v>1.5714233134</v>
      </c>
      <c r="K88" s="83">
        <v>172.95218277000001</v>
      </c>
      <c r="L88" s="83">
        <v>0.93774446560000002</v>
      </c>
      <c r="M88" s="83">
        <v>59.715020232999997</v>
      </c>
      <c r="N88" s="83">
        <v>0.4371665233</v>
      </c>
      <c r="O88" s="98" t="s">
        <v>136</v>
      </c>
      <c r="P88" s="98">
        <v>0</v>
      </c>
      <c r="Q88" s="83">
        <v>196.73883832000001</v>
      </c>
      <c r="R88" s="83">
        <v>0.24807986770000001</v>
      </c>
      <c r="S88" s="98" t="s">
        <v>136</v>
      </c>
      <c r="T88" s="98">
        <v>0</v>
      </c>
      <c r="U88" s="98" t="s">
        <v>136</v>
      </c>
      <c r="V88" s="98">
        <v>0</v>
      </c>
      <c r="W88" s="83">
        <v>3.9818346291000002</v>
      </c>
      <c r="X88" s="83">
        <v>3.2105049500000003E-2</v>
      </c>
      <c r="Y88" s="83">
        <v>123.93415378</v>
      </c>
      <c r="Z88" s="83">
        <v>2.0009058900999999</v>
      </c>
      <c r="AA88" s="98" t="s">
        <v>136</v>
      </c>
      <c r="AB88" s="98">
        <v>0</v>
      </c>
      <c r="AC88" s="83">
        <v>5.2421770000000002E-4</v>
      </c>
      <c r="AD88" s="83">
        <v>2.5785975999999999E-6</v>
      </c>
      <c r="AE88" s="98" t="s">
        <v>136</v>
      </c>
      <c r="AF88" s="98">
        <v>0</v>
      </c>
      <c r="AG88" s="98" t="s">
        <v>136</v>
      </c>
      <c r="AH88" s="98">
        <v>0</v>
      </c>
      <c r="AI88" s="83">
        <f t="shared" si="8"/>
        <v>5.2421770000000002E-4</v>
      </c>
      <c r="AJ88" s="83">
        <f t="shared" si="9"/>
        <v>2.5785975999999999E-6</v>
      </c>
      <c r="AK88" s="83">
        <v>193.45743117999999</v>
      </c>
      <c r="AL88" s="83">
        <v>2.2568154745000002</v>
      </c>
      <c r="AM88" s="98" t="s">
        <v>136</v>
      </c>
      <c r="AN88" s="98">
        <v>0</v>
      </c>
      <c r="AO88" s="98" t="s">
        <v>136</v>
      </c>
      <c r="AP88" s="98">
        <v>0</v>
      </c>
      <c r="AQ88" s="98" t="s">
        <v>136</v>
      </c>
      <c r="AR88" s="98">
        <v>0</v>
      </c>
      <c r="AS88" s="83">
        <v>187.46248231000001</v>
      </c>
      <c r="AT88" s="83">
        <v>4.6762694793000001</v>
      </c>
      <c r="AU88" s="83">
        <v>240.18825412000001</v>
      </c>
      <c r="AV88" s="83">
        <v>1.1700888383000001</v>
      </c>
      <c r="AW88" s="83">
        <v>99.150271736999997</v>
      </c>
      <c r="AX88" s="83">
        <v>0.72315818779999996</v>
      </c>
      <c r="AY88" s="83">
        <v>23.139768603</v>
      </c>
      <c r="AZ88" s="83">
        <v>0.1633276471</v>
      </c>
      <c r="BA88" s="80">
        <f t="shared" si="10"/>
        <v>117.89821378000002</v>
      </c>
      <c r="BB88" s="80">
        <f t="shared" si="11"/>
        <v>0.28360300340000011</v>
      </c>
      <c r="BC88" s="83">
        <v>3.3525651892999999</v>
      </c>
      <c r="BD88" s="80">
        <v>4.143889E-4</v>
      </c>
      <c r="BE88" s="83">
        <v>1285.8622545000001</v>
      </c>
      <c r="BF88" s="83">
        <v>4.7386180365000001</v>
      </c>
      <c r="BG88" s="82">
        <v>0.2379810259</v>
      </c>
      <c r="BH88" s="80">
        <v>8.4660745999999999E-3</v>
      </c>
      <c r="BI88" s="83">
        <v>238.21629211999999</v>
      </c>
      <c r="BJ88" s="83">
        <v>6.5804054881000003</v>
      </c>
      <c r="BK88" s="83">
        <v>690.06646955999997</v>
      </c>
      <c r="BL88" s="83">
        <v>3.9802034247</v>
      </c>
      <c r="BM88" s="83">
        <v>160.53481106999999</v>
      </c>
      <c r="BN88" s="83">
        <v>0.57523012770000004</v>
      </c>
      <c r="BO88" s="83">
        <v>124.37445184000001</v>
      </c>
      <c r="BP88" s="83">
        <v>3.7614764799999999E-2</v>
      </c>
      <c r="BQ88" s="83">
        <v>0</v>
      </c>
      <c r="BR88" s="99">
        <v>0</v>
      </c>
      <c r="BS88" s="98" t="s">
        <v>136</v>
      </c>
      <c r="BT88" s="98">
        <v>0</v>
      </c>
      <c r="BU88" s="82">
        <v>4.4613091707999999</v>
      </c>
      <c r="BV88" s="83">
        <v>2.5561000300000001E-2</v>
      </c>
      <c r="BW88" s="83">
        <v>55.253711062000001</v>
      </c>
      <c r="BX88" s="83">
        <v>0.41160552299999997</v>
      </c>
      <c r="BY88" s="98" t="s">
        <v>136</v>
      </c>
      <c r="BZ88" s="98">
        <v>0</v>
      </c>
      <c r="CA88" s="98" t="s">
        <v>136</v>
      </c>
      <c r="CB88" s="98">
        <v>0</v>
      </c>
      <c r="CC88" s="83">
        <v>121.46968273</v>
      </c>
      <c r="CD88" s="83">
        <v>8.0521988599999997E-2</v>
      </c>
      <c r="CE88" s="83">
        <v>75.269155597999998</v>
      </c>
      <c r="CF88" s="99">
        <v>0.1675578791</v>
      </c>
      <c r="CG88" s="98" t="s">
        <v>136</v>
      </c>
      <c r="CH88" s="98">
        <v>0</v>
      </c>
      <c r="CI88" s="98" t="s">
        <v>136</v>
      </c>
      <c r="CJ88" s="98">
        <v>0</v>
      </c>
      <c r="CK88" s="98" t="s">
        <v>136</v>
      </c>
      <c r="CL88" s="98">
        <v>0</v>
      </c>
      <c r="CM88" s="98" t="s">
        <v>136</v>
      </c>
      <c r="CN88" s="98">
        <v>0</v>
      </c>
      <c r="CO88" s="82">
        <v>1.7381892839999999</v>
      </c>
      <c r="CP88" s="83">
        <v>1.08488956E-2</v>
      </c>
      <c r="CQ88" s="83">
        <v>2.2436453451</v>
      </c>
      <c r="CR88" s="83">
        <v>2.1256153900000001E-2</v>
      </c>
      <c r="CS88" s="83">
        <v>31.446945856999999</v>
      </c>
      <c r="CT88" s="83">
        <v>0.18824340449999999</v>
      </c>
      <c r="CU88" s="83">
        <v>92.487207921000007</v>
      </c>
      <c r="CV88" s="99">
        <v>1.8126624856</v>
      </c>
      <c r="CW88" s="98" t="s">
        <v>136</v>
      </c>
      <c r="CX88" s="98">
        <v>0</v>
      </c>
      <c r="CY88" s="98" t="s">
        <v>136</v>
      </c>
      <c r="CZ88" s="98">
        <v>0</v>
      </c>
      <c r="DA88" s="82">
        <v>69.783975299999994</v>
      </c>
      <c r="DB88" s="83">
        <v>0.83712910620000003</v>
      </c>
      <c r="DC88" s="83">
        <v>117.67850701</v>
      </c>
      <c r="DD88" s="83">
        <v>3.8391403730999998</v>
      </c>
      <c r="DE88" s="83">
        <v>635.53009381000004</v>
      </c>
      <c r="DF88" s="83">
        <v>2.2269583473000001</v>
      </c>
      <c r="DG88" s="83">
        <v>650.33216072000005</v>
      </c>
      <c r="DH88" s="99">
        <v>2.5116596891</v>
      </c>
      <c r="DI88" s="100">
        <v>4.5021907799999997E-2</v>
      </c>
      <c r="DJ88" s="101">
        <v>8.1918957700000003E-2</v>
      </c>
      <c r="DK88" s="101">
        <v>0.1058914795</v>
      </c>
      <c r="DL88" s="101">
        <v>0.1215006265</v>
      </c>
      <c r="DM88" s="101">
        <v>0.13260794779999999</v>
      </c>
      <c r="DN88" s="101">
        <v>0.14133375249999999</v>
      </c>
      <c r="DO88" s="101">
        <v>0.1483114998</v>
      </c>
      <c r="DP88" s="101">
        <v>0.15408701350000001</v>
      </c>
      <c r="DQ88" s="101">
        <v>0.15896810629999999</v>
      </c>
      <c r="DR88" s="102">
        <v>0.16325118599999999</v>
      </c>
      <c r="DS88" s="103">
        <v>147.49909969000001</v>
      </c>
      <c r="DT88" s="98">
        <v>0.99044211360000001</v>
      </c>
      <c r="DU88" s="98">
        <v>90.978750450999996</v>
      </c>
      <c r="DV88" s="98">
        <v>0.61834717770000003</v>
      </c>
      <c r="DW88" s="98">
        <v>56.638626656</v>
      </c>
      <c r="DX88" s="98">
        <v>0.3879969325</v>
      </c>
      <c r="DY88" s="98">
        <v>35.929553634000001</v>
      </c>
      <c r="DZ88" s="98">
        <v>0.24792558910000001</v>
      </c>
      <c r="EA88" s="98">
        <v>23.385353833</v>
      </c>
      <c r="EB88" s="98">
        <v>0.16284124920000001</v>
      </c>
      <c r="EC88" s="98">
        <v>15.672232612</v>
      </c>
      <c r="ED88" s="98">
        <v>0.11074352730000001</v>
      </c>
      <c r="EE88" s="98">
        <v>10.814389800000001</v>
      </c>
      <c r="EF88" s="98">
        <v>7.81690528E-2</v>
      </c>
      <c r="EG88" s="98">
        <v>7.6663675047000002</v>
      </c>
      <c r="EH88" s="98">
        <v>5.71089901E-2</v>
      </c>
      <c r="EI88" s="98">
        <v>5.5916972088000003</v>
      </c>
      <c r="EJ88" s="98">
        <v>4.31028273E-2</v>
      </c>
      <c r="EK88" s="98">
        <v>4.1694397468000002</v>
      </c>
      <c r="EL88" s="104">
        <v>3.3501257499999999E-2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 enableFormatConditionsCalculation="0"/>
  <dimension ref="A1:EL88"/>
  <sheetViews>
    <sheetView workbookViewId="0">
      <pane xSplit="4" ySplit="4" topLeftCell="E5" activePane="bottomRight" state="frozen"/>
      <selection activeCell="I95" sqref="I95"/>
      <selection pane="topRight" activeCell="I95" sqref="I95"/>
      <selection pane="bottomLeft" activeCell="I95" sqref="I95"/>
      <selection pane="bottomRight" activeCell="BU24" sqref="BU24"/>
    </sheetView>
  </sheetViews>
  <sheetFormatPr baseColWidth="10" defaultColWidth="8.83203125" defaultRowHeight="15" x14ac:dyDescent="0.2"/>
  <cols>
    <col min="1" max="3" width="12.5" style="81" customWidth="1"/>
    <col min="4" max="4" width="15.1640625" style="81" customWidth="1"/>
    <col min="5" max="10" width="12.5" style="81" customWidth="1"/>
    <col min="11" max="11" width="12.1640625" style="81" customWidth="1"/>
    <col min="12" max="13" width="12.5" style="81" customWidth="1"/>
    <col min="14" max="14" width="13.83203125" style="81" bestFit="1" customWidth="1"/>
    <col min="15" max="16" width="12.5" style="81" hidden="1" customWidth="1"/>
    <col min="17" max="18" width="12.5" style="81" customWidth="1"/>
    <col min="19" max="22" width="12.5" style="81" hidden="1" customWidth="1"/>
    <col min="23" max="26" width="12.5" style="81" customWidth="1"/>
    <col min="27" max="28" width="12.5" style="81" hidden="1" customWidth="1"/>
    <col min="29" max="30" width="12.5" style="81" customWidth="1"/>
    <col min="31" max="34" width="12.5" style="81" hidden="1" customWidth="1"/>
    <col min="35" max="35" width="12.5" style="81" customWidth="1"/>
    <col min="36" max="38" width="12.1640625" style="81" customWidth="1"/>
    <col min="39" max="44" width="12.1640625" style="81" hidden="1" customWidth="1"/>
    <col min="45" max="55" width="12.1640625" style="81" customWidth="1"/>
    <col min="56" max="64" width="12.5" style="81" customWidth="1"/>
    <col min="65" max="68" width="12.83203125" style="81" customWidth="1"/>
    <col min="69" max="72" width="12.83203125" style="81" hidden="1" customWidth="1"/>
    <col min="73" max="74" width="12.83203125" style="81" customWidth="1"/>
    <col min="75" max="76" width="13" style="81" customWidth="1"/>
    <col min="77" max="80" width="13" style="81" hidden="1" customWidth="1"/>
    <col min="81" max="84" width="13" style="81" customWidth="1"/>
    <col min="85" max="92" width="13" style="81" hidden="1" customWidth="1"/>
    <col min="93" max="100" width="13" style="81" customWidth="1"/>
    <col min="101" max="104" width="13" style="81" hidden="1" customWidth="1"/>
    <col min="105" max="112" width="13" style="81" customWidth="1"/>
    <col min="113" max="123" width="8.83203125" style="81"/>
    <col min="124" max="142" width="11.5" style="81" customWidth="1"/>
    <col min="143" max="16384" width="8.83203125" style="81"/>
  </cols>
  <sheetData>
    <row r="1" spans="1:142" x14ac:dyDescent="0.2">
      <c r="A1" s="86" t="s">
        <v>149</v>
      </c>
    </row>
    <row r="2" spans="1:142" x14ac:dyDescent="0.2">
      <c r="A2" s="86" t="s">
        <v>19</v>
      </c>
    </row>
    <row r="3" spans="1:142" x14ac:dyDescent="0.2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</row>
    <row r="4" spans="1:142" s="91" customFormat="1" ht="45" customHeight="1" x14ac:dyDescent="0.2">
      <c r="A4" s="87" t="s">
        <v>10</v>
      </c>
      <c r="B4" s="88" t="s">
        <v>20</v>
      </c>
      <c r="C4" s="87" t="s">
        <v>21</v>
      </c>
      <c r="D4" s="88" t="s">
        <v>12</v>
      </c>
      <c r="E4" s="87" t="s">
        <v>28</v>
      </c>
      <c r="F4" s="88" t="s">
        <v>29</v>
      </c>
      <c r="G4" s="87" t="s">
        <v>30</v>
      </c>
      <c r="H4" s="88" t="s">
        <v>31</v>
      </c>
      <c r="I4" s="88" t="s">
        <v>32</v>
      </c>
      <c r="J4" s="88" t="s">
        <v>33</v>
      </c>
      <c r="K4" s="88" t="s">
        <v>34</v>
      </c>
      <c r="L4" s="88" t="s">
        <v>35</v>
      </c>
      <c r="M4" s="88" t="s">
        <v>36</v>
      </c>
      <c r="N4" s="88" t="s">
        <v>37</v>
      </c>
      <c r="O4" s="88" t="s">
        <v>38</v>
      </c>
      <c r="P4" s="88" t="s">
        <v>38</v>
      </c>
      <c r="Q4" s="88" t="s">
        <v>39</v>
      </c>
      <c r="R4" s="88" t="s">
        <v>40</v>
      </c>
      <c r="S4" s="88" t="s">
        <v>38</v>
      </c>
      <c r="T4" s="88" t="s">
        <v>38</v>
      </c>
      <c r="U4" s="88" t="s">
        <v>38</v>
      </c>
      <c r="V4" s="88" t="s">
        <v>38</v>
      </c>
      <c r="W4" s="88" t="s">
        <v>41</v>
      </c>
      <c r="X4" s="88" t="s">
        <v>42</v>
      </c>
      <c r="Y4" s="88" t="s">
        <v>43</v>
      </c>
      <c r="Z4" s="88" t="s">
        <v>44</v>
      </c>
      <c r="AA4" s="88" t="s">
        <v>38</v>
      </c>
      <c r="AB4" s="88" t="s">
        <v>38</v>
      </c>
      <c r="AC4" s="88" t="s">
        <v>45</v>
      </c>
      <c r="AD4" s="88" t="s">
        <v>46</v>
      </c>
      <c r="AE4" s="88" t="s">
        <v>38</v>
      </c>
      <c r="AF4" s="88" t="s">
        <v>38</v>
      </c>
      <c r="AG4" s="88" t="s">
        <v>38</v>
      </c>
      <c r="AH4" s="88" t="s">
        <v>38</v>
      </c>
      <c r="AI4" s="88" t="s">
        <v>47</v>
      </c>
      <c r="AJ4" s="88" t="s">
        <v>48</v>
      </c>
      <c r="AK4" s="88" t="s">
        <v>49</v>
      </c>
      <c r="AL4" s="88" t="s">
        <v>50</v>
      </c>
      <c r="AM4" s="88" t="s">
        <v>38</v>
      </c>
      <c r="AN4" s="88" t="s">
        <v>38</v>
      </c>
      <c r="AO4" s="88" t="s">
        <v>38</v>
      </c>
      <c r="AP4" s="88" t="s">
        <v>38</v>
      </c>
      <c r="AQ4" s="88" t="s">
        <v>38</v>
      </c>
      <c r="AR4" s="88" t="s">
        <v>38</v>
      </c>
      <c r="AS4" s="88" t="s">
        <v>51</v>
      </c>
      <c r="AT4" s="88" t="s">
        <v>52</v>
      </c>
      <c r="AU4" s="88" t="s">
        <v>53</v>
      </c>
      <c r="AV4" s="88" t="s">
        <v>54</v>
      </c>
      <c r="AW4" s="88" t="s">
        <v>55</v>
      </c>
      <c r="AX4" s="88" t="s">
        <v>56</v>
      </c>
      <c r="AY4" s="88" t="s">
        <v>57</v>
      </c>
      <c r="AZ4" s="88" t="s">
        <v>58</v>
      </c>
      <c r="BA4" s="88" t="s">
        <v>59</v>
      </c>
      <c r="BB4" s="88" t="s">
        <v>60</v>
      </c>
      <c r="BC4" s="88" t="s">
        <v>61</v>
      </c>
      <c r="BD4" s="88" t="s">
        <v>62</v>
      </c>
      <c r="BE4" s="88" t="s">
        <v>63</v>
      </c>
      <c r="BF4" s="88" t="s">
        <v>64</v>
      </c>
      <c r="BG4" s="87" t="s">
        <v>65</v>
      </c>
      <c r="BH4" s="89" t="s">
        <v>66</v>
      </c>
      <c r="BI4" s="88" t="s">
        <v>67</v>
      </c>
      <c r="BJ4" s="88" t="s">
        <v>68</v>
      </c>
      <c r="BK4" s="88" t="s">
        <v>69</v>
      </c>
      <c r="BL4" s="88" t="s">
        <v>70</v>
      </c>
      <c r="BM4" s="88" t="s">
        <v>71</v>
      </c>
      <c r="BN4" s="88" t="s">
        <v>72</v>
      </c>
      <c r="BO4" s="88" t="s">
        <v>73</v>
      </c>
      <c r="BP4" s="88" t="s">
        <v>74</v>
      </c>
      <c r="BQ4" s="88" t="s">
        <v>75</v>
      </c>
      <c r="BR4" s="89" t="s">
        <v>76</v>
      </c>
      <c r="BS4" s="88" t="s">
        <v>63</v>
      </c>
      <c r="BT4" s="89" t="s">
        <v>77</v>
      </c>
      <c r="BU4" s="88" t="s">
        <v>78</v>
      </c>
      <c r="BV4" s="88" t="s">
        <v>79</v>
      </c>
      <c r="BW4" s="88" t="s">
        <v>80</v>
      </c>
      <c r="BX4" s="88" t="s">
        <v>81</v>
      </c>
      <c r="BY4" s="90" t="s">
        <v>82</v>
      </c>
      <c r="BZ4" s="88" t="s">
        <v>83</v>
      </c>
      <c r="CA4" s="90" t="s">
        <v>84</v>
      </c>
      <c r="CB4" s="88" t="s">
        <v>85</v>
      </c>
      <c r="CC4" s="88" t="s">
        <v>86</v>
      </c>
      <c r="CD4" s="88" t="s">
        <v>87</v>
      </c>
      <c r="CE4" s="88" t="s">
        <v>88</v>
      </c>
      <c r="CF4" s="88" t="s">
        <v>89</v>
      </c>
      <c r="CG4" s="88" t="s">
        <v>38</v>
      </c>
      <c r="CH4" s="88" t="s">
        <v>38</v>
      </c>
      <c r="CI4" s="88" t="s">
        <v>38</v>
      </c>
      <c r="CJ4" s="88" t="s">
        <v>38</v>
      </c>
      <c r="CK4" s="88" t="s">
        <v>38</v>
      </c>
      <c r="CL4" s="88" t="s">
        <v>38</v>
      </c>
      <c r="CM4" s="88" t="s">
        <v>38</v>
      </c>
      <c r="CN4" s="88" t="s">
        <v>38</v>
      </c>
      <c r="CO4" s="88" t="s">
        <v>90</v>
      </c>
      <c r="CP4" s="88" t="s">
        <v>91</v>
      </c>
      <c r="CQ4" s="88" t="s">
        <v>92</v>
      </c>
      <c r="CR4" s="88" t="s">
        <v>93</v>
      </c>
      <c r="CS4" s="88" t="s">
        <v>94</v>
      </c>
      <c r="CT4" s="88" t="s">
        <v>95</v>
      </c>
      <c r="CU4" s="88" t="s">
        <v>96</v>
      </c>
      <c r="CV4" s="88" t="s">
        <v>97</v>
      </c>
      <c r="CW4" s="88" t="s">
        <v>38</v>
      </c>
      <c r="CX4" s="88" t="s">
        <v>38</v>
      </c>
      <c r="CY4" s="88" t="s">
        <v>38</v>
      </c>
      <c r="CZ4" s="88" t="s">
        <v>38</v>
      </c>
      <c r="DA4" s="88" t="s">
        <v>98</v>
      </c>
      <c r="DB4" s="88" t="s">
        <v>99</v>
      </c>
      <c r="DC4" s="88" t="s">
        <v>100</v>
      </c>
      <c r="DD4" s="88" t="s">
        <v>101</v>
      </c>
      <c r="DE4" s="88" t="s">
        <v>102</v>
      </c>
      <c r="DF4" s="88" t="s">
        <v>103</v>
      </c>
      <c r="DG4" s="88" t="s">
        <v>104</v>
      </c>
      <c r="DH4" s="89" t="s">
        <v>105</v>
      </c>
      <c r="DI4" s="87" t="s">
        <v>106</v>
      </c>
      <c r="DJ4" s="88" t="s">
        <v>107</v>
      </c>
      <c r="DK4" s="88" t="s">
        <v>108</v>
      </c>
      <c r="DL4" s="88" t="s">
        <v>109</v>
      </c>
      <c r="DM4" s="88" t="s">
        <v>110</v>
      </c>
      <c r="DN4" s="88" t="s">
        <v>111</v>
      </c>
      <c r="DO4" s="88" t="s">
        <v>112</v>
      </c>
      <c r="DP4" s="88" t="s">
        <v>113</v>
      </c>
      <c r="DQ4" s="88" t="s">
        <v>114</v>
      </c>
      <c r="DR4" s="89" t="s">
        <v>115</v>
      </c>
      <c r="DS4" s="87" t="s">
        <v>116</v>
      </c>
      <c r="DT4" s="88" t="s">
        <v>117</v>
      </c>
      <c r="DU4" s="88" t="s">
        <v>118</v>
      </c>
      <c r="DV4" s="88" t="s">
        <v>119</v>
      </c>
      <c r="DW4" s="88" t="s">
        <v>120</v>
      </c>
      <c r="DX4" s="88" t="s">
        <v>121</v>
      </c>
      <c r="DY4" s="88" t="s">
        <v>122</v>
      </c>
      <c r="DZ4" s="88" t="s">
        <v>123</v>
      </c>
      <c r="EA4" s="88" t="s">
        <v>124</v>
      </c>
      <c r="EB4" s="88" t="s">
        <v>125</v>
      </c>
      <c r="EC4" s="88" t="s">
        <v>126</v>
      </c>
      <c r="ED4" s="88" t="s">
        <v>127</v>
      </c>
      <c r="EE4" s="88" t="s">
        <v>128</v>
      </c>
      <c r="EF4" s="88" t="s">
        <v>129</v>
      </c>
      <c r="EG4" s="88" t="s">
        <v>130</v>
      </c>
      <c r="EH4" s="88" t="s">
        <v>131</v>
      </c>
      <c r="EI4" s="88" t="s">
        <v>132</v>
      </c>
      <c r="EJ4" s="88" t="s">
        <v>133</v>
      </c>
      <c r="EK4" s="88" t="s">
        <v>134</v>
      </c>
      <c r="EL4" s="89" t="s">
        <v>135</v>
      </c>
    </row>
    <row r="5" spans="1:142" x14ac:dyDescent="0.2">
      <c r="A5" s="79">
        <v>0</v>
      </c>
      <c r="B5" s="27">
        <v>56109</v>
      </c>
      <c r="C5" s="79">
        <v>0</v>
      </c>
      <c r="D5" s="27">
        <v>0</v>
      </c>
      <c r="E5" s="27">
        <v>0</v>
      </c>
      <c r="F5" s="27">
        <v>0</v>
      </c>
      <c r="G5" s="79">
        <v>0</v>
      </c>
      <c r="H5" s="27">
        <v>0</v>
      </c>
      <c r="I5" s="27">
        <v>0</v>
      </c>
      <c r="J5" s="27">
        <v>0</v>
      </c>
      <c r="K5" s="27">
        <v>0</v>
      </c>
      <c r="L5" s="27">
        <v>2.1654900000000002E-5</v>
      </c>
      <c r="M5" s="27">
        <v>0</v>
      </c>
      <c r="N5" s="27">
        <v>0</v>
      </c>
      <c r="O5" s="80" t="s">
        <v>136</v>
      </c>
      <c r="P5" s="80">
        <v>0</v>
      </c>
      <c r="Q5" s="27">
        <v>0</v>
      </c>
      <c r="R5" s="27">
        <v>0</v>
      </c>
      <c r="S5" s="80" t="s">
        <v>136</v>
      </c>
      <c r="T5" s="80">
        <v>0</v>
      </c>
      <c r="U5" s="80" t="s">
        <v>136</v>
      </c>
      <c r="V5" s="80">
        <v>0</v>
      </c>
      <c r="W5" s="27">
        <v>0</v>
      </c>
      <c r="X5" s="27">
        <v>0</v>
      </c>
      <c r="Y5" s="27">
        <v>0</v>
      </c>
      <c r="Z5" s="27">
        <v>0</v>
      </c>
      <c r="AA5" s="80" t="s">
        <v>136</v>
      </c>
      <c r="AB5" s="80">
        <v>0</v>
      </c>
      <c r="AC5" s="27">
        <v>0</v>
      </c>
      <c r="AD5" s="27">
        <v>0</v>
      </c>
      <c r="AE5" s="80" t="s">
        <v>136</v>
      </c>
      <c r="AF5" s="80">
        <v>0</v>
      </c>
      <c r="AG5" s="80" t="s">
        <v>136</v>
      </c>
      <c r="AH5" s="80">
        <v>0</v>
      </c>
      <c r="AI5" s="27">
        <f t="shared" ref="AI5:AI36" si="0">AC5</f>
        <v>0</v>
      </c>
      <c r="AJ5" s="27">
        <f t="shared" ref="AJ5:AJ36" si="1">AD5</f>
        <v>0</v>
      </c>
      <c r="AK5" s="27">
        <v>0</v>
      </c>
      <c r="AL5" s="27">
        <v>0</v>
      </c>
      <c r="AM5" s="80" t="s">
        <v>136</v>
      </c>
      <c r="AN5" s="80">
        <v>0</v>
      </c>
      <c r="AO5" s="80" t="s">
        <v>136</v>
      </c>
      <c r="AP5" s="80">
        <v>0</v>
      </c>
      <c r="AQ5" s="80" t="s">
        <v>136</v>
      </c>
      <c r="AR5" s="80">
        <v>0</v>
      </c>
      <c r="AS5" s="27">
        <v>0</v>
      </c>
      <c r="AT5" s="27">
        <v>0</v>
      </c>
      <c r="AU5" s="27">
        <v>0</v>
      </c>
      <c r="AV5" s="27">
        <v>1.0350899999999999E-5</v>
      </c>
      <c r="AW5" s="27">
        <v>0</v>
      </c>
      <c r="AX5" s="27">
        <v>1.0350899999999999E-5</v>
      </c>
      <c r="AY5" s="27">
        <v>0</v>
      </c>
      <c r="AZ5" s="27">
        <v>0</v>
      </c>
      <c r="BA5" s="80">
        <v>0</v>
      </c>
      <c r="BB5" s="80">
        <v>0</v>
      </c>
      <c r="BC5" s="27">
        <v>0</v>
      </c>
      <c r="BD5" s="80">
        <v>0</v>
      </c>
      <c r="BE5" s="27">
        <v>0</v>
      </c>
      <c r="BF5" s="27">
        <v>1.67638E-5</v>
      </c>
      <c r="BG5" s="27">
        <v>0</v>
      </c>
      <c r="BH5" s="80">
        <v>0</v>
      </c>
      <c r="BI5" s="27">
        <v>0</v>
      </c>
      <c r="BJ5" s="27">
        <v>1.0851300000000001E-5</v>
      </c>
      <c r="BK5" s="27">
        <v>0</v>
      </c>
      <c r="BL5" s="27">
        <v>0</v>
      </c>
      <c r="BM5" s="27">
        <v>0</v>
      </c>
      <c r="BN5" s="27">
        <v>0</v>
      </c>
      <c r="BO5" s="27">
        <v>0</v>
      </c>
      <c r="BP5" s="27">
        <v>0</v>
      </c>
      <c r="BQ5" s="27">
        <v>0</v>
      </c>
      <c r="BR5" s="92">
        <v>0</v>
      </c>
      <c r="BS5" s="80" t="s">
        <v>136</v>
      </c>
      <c r="BT5" s="80">
        <v>0</v>
      </c>
      <c r="BU5" s="27">
        <v>0</v>
      </c>
      <c r="BV5" s="27">
        <v>0</v>
      </c>
      <c r="BW5" s="27">
        <v>0</v>
      </c>
      <c r="BX5" s="27">
        <v>0</v>
      </c>
      <c r="BY5" s="80" t="s">
        <v>136</v>
      </c>
      <c r="BZ5" s="80">
        <v>0</v>
      </c>
      <c r="CA5" s="80" t="s">
        <v>136</v>
      </c>
      <c r="CB5" s="80">
        <v>0</v>
      </c>
      <c r="CC5" s="27">
        <v>0</v>
      </c>
      <c r="CD5" s="27">
        <v>0</v>
      </c>
      <c r="CE5" s="27">
        <v>0</v>
      </c>
      <c r="CF5" s="27">
        <v>0</v>
      </c>
      <c r="CG5" s="80" t="s">
        <v>136</v>
      </c>
      <c r="CH5" s="80">
        <v>0</v>
      </c>
      <c r="CI5" s="80" t="s">
        <v>136</v>
      </c>
      <c r="CJ5" s="80">
        <v>0</v>
      </c>
      <c r="CK5" s="80" t="s">
        <v>136</v>
      </c>
      <c r="CL5" s="80">
        <v>0</v>
      </c>
      <c r="CM5" s="80" t="s">
        <v>136</v>
      </c>
      <c r="CN5" s="80">
        <v>0</v>
      </c>
      <c r="CO5" s="27">
        <v>0</v>
      </c>
      <c r="CP5" s="27">
        <v>0</v>
      </c>
      <c r="CQ5" s="27">
        <v>0</v>
      </c>
      <c r="CR5" s="27">
        <v>0</v>
      </c>
      <c r="CS5" s="27">
        <v>0</v>
      </c>
      <c r="CT5" s="27">
        <v>0</v>
      </c>
      <c r="CU5" s="27">
        <v>0</v>
      </c>
      <c r="CV5" s="27">
        <v>0</v>
      </c>
      <c r="CW5" s="93" t="s">
        <v>136</v>
      </c>
      <c r="CX5" s="80">
        <v>0</v>
      </c>
      <c r="CY5" s="80" t="s">
        <v>136</v>
      </c>
      <c r="CZ5" s="94">
        <v>0</v>
      </c>
      <c r="DA5" s="27">
        <v>0</v>
      </c>
      <c r="DB5" s="27">
        <v>0</v>
      </c>
      <c r="DC5" s="27">
        <v>0</v>
      </c>
      <c r="DD5" s="27">
        <v>0</v>
      </c>
      <c r="DE5" s="27">
        <v>0</v>
      </c>
      <c r="DF5" s="27">
        <v>0</v>
      </c>
      <c r="DG5" s="27">
        <v>0</v>
      </c>
      <c r="DH5" s="27">
        <v>1.67638E-5</v>
      </c>
      <c r="DI5" s="95">
        <v>0</v>
      </c>
      <c r="DJ5" s="96">
        <v>0</v>
      </c>
      <c r="DK5" s="96">
        <v>0</v>
      </c>
      <c r="DL5" s="96">
        <v>0</v>
      </c>
      <c r="DM5" s="96">
        <v>0</v>
      </c>
      <c r="DN5" s="96">
        <v>0</v>
      </c>
      <c r="DO5" s="96">
        <v>0</v>
      </c>
      <c r="DP5" s="96">
        <v>0</v>
      </c>
      <c r="DQ5" s="96">
        <v>0</v>
      </c>
      <c r="DR5" s="97">
        <v>0</v>
      </c>
      <c r="DS5" s="93">
        <v>0</v>
      </c>
      <c r="DT5" s="80">
        <v>0</v>
      </c>
      <c r="DU5" s="80">
        <v>0</v>
      </c>
      <c r="DV5" s="80">
        <v>0</v>
      </c>
      <c r="DW5" s="80">
        <v>0</v>
      </c>
      <c r="DX5" s="80">
        <v>0</v>
      </c>
      <c r="DY5" s="80">
        <v>0</v>
      </c>
      <c r="DZ5" s="80">
        <v>0</v>
      </c>
      <c r="EA5" s="80">
        <v>0</v>
      </c>
      <c r="EB5" s="80">
        <v>0</v>
      </c>
      <c r="EC5" s="80">
        <v>0</v>
      </c>
      <c r="ED5" s="80">
        <v>0</v>
      </c>
      <c r="EE5" s="80">
        <v>0</v>
      </c>
      <c r="EF5" s="80">
        <v>0</v>
      </c>
      <c r="EG5" s="80">
        <v>0</v>
      </c>
      <c r="EH5" s="80">
        <v>0</v>
      </c>
      <c r="EI5" s="80">
        <v>0</v>
      </c>
      <c r="EJ5" s="80">
        <v>0</v>
      </c>
      <c r="EK5" s="80">
        <v>0</v>
      </c>
      <c r="EL5" s="94">
        <v>0</v>
      </c>
    </row>
    <row r="6" spans="1:142" x14ac:dyDescent="0.2">
      <c r="A6" s="79">
        <v>100</v>
      </c>
      <c r="B6" s="27">
        <v>13488</v>
      </c>
      <c r="C6" s="79">
        <v>83.313565982</v>
      </c>
      <c r="D6" s="27">
        <v>48.124674517000003</v>
      </c>
      <c r="E6" s="27">
        <v>3.5458092000000001E-3</v>
      </c>
      <c r="F6" s="27">
        <v>6.7175599999999994E-5</v>
      </c>
      <c r="G6" s="79">
        <v>0</v>
      </c>
      <c r="H6" s="27">
        <v>0</v>
      </c>
      <c r="I6" s="27">
        <v>1.0639680063000001</v>
      </c>
      <c r="J6" s="27">
        <v>1.29155725E-2</v>
      </c>
      <c r="K6" s="27">
        <v>0.3771248834</v>
      </c>
      <c r="L6" s="27">
        <v>4.7820464999999996E-3</v>
      </c>
      <c r="M6" s="27">
        <v>5.6424481200000001E-2</v>
      </c>
      <c r="N6" s="27">
        <v>8.5745999999999999E-4</v>
      </c>
      <c r="O6" s="80" t="s">
        <v>136</v>
      </c>
      <c r="P6" s="80">
        <v>0</v>
      </c>
      <c r="Q6" s="27">
        <v>2.1313476999999998E-3</v>
      </c>
      <c r="R6" s="27">
        <v>1.2903550000000001E-4</v>
      </c>
      <c r="S6" s="80" t="s">
        <v>136</v>
      </c>
      <c r="T6" s="80">
        <v>0</v>
      </c>
      <c r="U6" s="80" t="s">
        <v>136</v>
      </c>
      <c r="V6" s="80">
        <v>0</v>
      </c>
      <c r="W6" s="27">
        <v>0</v>
      </c>
      <c r="X6" s="27">
        <v>0</v>
      </c>
      <c r="Y6" s="27">
        <v>7.4351789700000004E-2</v>
      </c>
      <c r="Z6" s="27">
        <v>2.3740743E-3</v>
      </c>
      <c r="AA6" s="80" t="s">
        <v>136</v>
      </c>
      <c r="AB6" s="80">
        <v>0</v>
      </c>
      <c r="AC6" s="27">
        <v>0</v>
      </c>
      <c r="AD6" s="27">
        <v>0</v>
      </c>
      <c r="AE6" s="80" t="s">
        <v>136</v>
      </c>
      <c r="AF6" s="80">
        <v>0</v>
      </c>
      <c r="AG6" s="80" t="s">
        <v>136</v>
      </c>
      <c r="AH6" s="80">
        <v>0</v>
      </c>
      <c r="AI6" s="27">
        <f t="shared" si="0"/>
        <v>0</v>
      </c>
      <c r="AJ6" s="27">
        <f t="shared" si="1"/>
        <v>0</v>
      </c>
      <c r="AK6" s="27">
        <v>1.4611223389000001</v>
      </c>
      <c r="AL6" s="27">
        <v>3.4280547199999997E-2</v>
      </c>
      <c r="AM6" s="80" t="s">
        <v>136</v>
      </c>
      <c r="AN6" s="80">
        <v>0</v>
      </c>
      <c r="AO6" s="80" t="s">
        <v>136</v>
      </c>
      <c r="AP6" s="80">
        <v>0</v>
      </c>
      <c r="AQ6" s="80" t="s">
        <v>136</v>
      </c>
      <c r="AR6" s="80">
        <v>0</v>
      </c>
      <c r="AS6" s="27">
        <v>0.36976111420000002</v>
      </c>
      <c r="AT6" s="27">
        <v>2.6716408800000001E-2</v>
      </c>
      <c r="AU6" s="27">
        <v>0.10410935139999999</v>
      </c>
      <c r="AV6" s="27">
        <v>2.7282751000000001E-3</v>
      </c>
      <c r="AW6" s="27">
        <v>8.7119325100000006E-2</v>
      </c>
      <c r="AX6" s="27">
        <v>2.4054304999999998E-3</v>
      </c>
      <c r="AY6" s="27">
        <v>9.6408110000000009E-3</v>
      </c>
      <c r="AZ6" s="27">
        <v>1.9346850000000001E-4</v>
      </c>
      <c r="BA6" s="80">
        <f t="shared" ref="BA6:BA37" si="2">AU6-(AW6+AY6)</f>
        <v>7.3492152999999893E-3</v>
      </c>
      <c r="BB6" s="80">
        <f t="shared" ref="BB6:BB37" si="3">AV6-(AX6+AZ6)</f>
        <v>1.2937610000000009E-4</v>
      </c>
      <c r="BC6" s="27">
        <v>0</v>
      </c>
      <c r="BD6" s="80">
        <v>0</v>
      </c>
      <c r="BE6" s="27">
        <v>2.1167975436000002</v>
      </c>
      <c r="BF6" s="27">
        <v>7.0925984400000003E-2</v>
      </c>
      <c r="BG6" s="79">
        <v>0</v>
      </c>
      <c r="BH6" s="80">
        <v>0</v>
      </c>
      <c r="BI6" s="27">
        <v>3.8523435148999998</v>
      </c>
      <c r="BJ6" s="27">
        <v>0.26562711309999998</v>
      </c>
      <c r="BK6" s="27">
        <v>0.1662332785</v>
      </c>
      <c r="BL6" s="27">
        <v>4.2546546000000003E-3</v>
      </c>
      <c r="BM6" s="27">
        <v>0.2272194474</v>
      </c>
      <c r="BN6" s="27">
        <v>5.8170289999999996E-3</v>
      </c>
      <c r="BO6" s="27">
        <v>0</v>
      </c>
      <c r="BP6" s="27">
        <v>0</v>
      </c>
      <c r="BQ6" s="27">
        <v>0</v>
      </c>
      <c r="BR6" s="92">
        <v>0</v>
      </c>
      <c r="BS6" s="80" t="s">
        <v>136</v>
      </c>
      <c r="BT6" s="80">
        <v>0</v>
      </c>
      <c r="BU6" s="27">
        <v>0</v>
      </c>
      <c r="BV6" s="27">
        <v>0</v>
      </c>
      <c r="BW6" s="27">
        <v>5.6424481200000001E-2</v>
      </c>
      <c r="BX6" s="27">
        <v>8.5745999999999999E-4</v>
      </c>
      <c r="BY6" s="80" t="s">
        <v>136</v>
      </c>
      <c r="BZ6" s="80">
        <v>0</v>
      </c>
      <c r="CA6" s="80" t="s">
        <v>136</v>
      </c>
      <c r="CB6" s="80">
        <v>0</v>
      </c>
      <c r="CC6" s="27">
        <v>2.4937780000000001E-4</v>
      </c>
      <c r="CD6" s="27">
        <v>8.8871716000000005E-6</v>
      </c>
      <c r="CE6" s="27">
        <v>1.8819698000000001E-3</v>
      </c>
      <c r="CF6" s="27">
        <v>1.201483E-4</v>
      </c>
      <c r="CG6" s="80" t="s">
        <v>136</v>
      </c>
      <c r="CH6" s="80">
        <v>0</v>
      </c>
      <c r="CI6" s="80" t="s">
        <v>136</v>
      </c>
      <c r="CJ6" s="80">
        <v>0</v>
      </c>
      <c r="CK6" s="80" t="s">
        <v>136</v>
      </c>
      <c r="CL6" s="80">
        <v>0</v>
      </c>
      <c r="CM6" s="80" t="s">
        <v>136</v>
      </c>
      <c r="CN6" s="80">
        <v>0</v>
      </c>
      <c r="CO6" s="27">
        <v>0</v>
      </c>
      <c r="CP6" s="27">
        <v>0</v>
      </c>
      <c r="CQ6" s="27">
        <v>0</v>
      </c>
      <c r="CR6" s="27">
        <v>0</v>
      </c>
      <c r="CS6" s="27">
        <v>0</v>
      </c>
      <c r="CT6" s="27">
        <v>0</v>
      </c>
      <c r="CU6" s="27">
        <v>7.4351789700000004E-2</v>
      </c>
      <c r="CV6" s="27">
        <v>2.3740743E-3</v>
      </c>
      <c r="CW6" s="80" t="s">
        <v>136</v>
      </c>
      <c r="CX6" s="80">
        <v>0</v>
      </c>
      <c r="CY6" s="80" t="s">
        <v>136</v>
      </c>
      <c r="CZ6" s="80">
        <v>0</v>
      </c>
      <c r="DA6" s="27">
        <v>3.3102471199999997E-2</v>
      </c>
      <c r="DB6" s="27">
        <v>1.4390824000000001E-3</v>
      </c>
      <c r="DC6" s="27">
        <v>0.33665864299999998</v>
      </c>
      <c r="DD6" s="27">
        <v>2.5277326400000001E-2</v>
      </c>
      <c r="DE6" s="27">
        <v>2.4828129399999999E-2</v>
      </c>
      <c r="DF6" s="27">
        <v>3.1881902000000001E-3</v>
      </c>
      <c r="DG6" s="27">
        <v>2.0919694141999998</v>
      </c>
      <c r="DH6" s="92">
        <v>6.7737794200000007E-2</v>
      </c>
      <c r="DI6" s="95">
        <v>0</v>
      </c>
      <c r="DJ6" s="96">
        <v>0</v>
      </c>
      <c r="DK6" s="96">
        <v>0</v>
      </c>
      <c r="DL6" s="96">
        <v>0</v>
      </c>
      <c r="DM6" s="96">
        <v>0</v>
      </c>
      <c r="DN6" s="96">
        <v>0</v>
      </c>
      <c r="DO6" s="96">
        <v>0</v>
      </c>
      <c r="DP6" s="96">
        <v>0</v>
      </c>
      <c r="DQ6" s="96">
        <v>0</v>
      </c>
      <c r="DR6" s="97">
        <v>0</v>
      </c>
      <c r="DS6" s="93">
        <v>1.0907509E-3</v>
      </c>
      <c r="DT6" s="80">
        <v>3.6959000000000003E-5</v>
      </c>
      <c r="DU6" s="80">
        <v>0</v>
      </c>
      <c r="DV6" s="80">
        <v>0</v>
      </c>
      <c r="DW6" s="80">
        <v>0</v>
      </c>
      <c r="DX6" s="80">
        <v>0</v>
      </c>
      <c r="DY6" s="80">
        <v>0</v>
      </c>
      <c r="DZ6" s="80">
        <v>0</v>
      </c>
      <c r="EA6" s="80">
        <v>0</v>
      </c>
      <c r="EB6" s="80">
        <v>0</v>
      </c>
      <c r="EC6" s="80">
        <v>0</v>
      </c>
      <c r="ED6" s="80">
        <v>0</v>
      </c>
      <c r="EE6" s="80">
        <v>0</v>
      </c>
      <c r="EF6" s="80">
        <v>0</v>
      </c>
      <c r="EG6" s="80">
        <v>0</v>
      </c>
      <c r="EH6" s="80">
        <v>0</v>
      </c>
      <c r="EI6" s="80">
        <v>0</v>
      </c>
      <c r="EJ6" s="80">
        <v>0</v>
      </c>
      <c r="EK6" s="80">
        <v>0</v>
      </c>
      <c r="EL6" s="94">
        <v>0</v>
      </c>
    </row>
    <row r="7" spans="1:142" x14ac:dyDescent="0.2">
      <c r="A7" s="79">
        <v>200</v>
      </c>
      <c r="B7" s="27">
        <v>17581</v>
      </c>
      <c r="C7" s="79">
        <v>162.87718792999999</v>
      </c>
      <c r="D7" s="27">
        <v>151.66748422000001</v>
      </c>
      <c r="E7" s="27">
        <v>6.9901231100000003E-2</v>
      </c>
      <c r="F7" s="27">
        <v>5.0974370000000002E-4</v>
      </c>
      <c r="G7" s="79">
        <v>0</v>
      </c>
      <c r="H7" s="27">
        <v>0</v>
      </c>
      <c r="I7" s="27">
        <v>10.452214025</v>
      </c>
      <c r="J7" s="27">
        <v>9.0245757199999999E-2</v>
      </c>
      <c r="K7" s="27">
        <v>2.9624197022000001</v>
      </c>
      <c r="L7" s="27">
        <v>2.56605175E-2</v>
      </c>
      <c r="M7" s="27">
        <v>0.41578025549999997</v>
      </c>
      <c r="N7" s="27">
        <v>4.2161326999999998E-3</v>
      </c>
      <c r="O7" s="80" t="s">
        <v>136</v>
      </c>
      <c r="P7" s="80">
        <v>0</v>
      </c>
      <c r="Q7" s="27">
        <v>1.9758648100000002E-2</v>
      </c>
      <c r="R7" s="27">
        <v>3.0179669999999998E-4</v>
      </c>
      <c r="S7" s="80" t="s">
        <v>136</v>
      </c>
      <c r="T7" s="80">
        <v>0</v>
      </c>
      <c r="U7" s="80" t="s">
        <v>136</v>
      </c>
      <c r="V7" s="80">
        <v>0</v>
      </c>
      <c r="W7" s="27">
        <v>1.039056E-3</v>
      </c>
      <c r="X7" s="27">
        <v>1.1750600000000001E-5</v>
      </c>
      <c r="Y7" s="27">
        <v>0.361788899</v>
      </c>
      <c r="Z7" s="27">
        <v>1.0376171700000001E-2</v>
      </c>
      <c r="AA7" s="80" t="s">
        <v>136</v>
      </c>
      <c r="AB7" s="80">
        <v>0</v>
      </c>
      <c r="AC7" s="27">
        <v>0</v>
      </c>
      <c r="AD7" s="27">
        <v>0</v>
      </c>
      <c r="AE7" s="80" t="s">
        <v>136</v>
      </c>
      <c r="AF7" s="80">
        <v>0</v>
      </c>
      <c r="AG7" s="80" t="s">
        <v>136</v>
      </c>
      <c r="AH7" s="80">
        <v>0</v>
      </c>
      <c r="AI7" s="27">
        <f t="shared" si="0"/>
        <v>0</v>
      </c>
      <c r="AJ7" s="27">
        <f t="shared" si="1"/>
        <v>0</v>
      </c>
      <c r="AK7" s="27">
        <v>5.1944788718000003</v>
      </c>
      <c r="AL7" s="27">
        <v>9.5336909400000003E-2</v>
      </c>
      <c r="AM7" s="80" t="s">
        <v>136</v>
      </c>
      <c r="AN7" s="80">
        <v>0</v>
      </c>
      <c r="AO7" s="80" t="s">
        <v>136</v>
      </c>
      <c r="AP7" s="80">
        <v>0</v>
      </c>
      <c r="AQ7" s="80" t="s">
        <v>136</v>
      </c>
      <c r="AR7" s="80">
        <v>0</v>
      </c>
      <c r="AS7" s="27">
        <v>1.6893019965</v>
      </c>
      <c r="AT7" s="27">
        <v>0.106394301</v>
      </c>
      <c r="AU7" s="27">
        <v>0.50279436550000001</v>
      </c>
      <c r="AV7" s="27">
        <v>1.0647709999999999E-2</v>
      </c>
      <c r="AW7" s="27">
        <v>0.35234596070000002</v>
      </c>
      <c r="AX7" s="27">
        <v>7.9348452999999999E-3</v>
      </c>
      <c r="AY7" s="27">
        <v>0.107442881</v>
      </c>
      <c r="AZ7" s="27">
        <v>2.1460118E-3</v>
      </c>
      <c r="BA7" s="80">
        <f t="shared" si="2"/>
        <v>4.3005523800000001E-2</v>
      </c>
      <c r="BB7" s="80">
        <f t="shared" si="3"/>
        <v>5.6685289999999951E-4</v>
      </c>
      <c r="BC7" s="27">
        <v>0</v>
      </c>
      <c r="BD7" s="80">
        <v>0</v>
      </c>
      <c r="BE7" s="27">
        <v>6.8489808653999997</v>
      </c>
      <c r="BF7" s="27">
        <v>0.1358484311</v>
      </c>
      <c r="BG7" s="79">
        <v>0</v>
      </c>
      <c r="BH7" s="80">
        <v>0</v>
      </c>
      <c r="BI7" s="27">
        <v>7.9352506845999997</v>
      </c>
      <c r="BJ7" s="27">
        <v>0.47914343659999997</v>
      </c>
      <c r="BK7" s="27">
        <v>1.0862303636999999</v>
      </c>
      <c r="BL7" s="27">
        <v>1.4178155099999999E-2</v>
      </c>
      <c r="BM7" s="27">
        <v>0.59081612159999997</v>
      </c>
      <c r="BN7" s="27">
        <v>1.10670708E-2</v>
      </c>
      <c r="BO7" s="27">
        <v>0</v>
      </c>
      <c r="BP7" s="27">
        <v>0</v>
      </c>
      <c r="BQ7" s="27">
        <v>0</v>
      </c>
      <c r="BR7" s="92">
        <v>0</v>
      </c>
      <c r="BS7" s="80" t="s">
        <v>136</v>
      </c>
      <c r="BT7" s="80">
        <v>0</v>
      </c>
      <c r="BU7" s="27">
        <v>2.6284999000000002E-3</v>
      </c>
      <c r="BV7" s="27">
        <v>3.8863599999999998E-5</v>
      </c>
      <c r="BW7" s="27">
        <v>0.4131517556</v>
      </c>
      <c r="BX7" s="27">
        <v>4.1772691000000004E-3</v>
      </c>
      <c r="BY7" s="80" t="s">
        <v>136</v>
      </c>
      <c r="BZ7" s="80">
        <v>0</v>
      </c>
      <c r="CA7" s="80" t="s">
        <v>136</v>
      </c>
      <c r="CB7" s="80">
        <v>0</v>
      </c>
      <c r="CC7" s="27">
        <v>2.072923E-4</v>
      </c>
      <c r="CD7" s="27">
        <v>7.3873542999999996E-6</v>
      </c>
      <c r="CE7" s="27">
        <v>1.95513558E-2</v>
      </c>
      <c r="CF7" s="27">
        <v>2.9440929999999997E-4</v>
      </c>
      <c r="CG7" s="80" t="s">
        <v>136</v>
      </c>
      <c r="CH7" s="80">
        <v>0</v>
      </c>
      <c r="CI7" s="80" t="s">
        <v>136</v>
      </c>
      <c r="CJ7" s="80">
        <v>0</v>
      </c>
      <c r="CK7" s="80" t="s">
        <v>136</v>
      </c>
      <c r="CL7" s="80">
        <v>0</v>
      </c>
      <c r="CM7" s="80" t="s">
        <v>136</v>
      </c>
      <c r="CN7" s="80">
        <v>0</v>
      </c>
      <c r="CO7" s="27">
        <v>1.039056E-3</v>
      </c>
      <c r="CP7" s="27">
        <v>1.1750600000000001E-5</v>
      </c>
      <c r="CQ7" s="27">
        <v>0</v>
      </c>
      <c r="CR7" s="27">
        <v>0</v>
      </c>
      <c r="CS7" s="27">
        <v>2.1203967999999999E-3</v>
      </c>
      <c r="CT7" s="27">
        <v>3.7870899999999997E-5</v>
      </c>
      <c r="CU7" s="27">
        <v>0.35966850210000001</v>
      </c>
      <c r="CV7" s="27">
        <v>1.03383008E-2</v>
      </c>
      <c r="CW7" s="80" t="s">
        <v>136</v>
      </c>
      <c r="CX7" s="80">
        <v>0</v>
      </c>
      <c r="CY7" s="80" t="s">
        <v>136</v>
      </c>
      <c r="CZ7" s="80">
        <v>0</v>
      </c>
      <c r="DA7" s="27">
        <v>0.15567957469999999</v>
      </c>
      <c r="DB7" s="27">
        <v>4.1291165999999997E-3</v>
      </c>
      <c r="DC7" s="27">
        <v>1.5336224218000001</v>
      </c>
      <c r="DD7" s="27">
        <v>0.1022651844</v>
      </c>
      <c r="DE7" s="27">
        <v>0.1145825489</v>
      </c>
      <c r="DF7" s="27">
        <v>9.1491577000000004E-3</v>
      </c>
      <c r="DG7" s="27">
        <v>6.7343983165000001</v>
      </c>
      <c r="DH7" s="92">
        <v>0.12669927340000001</v>
      </c>
      <c r="DI7" s="95">
        <v>0</v>
      </c>
      <c r="DJ7" s="96">
        <v>0</v>
      </c>
      <c r="DK7" s="96">
        <v>0</v>
      </c>
      <c r="DL7" s="96">
        <v>0</v>
      </c>
      <c r="DM7" s="96">
        <v>0</v>
      </c>
      <c r="DN7" s="96">
        <v>0</v>
      </c>
      <c r="DO7" s="96">
        <v>0</v>
      </c>
      <c r="DP7" s="96">
        <v>0</v>
      </c>
      <c r="DQ7" s="96">
        <v>0</v>
      </c>
      <c r="DR7" s="97">
        <v>0</v>
      </c>
      <c r="DS7" s="93">
        <v>0.1818724005</v>
      </c>
      <c r="DT7" s="80">
        <v>2.3150421999999999E-3</v>
      </c>
      <c r="DU7" s="80">
        <v>1.3813922E-3</v>
      </c>
      <c r="DV7" s="80">
        <v>3.9994999999999999E-5</v>
      </c>
      <c r="DW7" s="80">
        <v>5.4089220000000003E-4</v>
      </c>
      <c r="DX7" s="80">
        <v>1.9276E-5</v>
      </c>
      <c r="DY7" s="80">
        <v>1.6679990000000001E-4</v>
      </c>
      <c r="DZ7" s="80">
        <v>5.9443112E-6</v>
      </c>
      <c r="EA7" s="80">
        <v>0</v>
      </c>
      <c r="EB7" s="80">
        <v>0</v>
      </c>
      <c r="EC7" s="80">
        <v>0</v>
      </c>
      <c r="ED7" s="80">
        <v>0</v>
      </c>
      <c r="EE7" s="80">
        <v>0</v>
      </c>
      <c r="EF7" s="80">
        <v>0</v>
      </c>
      <c r="EG7" s="80">
        <v>0</v>
      </c>
      <c r="EH7" s="80">
        <v>0</v>
      </c>
      <c r="EI7" s="80">
        <v>0</v>
      </c>
      <c r="EJ7" s="80">
        <v>0</v>
      </c>
      <c r="EK7" s="80">
        <v>0</v>
      </c>
      <c r="EL7" s="94">
        <v>0</v>
      </c>
    </row>
    <row r="8" spans="1:142" x14ac:dyDescent="0.2">
      <c r="A8" s="79">
        <v>300</v>
      </c>
      <c r="B8" s="27">
        <v>16515</v>
      </c>
      <c r="C8" s="79">
        <v>238.28825307</v>
      </c>
      <c r="D8" s="27">
        <v>248.57160586000001</v>
      </c>
      <c r="E8" s="27">
        <v>0.36083910699999999</v>
      </c>
      <c r="F8" s="27">
        <v>1.7649377999999999E-3</v>
      </c>
      <c r="G8" s="79">
        <v>3.5736218000000002E-3</v>
      </c>
      <c r="H8" s="27">
        <v>1.5343900000000001E-5</v>
      </c>
      <c r="I8" s="27">
        <v>21.066704497</v>
      </c>
      <c r="J8" s="27">
        <v>0.16303085440000001</v>
      </c>
      <c r="K8" s="27">
        <v>6.2915687848999999</v>
      </c>
      <c r="L8" s="27">
        <v>4.7381426300000001E-2</v>
      </c>
      <c r="M8" s="27">
        <v>0.86975058490000001</v>
      </c>
      <c r="N8" s="27">
        <v>8.5228317000000005E-3</v>
      </c>
      <c r="O8" s="80" t="s">
        <v>136</v>
      </c>
      <c r="P8" s="80">
        <v>0</v>
      </c>
      <c r="Q8" s="27">
        <v>3.6654578700000003E-2</v>
      </c>
      <c r="R8" s="27">
        <v>3.9201280000000002E-4</v>
      </c>
      <c r="S8" s="80" t="s">
        <v>136</v>
      </c>
      <c r="T8" s="80">
        <v>0</v>
      </c>
      <c r="U8" s="80" t="s">
        <v>136</v>
      </c>
      <c r="V8" s="80">
        <v>0</v>
      </c>
      <c r="W8" s="27">
        <v>2.7625356000000002E-3</v>
      </c>
      <c r="X8" s="27">
        <v>3.3989399999999997E-5</v>
      </c>
      <c r="Y8" s="27">
        <v>0.64258890759999998</v>
      </c>
      <c r="Z8" s="27">
        <v>1.7937157400000001E-2</v>
      </c>
      <c r="AA8" s="80" t="s">
        <v>136</v>
      </c>
      <c r="AB8" s="80">
        <v>0</v>
      </c>
      <c r="AC8" s="27">
        <v>0</v>
      </c>
      <c r="AD8" s="27">
        <v>0</v>
      </c>
      <c r="AE8" s="80" t="s">
        <v>136</v>
      </c>
      <c r="AF8" s="80">
        <v>0</v>
      </c>
      <c r="AG8" s="80" t="s">
        <v>136</v>
      </c>
      <c r="AH8" s="80">
        <v>0</v>
      </c>
      <c r="AI8" s="27">
        <f t="shared" si="0"/>
        <v>0</v>
      </c>
      <c r="AJ8" s="27">
        <f t="shared" si="1"/>
        <v>0</v>
      </c>
      <c r="AK8" s="27">
        <v>9.5092492317000001</v>
      </c>
      <c r="AL8" s="27">
        <v>0.17794357099999999</v>
      </c>
      <c r="AM8" s="80" t="s">
        <v>136</v>
      </c>
      <c r="AN8" s="80">
        <v>0</v>
      </c>
      <c r="AO8" s="80" t="s">
        <v>136</v>
      </c>
      <c r="AP8" s="80">
        <v>0</v>
      </c>
      <c r="AQ8" s="80" t="s">
        <v>136</v>
      </c>
      <c r="AR8" s="80">
        <v>0</v>
      </c>
      <c r="AS8" s="27">
        <v>3.5952158906</v>
      </c>
      <c r="AT8" s="27">
        <v>0.22164738619999999</v>
      </c>
      <c r="AU8" s="27">
        <v>1.2122498821000001</v>
      </c>
      <c r="AV8" s="27">
        <v>2.2688575499999999E-2</v>
      </c>
      <c r="AW8" s="27">
        <v>0.78106075350000004</v>
      </c>
      <c r="AX8" s="27">
        <v>1.61150384E-2</v>
      </c>
      <c r="AY8" s="27">
        <v>0.28100458049999999</v>
      </c>
      <c r="AZ8" s="27">
        <v>5.1668100999999996E-3</v>
      </c>
      <c r="BA8" s="80">
        <f t="shared" si="2"/>
        <v>0.15018454809999993</v>
      </c>
      <c r="BB8" s="80">
        <f t="shared" si="3"/>
        <v>1.406727E-3</v>
      </c>
      <c r="BC8" s="27">
        <v>0</v>
      </c>
      <c r="BD8" s="80">
        <v>0</v>
      </c>
      <c r="BE8" s="27">
        <v>12.529625036000001</v>
      </c>
      <c r="BF8" s="27">
        <v>0.2112214761</v>
      </c>
      <c r="BG8" s="79">
        <v>6.1375699999999996E-5</v>
      </c>
      <c r="BH8" s="80">
        <v>0</v>
      </c>
      <c r="BI8" s="27">
        <v>12.397136676000001</v>
      </c>
      <c r="BJ8" s="27">
        <v>0.69458211589999996</v>
      </c>
      <c r="BK8" s="27">
        <v>2.4677532486999998</v>
      </c>
      <c r="BL8" s="27">
        <v>2.6268547400000002E-2</v>
      </c>
      <c r="BM8" s="27">
        <v>1.1444448193000001</v>
      </c>
      <c r="BN8" s="27">
        <v>1.6113091699999998E-2</v>
      </c>
      <c r="BO8" s="27">
        <v>0</v>
      </c>
      <c r="BP8" s="27">
        <v>0</v>
      </c>
      <c r="BQ8" s="27">
        <v>0</v>
      </c>
      <c r="BR8" s="92">
        <v>0</v>
      </c>
      <c r="BS8" s="80" t="s">
        <v>136</v>
      </c>
      <c r="BT8" s="80">
        <v>0</v>
      </c>
      <c r="BU8" s="27">
        <v>7.2518671E-3</v>
      </c>
      <c r="BV8" s="27">
        <v>1.187923E-4</v>
      </c>
      <c r="BW8" s="27">
        <v>0.86249871779999998</v>
      </c>
      <c r="BX8" s="27">
        <v>8.4040394000000004E-3</v>
      </c>
      <c r="BY8" s="80" t="s">
        <v>136</v>
      </c>
      <c r="BZ8" s="80">
        <v>0</v>
      </c>
      <c r="CA8" s="80" t="s">
        <v>136</v>
      </c>
      <c r="CB8" s="80">
        <v>0</v>
      </c>
      <c r="CC8" s="27">
        <v>1.8102050000000001E-4</v>
      </c>
      <c r="CD8" s="27">
        <v>6.4510958999999999E-6</v>
      </c>
      <c r="CE8" s="27">
        <v>3.6473558199999999E-2</v>
      </c>
      <c r="CF8" s="27">
        <v>3.855617E-4</v>
      </c>
      <c r="CG8" s="80" t="s">
        <v>136</v>
      </c>
      <c r="CH8" s="80">
        <v>0</v>
      </c>
      <c r="CI8" s="80" t="s">
        <v>136</v>
      </c>
      <c r="CJ8" s="80">
        <v>0</v>
      </c>
      <c r="CK8" s="80" t="s">
        <v>136</v>
      </c>
      <c r="CL8" s="80">
        <v>0</v>
      </c>
      <c r="CM8" s="80" t="s">
        <v>136</v>
      </c>
      <c r="CN8" s="80">
        <v>0</v>
      </c>
      <c r="CO8" s="27">
        <v>8.23341E-4</v>
      </c>
      <c r="CP8" s="27">
        <v>9.3111338999999994E-6</v>
      </c>
      <c r="CQ8" s="27">
        <v>1.9391946E-3</v>
      </c>
      <c r="CR8" s="27">
        <v>2.46782E-5</v>
      </c>
      <c r="CS8" s="27">
        <v>3.8078741000000002E-3</v>
      </c>
      <c r="CT8" s="27">
        <v>5.4833899999999997E-5</v>
      </c>
      <c r="CU8" s="27">
        <v>0.63878103350000004</v>
      </c>
      <c r="CV8" s="27">
        <v>1.7882323499999998E-2</v>
      </c>
      <c r="CW8" s="80" t="s">
        <v>136</v>
      </c>
      <c r="CX8" s="80">
        <v>0</v>
      </c>
      <c r="CY8" s="80" t="s">
        <v>136</v>
      </c>
      <c r="CZ8" s="80">
        <v>0</v>
      </c>
      <c r="DA8" s="27">
        <v>0.32163534170000002</v>
      </c>
      <c r="DB8" s="27">
        <v>7.5469988000000003E-3</v>
      </c>
      <c r="DC8" s="27">
        <v>3.2735805489000001</v>
      </c>
      <c r="DD8" s="27">
        <v>0.21410038740000001</v>
      </c>
      <c r="DE8" s="27">
        <v>0.30501062080000002</v>
      </c>
      <c r="DF8" s="27">
        <v>1.9587910900000002E-2</v>
      </c>
      <c r="DG8" s="27">
        <v>12.224614416</v>
      </c>
      <c r="DH8" s="92">
        <v>0.19163356519999999</v>
      </c>
      <c r="DI8" s="95">
        <v>1.5343900000000001E-5</v>
      </c>
      <c r="DJ8" s="96">
        <v>3.0687800000000001E-5</v>
      </c>
      <c r="DK8" s="96">
        <v>4.6031700000000002E-5</v>
      </c>
      <c r="DL8" s="96">
        <v>6.1375699999999996E-5</v>
      </c>
      <c r="DM8" s="96">
        <v>6.1375699999999996E-5</v>
      </c>
      <c r="DN8" s="96">
        <v>6.1375699999999996E-5</v>
      </c>
      <c r="DO8" s="96">
        <v>6.1375699999999996E-5</v>
      </c>
      <c r="DP8" s="96">
        <v>6.1375699999999996E-5</v>
      </c>
      <c r="DQ8" s="96">
        <v>6.1375699999999996E-5</v>
      </c>
      <c r="DR8" s="97">
        <v>6.1375699999999996E-5</v>
      </c>
      <c r="DS8" s="93">
        <v>1.5504129686999999</v>
      </c>
      <c r="DT8" s="80">
        <v>1.54549657E-2</v>
      </c>
      <c r="DU8" s="80">
        <v>4.8139551699999998E-2</v>
      </c>
      <c r="DV8" s="80">
        <v>6.5179180000000004E-4</v>
      </c>
      <c r="DW8" s="80">
        <v>4.4784569999999999E-3</v>
      </c>
      <c r="DX8" s="80">
        <v>8.5777800000000004E-5</v>
      </c>
      <c r="DY8" s="80">
        <v>1.3096249999999999E-4</v>
      </c>
      <c r="DZ8" s="80">
        <v>4.6671579000000001E-6</v>
      </c>
      <c r="EA8" s="80">
        <v>0</v>
      </c>
      <c r="EB8" s="80">
        <v>0</v>
      </c>
      <c r="EC8" s="80">
        <v>0</v>
      </c>
      <c r="ED8" s="80">
        <v>0</v>
      </c>
      <c r="EE8" s="80">
        <v>0</v>
      </c>
      <c r="EF8" s="80">
        <v>0</v>
      </c>
      <c r="EG8" s="80">
        <v>0</v>
      </c>
      <c r="EH8" s="80">
        <v>0</v>
      </c>
      <c r="EI8" s="80">
        <v>0</v>
      </c>
      <c r="EJ8" s="80">
        <v>0</v>
      </c>
      <c r="EK8" s="80">
        <v>0</v>
      </c>
      <c r="EL8" s="94">
        <v>0</v>
      </c>
    </row>
    <row r="9" spans="1:142" x14ac:dyDescent="0.2">
      <c r="A9" s="79">
        <v>400</v>
      </c>
      <c r="B9" s="27">
        <v>14465</v>
      </c>
      <c r="C9" s="79">
        <v>309.91776056999998</v>
      </c>
      <c r="D9" s="27">
        <v>348.91788566000002</v>
      </c>
      <c r="E9" s="27">
        <v>0.74837662969999996</v>
      </c>
      <c r="F9" s="27">
        <v>3.0140228000000002E-3</v>
      </c>
      <c r="G9" s="79">
        <v>3.6859903999999998E-3</v>
      </c>
      <c r="H9" s="27">
        <v>3.2951399999999998E-5</v>
      </c>
      <c r="I9" s="27">
        <v>31.340007653000001</v>
      </c>
      <c r="J9" s="27">
        <v>0.23152292460000001</v>
      </c>
      <c r="K9" s="27">
        <v>9.4738691857999999</v>
      </c>
      <c r="L9" s="27">
        <v>6.7183995900000001E-2</v>
      </c>
      <c r="M9" s="27">
        <v>1.3834342538</v>
      </c>
      <c r="N9" s="27">
        <v>1.35624174E-2</v>
      </c>
      <c r="O9" s="80" t="s">
        <v>136</v>
      </c>
      <c r="P9" s="80">
        <v>0</v>
      </c>
      <c r="Q9" s="27">
        <v>6.4928154200000004E-2</v>
      </c>
      <c r="R9" s="27">
        <v>5.7947580000000003E-4</v>
      </c>
      <c r="S9" s="80" t="s">
        <v>136</v>
      </c>
      <c r="T9" s="80">
        <v>0</v>
      </c>
      <c r="U9" s="80" t="s">
        <v>136</v>
      </c>
      <c r="V9" s="80">
        <v>0</v>
      </c>
      <c r="W9" s="27">
        <v>5.6311883999999998E-3</v>
      </c>
      <c r="X9" s="27">
        <v>6.33801E-5</v>
      </c>
      <c r="Y9" s="27">
        <v>1.0146110484999999</v>
      </c>
      <c r="Z9" s="27">
        <v>2.80754649E-2</v>
      </c>
      <c r="AA9" s="80" t="s">
        <v>136</v>
      </c>
      <c r="AB9" s="80">
        <v>0</v>
      </c>
      <c r="AC9" s="27">
        <v>0</v>
      </c>
      <c r="AD9" s="27">
        <v>0</v>
      </c>
      <c r="AE9" s="80" t="s">
        <v>136</v>
      </c>
      <c r="AF9" s="80">
        <v>0</v>
      </c>
      <c r="AG9" s="80" t="s">
        <v>136</v>
      </c>
      <c r="AH9" s="80">
        <v>0</v>
      </c>
      <c r="AI9" s="27">
        <f t="shared" si="0"/>
        <v>0</v>
      </c>
      <c r="AJ9" s="27">
        <f t="shared" si="1"/>
        <v>0</v>
      </c>
      <c r="AK9" s="27">
        <v>14.123717477</v>
      </c>
      <c r="AL9" s="27">
        <v>0.26724646740000002</v>
      </c>
      <c r="AM9" s="80" t="s">
        <v>136</v>
      </c>
      <c r="AN9" s="80">
        <v>0</v>
      </c>
      <c r="AO9" s="80" t="s">
        <v>136</v>
      </c>
      <c r="AP9" s="80">
        <v>0</v>
      </c>
      <c r="AQ9" s="80" t="s">
        <v>136</v>
      </c>
      <c r="AR9" s="80">
        <v>0</v>
      </c>
      <c r="AS9" s="27">
        <v>6.1742933858000004</v>
      </c>
      <c r="AT9" s="27">
        <v>0.360578707</v>
      </c>
      <c r="AU9" s="27">
        <v>2.1444062586000001</v>
      </c>
      <c r="AV9" s="27">
        <v>3.6304007800000003E-2</v>
      </c>
      <c r="AW9" s="27">
        <v>1.281668389</v>
      </c>
      <c r="AX9" s="27">
        <v>2.4920255499999999E-2</v>
      </c>
      <c r="AY9" s="27">
        <v>0.52249357590000001</v>
      </c>
      <c r="AZ9" s="27">
        <v>8.6683214999999994E-3</v>
      </c>
      <c r="BA9" s="80">
        <f t="shared" si="2"/>
        <v>0.34024429370000009</v>
      </c>
      <c r="BB9" s="80">
        <f t="shared" si="3"/>
        <v>2.7154308000000085E-3</v>
      </c>
      <c r="BC9" s="27">
        <v>0</v>
      </c>
      <c r="BD9" s="80">
        <v>0</v>
      </c>
      <c r="BE9" s="27">
        <v>17.910535369000002</v>
      </c>
      <c r="BF9" s="27">
        <v>0.28466695199999997</v>
      </c>
      <c r="BG9" s="79">
        <v>1.002651E-4</v>
      </c>
      <c r="BH9" s="80">
        <v>0</v>
      </c>
      <c r="BI9" s="27">
        <v>16.872703743999999</v>
      </c>
      <c r="BJ9" s="27">
        <v>0.89562657229999998</v>
      </c>
      <c r="BK9" s="27">
        <v>4.1262880046000001</v>
      </c>
      <c r="BL9" s="27">
        <v>4.0964963399999998E-2</v>
      </c>
      <c r="BM9" s="27">
        <v>1.6928528282999999</v>
      </c>
      <c r="BN9" s="27">
        <v>2.1298731599999999E-2</v>
      </c>
      <c r="BO9" s="27">
        <v>0</v>
      </c>
      <c r="BP9" s="27">
        <v>0</v>
      </c>
      <c r="BQ9" s="27">
        <v>0</v>
      </c>
      <c r="BR9" s="92">
        <v>0</v>
      </c>
      <c r="BS9" s="80" t="s">
        <v>136</v>
      </c>
      <c r="BT9" s="80">
        <v>0</v>
      </c>
      <c r="BU9" s="27">
        <v>7.0030276000000004E-3</v>
      </c>
      <c r="BV9" s="27">
        <v>1.151816E-4</v>
      </c>
      <c r="BW9" s="27">
        <v>1.3764312262</v>
      </c>
      <c r="BX9" s="27">
        <v>1.34472359E-2</v>
      </c>
      <c r="BY9" s="80" t="s">
        <v>136</v>
      </c>
      <c r="BZ9" s="80">
        <v>0</v>
      </c>
      <c r="CA9" s="80" t="s">
        <v>136</v>
      </c>
      <c r="CB9" s="80">
        <v>0</v>
      </c>
      <c r="CC9" s="27">
        <v>1.6350809999999999E-4</v>
      </c>
      <c r="CD9" s="27">
        <v>5.8269995999999997E-6</v>
      </c>
      <c r="CE9" s="27">
        <v>6.4764645999999995E-2</v>
      </c>
      <c r="CF9" s="27">
        <v>5.7364880000000001E-4</v>
      </c>
      <c r="CG9" s="80" t="s">
        <v>136</v>
      </c>
      <c r="CH9" s="80">
        <v>0</v>
      </c>
      <c r="CI9" s="80" t="s">
        <v>136</v>
      </c>
      <c r="CJ9" s="80">
        <v>0</v>
      </c>
      <c r="CK9" s="80" t="s">
        <v>136</v>
      </c>
      <c r="CL9" s="80">
        <v>0</v>
      </c>
      <c r="CM9" s="80" t="s">
        <v>136</v>
      </c>
      <c r="CN9" s="80">
        <v>0</v>
      </c>
      <c r="CO9" s="27">
        <v>6.9654210000000001E-4</v>
      </c>
      <c r="CP9" s="27">
        <v>7.8771695999999996E-6</v>
      </c>
      <c r="CQ9" s="27">
        <v>4.9346462999999997E-3</v>
      </c>
      <c r="CR9" s="27">
        <v>5.55029E-5</v>
      </c>
      <c r="CS9" s="27">
        <v>6.0911031999999997E-3</v>
      </c>
      <c r="CT9" s="27">
        <v>1.2751479999999999E-4</v>
      </c>
      <c r="CU9" s="27">
        <v>1.0085199453</v>
      </c>
      <c r="CV9" s="27">
        <v>2.7947950100000001E-2</v>
      </c>
      <c r="CW9" s="80" t="s">
        <v>136</v>
      </c>
      <c r="CX9" s="80">
        <v>0</v>
      </c>
      <c r="CY9" s="80" t="s">
        <v>136</v>
      </c>
      <c r="CZ9" s="80">
        <v>0</v>
      </c>
      <c r="DA9" s="27">
        <v>0.64115986130000002</v>
      </c>
      <c r="DB9" s="27">
        <v>1.3877943699999999E-2</v>
      </c>
      <c r="DC9" s="27">
        <v>5.5331335245000002</v>
      </c>
      <c r="DD9" s="27">
        <v>0.34670076329999999</v>
      </c>
      <c r="DE9" s="27">
        <v>0.56114064850000001</v>
      </c>
      <c r="DF9" s="27">
        <v>3.3665999600000003E-2</v>
      </c>
      <c r="DG9" s="27">
        <v>17.349394720999999</v>
      </c>
      <c r="DH9" s="92">
        <v>0.25100095239999998</v>
      </c>
      <c r="DI9" s="95">
        <v>3.2951399999999998E-5</v>
      </c>
      <c r="DJ9" s="96">
        <v>5.5389300000000002E-5</v>
      </c>
      <c r="DK9" s="96">
        <v>7.7827199999999999E-5</v>
      </c>
      <c r="DL9" s="96">
        <v>1.002651E-4</v>
      </c>
      <c r="DM9" s="96">
        <v>1.002651E-4</v>
      </c>
      <c r="DN9" s="96">
        <v>1.002651E-4</v>
      </c>
      <c r="DO9" s="96">
        <v>1.002651E-4</v>
      </c>
      <c r="DP9" s="96">
        <v>1.002651E-4</v>
      </c>
      <c r="DQ9" s="96">
        <v>1.002651E-4</v>
      </c>
      <c r="DR9" s="97">
        <v>1.002651E-4</v>
      </c>
      <c r="DS9" s="93">
        <v>4.1223082052000004</v>
      </c>
      <c r="DT9" s="80">
        <v>3.6845962500000003E-2</v>
      </c>
      <c r="DU9" s="80">
        <v>0.31426171489999999</v>
      </c>
      <c r="DV9" s="80">
        <v>3.4227578000000001E-3</v>
      </c>
      <c r="DW9" s="80">
        <v>1.82302009E-2</v>
      </c>
      <c r="DX9" s="80">
        <v>2.7582520000000001E-4</v>
      </c>
      <c r="DY9" s="80">
        <v>1.2517593E-3</v>
      </c>
      <c r="DZ9" s="80">
        <v>2.7744799999999999E-5</v>
      </c>
      <c r="EA9" s="80">
        <v>5.4599580000000002E-4</v>
      </c>
      <c r="EB9" s="80">
        <v>1.19031E-5</v>
      </c>
      <c r="EC9" s="80">
        <v>3.6399719999999998E-4</v>
      </c>
      <c r="ED9" s="80">
        <v>7.9354030000000002E-6</v>
      </c>
      <c r="EE9" s="80">
        <v>1.8199859999999999E-4</v>
      </c>
      <c r="EF9" s="80">
        <v>3.9677015000000001E-6</v>
      </c>
      <c r="EG9" s="80">
        <v>0</v>
      </c>
      <c r="EH9" s="80">
        <v>0</v>
      </c>
      <c r="EI9" s="80">
        <v>0</v>
      </c>
      <c r="EJ9" s="80">
        <v>0</v>
      </c>
      <c r="EK9" s="80">
        <v>0</v>
      </c>
      <c r="EL9" s="94">
        <v>0</v>
      </c>
    </row>
    <row r="10" spans="1:142" x14ac:dyDescent="0.2">
      <c r="A10" s="79">
        <v>500</v>
      </c>
      <c r="B10" s="27">
        <v>12864</v>
      </c>
      <c r="C10" s="79">
        <v>378.39871982</v>
      </c>
      <c r="D10" s="27">
        <v>449.16747269000001</v>
      </c>
      <c r="E10" s="27">
        <v>1.4590961280000001</v>
      </c>
      <c r="F10" s="27">
        <v>4.8196276999999997E-3</v>
      </c>
      <c r="G10" s="79">
        <v>3.019416E-3</v>
      </c>
      <c r="H10" s="27">
        <v>2.7123599999999999E-5</v>
      </c>
      <c r="I10" s="27">
        <v>40.919475585999997</v>
      </c>
      <c r="J10" s="27">
        <v>0.29226880379999998</v>
      </c>
      <c r="K10" s="27">
        <v>12.651940925</v>
      </c>
      <c r="L10" s="27">
        <v>8.6838789200000002E-2</v>
      </c>
      <c r="M10" s="27">
        <v>1.8146193578000001</v>
      </c>
      <c r="N10" s="27">
        <v>1.7565509300000001E-2</v>
      </c>
      <c r="O10" s="80" t="s">
        <v>136</v>
      </c>
      <c r="P10" s="80">
        <v>0</v>
      </c>
      <c r="Q10" s="27">
        <v>8.1389256100000001E-2</v>
      </c>
      <c r="R10" s="27">
        <v>6.5863249999999999E-4</v>
      </c>
      <c r="S10" s="80" t="s">
        <v>136</v>
      </c>
      <c r="T10" s="80">
        <v>0</v>
      </c>
      <c r="U10" s="80" t="s">
        <v>136</v>
      </c>
      <c r="V10" s="80">
        <v>0</v>
      </c>
      <c r="W10" s="27">
        <v>4.8522397000000002E-3</v>
      </c>
      <c r="X10" s="27">
        <v>5.4301900000000003E-5</v>
      </c>
      <c r="Y10" s="27">
        <v>1.3823819097000001</v>
      </c>
      <c r="Z10" s="27">
        <v>3.72163649E-2</v>
      </c>
      <c r="AA10" s="80" t="s">
        <v>136</v>
      </c>
      <c r="AB10" s="80">
        <v>0</v>
      </c>
      <c r="AC10" s="27">
        <v>0</v>
      </c>
      <c r="AD10" s="27">
        <v>0</v>
      </c>
      <c r="AE10" s="80" t="s">
        <v>136</v>
      </c>
      <c r="AF10" s="80">
        <v>0</v>
      </c>
      <c r="AG10" s="80" t="s">
        <v>136</v>
      </c>
      <c r="AH10" s="80">
        <v>0</v>
      </c>
      <c r="AI10" s="27">
        <f t="shared" si="0"/>
        <v>0</v>
      </c>
      <c r="AJ10" s="27">
        <f t="shared" si="1"/>
        <v>0</v>
      </c>
      <c r="AK10" s="27">
        <v>18.954383240999999</v>
      </c>
      <c r="AL10" s="27">
        <v>0.35691133720000001</v>
      </c>
      <c r="AM10" s="80" t="s">
        <v>136</v>
      </c>
      <c r="AN10" s="80">
        <v>0</v>
      </c>
      <c r="AO10" s="80" t="s">
        <v>136</v>
      </c>
      <c r="AP10" s="80">
        <v>0</v>
      </c>
      <c r="AQ10" s="80" t="s">
        <v>136</v>
      </c>
      <c r="AR10" s="80">
        <v>0</v>
      </c>
      <c r="AS10" s="27">
        <v>8.7860181475000001</v>
      </c>
      <c r="AT10" s="27">
        <v>0.48830566720000002</v>
      </c>
      <c r="AU10" s="27">
        <v>3.2333536123000002</v>
      </c>
      <c r="AV10" s="27">
        <v>4.97821107E-2</v>
      </c>
      <c r="AW10" s="27">
        <v>1.8463794578999999</v>
      </c>
      <c r="AX10" s="27">
        <v>3.3368656599999998E-2</v>
      </c>
      <c r="AY10" s="27">
        <v>0.76349797480000003</v>
      </c>
      <c r="AZ10" s="27">
        <v>1.1903953E-2</v>
      </c>
      <c r="BA10" s="80">
        <f t="shared" si="2"/>
        <v>0.62347617960000035</v>
      </c>
      <c r="BB10" s="80">
        <f t="shared" si="3"/>
        <v>4.5095011000000004E-3</v>
      </c>
      <c r="BC10" s="27">
        <v>0</v>
      </c>
      <c r="BD10" s="80">
        <v>0</v>
      </c>
      <c r="BE10" s="27">
        <v>23.248193117</v>
      </c>
      <c r="BF10" s="27">
        <v>0.35655703080000001</v>
      </c>
      <c r="BG10" s="79">
        <v>8.2416000000000005E-5</v>
      </c>
      <c r="BH10" s="80">
        <v>0</v>
      </c>
      <c r="BI10" s="27">
        <v>21.444106367</v>
      </c>
      <c r="BJ10" s="27">
        <v>1.0971831209</v>
      </c>
      <c r="BK10" s="27">
        <v>5.9840446085999996</v>
      </c>
      <c r="BL10" s="27">
        <v>5.6189372000000001E-2</v>
      </c>
      <c r="BM10" s="27">
        <v>2.4301379271000001</v>
      </c>
      <c r="BN10" s="27">
        <v>2.7121266000000002E-2</v>
      </c>
      <c r="BO10" s="27">
        <v>0</v>
      </c>
      <c r="BP10" s="27">
        <v>0</v>
      </c>
      <c r="BQ10" s="27">
        <v>0</v>
      </c>
      <c r="BR10" s="92">
        <v>0</v>
      </c>
      <c r="BS10" s="80" t="s">
        <v>136</v>
      </c>
      <c r="BT10" s="80">
        <v>0</v>
      </c>
      <c r="BU10" s="27">
        <v>8.0255486999999993E-3</v>
      </c>
      <c r="BV10" s="27">
        <v>1.348357E-4</v>
      </c>
      <c r="BW10" s="27">
        <v>1.8065938091</v>
      </c>
      <c r="BX10" s="27">
        <v>1.7430673599999998E-2</v>
      </c>
      <c r="BY10" s="80" t="s">
        <v>136</v>
      </c>
      <c r="BZ10" s="80">
        <v>0</v>
      </c>
      <c r="CA10" s="80" t="s">
        <v>136</v>
      </c>
      <c r="CB10" s="80">
        <v>0</v>
      </c>
      <c r="CC10" s="27">
        <v>3.5698153000000002E-3</v>
      </c>
      <c r="CD10" s="27">
        <v>2.56853E-5</v>
      </c>
      <c r="CE10" s="27">
        <v>7.78194408E-2</v>
      </c>
      <c r="CF10" s="27">
        <v>6.3294719999999998E-4</v>
      </c>
      <c r="CG10" s="80" t="s">
        <v>136</v>
      </c>
      <c r="CH10" s="80">
        <v>0</v>
      </c>
      <c r="CI10" s="80" t="s">
        <v>136</v>
      </c>
      <c r="CJ10" s="80">
        <v>0</v>
      </c>
      <c r="CK10" s="80" t="s">
        <v>136</v>
      </c>
      <c r="CL10" s="80">
        <v>0</v>
      </c>
      <c r="CM10" s="80" t="s">
        <v>136</v>
      </c>
      <c r="CN10" s="80">
        <v>0</v>
      </c>
      <c r="CO10" s="27">
        <v>6.1460799999999999E-4</v>
      </c>
      <c r="CP10" s="27">
        <v>6.9505802000000002E-6</v>
      </c>
      <c r="CQ10" s="27">
        <v>4.2376317000000002E-3</v>
      </c>
      <c r="CR10" s="27">
        <v>4.7351400000000002E-5</v>
      </c>
      <c r="CS10" s="27">
        <v>9.8479047E-3</v>
      </c>
      <c r="CT10" s="27">
        <v>2.284601E-4</v>
      </c>
      <c r="CU10" s="27">
        <v>1.3725340049999999</v>
      </c>
      <c r="CV10" s="27">
        <v>3.6987904799999999E-2</v>
      </c>
      <c r="CW10" s="80" t="s">
        <v>136</v>
      </c>
      <c r="CX10" s="80">
        <v>0</v>
      </c>
      <c r="CY10" s="80" t="s">
        <v>136</v>
      </c>
      <c r="CZ10" s="80">
        <v>0</v>
      </c>
      <c r="DA10" s="27">
        <v>0.94362915179999995</v>
      </c>
      <c r="DB10" s="27">
        <v>2.03236506E-2</v>
      </c>
      <c r="DC10" s="27">
        <v>7.8423889956000004</v>
      </c>
      <c r="DD10" s="27">
        <v>0.46798201659999999</v>
      </c>
      <c r="DE10" s="27">
        <v>0.93918740680000001</v>
      </c>
      <c r="DF10" s="27">
        <v>4.9860921099999997E-2</v>
      </c>
      <c r="DG10" s="27">
        <v>22.309005710000001</v>
      </c>
      <c r="DH10" s="92">
        <v>0.30669610980000001</v>
      </c>
      <c r="DI10" s="95">
        <v>2.7123599999999999E-5</v>
      </c>
      <c r="DJ10" s="96">
        <v>4.5554399999999999E-5</v>
      </c>
      <c r="DK10" s="96">
        <v>6.3985200000000005E-5</v>
      </c>
      <c r="DL10" s="96">
        <v>8.2416000000000005E-5</v>
      </c>
      <c r="DM10" s="96">
        <v>8.2416000000000005E-5</v>
      </c>
      <c r="DN10" s="96">
        <v>8.2416000000000005E-5</v>
      </c>
      <c r="DO10" s="96">
        <v>8.2416000000000005E-5</v>
      </c>
      <c r="DP10" s="96">
        <v>8.2416000000000005E-5</v>
      </c>
      <c r="DQ10" s="96">
        <v>8.2416000000000005E-5</v>
      </c>
      <c r="DR10" s="97">
        <v>8.2416000000000005E-5</v>
      </c>
      <c r="DS10" s="93">
        <v>7.2241018749999997</v>
      </c>
      <c r="DT10" s="80">
        <v>6.0807104299999998E-2</v>
      </c>
      <c r="DU10" s="80">
        <v>0.89400372370000003</v>
      </c>
      <c r="DV10" s="80">
        <v>8.7349943999999995E-3</v>
      </c>
      <c r="DW10" s="80">
        <v>7.9302708999999999E-2</v>
      </c>
      <c r="DX10" s="80">
        <v>9.2875800000000001E-4</v>
      </c>
      <c r="DY10" s="80">
        <v>7.0290750999999997E-3</v>
      </c>
      <c r="DZ10" s="80">
        <v>1.0218200000000001E-4</v>
      </c>
      <c r="EA10" s="80">
        <v>7.1118590000000001E-4</v>
      </c>
      <c r="EB10" s="80">
        <v>1.3959500000000001E-5</v>
      </c>
      <c r="EC10" s="80">
        <v>3.2016059999999999E-4</v>
      </c>
      <c r="ED10" s="80">
        <v>6.9797342999999998E-6</v>
      </c>
      <c r="EE10" s="80">
        <v>1.6008029999999999E-4</v>
      </c>
      <c r="EF10" s="80">
        <v>3.4898670999999999E-6</v>
      </c>
      <c r="EG10" s="80">
        <v>0</v>
      </c>
      <c r="EH10" s="80">
        <v>0</v>
      </c>
      <c r="EI10" s="80">
        <v>0</v>
      </c>
      <c r="EJ10" s="80">
        <v>0</v>
      </c>
      <c r="EK10" s="80">
        <v>0</v>
      </c>
      <c r="EL10" s="94">
        <v>0</v>
      </c>
    </row>
    <row r="11" spans="1:142" x14ac:dyDescent="0.2">
      <c r="A11" s="79">
        <v>600</v>
      </c>
      <c r="B11" s="27">
        <v>11436</v>
      </c>
      <c r="C11" s="79">
        <v>443.94284499999998</v>
      </c>
      <c r="D11" s="27">
        <v>549.05989440999997</v>
      </c>
      <c r="E11" s="27">
        <v>2.3631472542999998</v>
      </c>
      <c r="F11" s="27">
        <v>6.8212165999999999E-3</v>
      </c>
      <c r="G11" s="79">
        <v>2.5473189000000001E-3</v>
      </c>
      <c r="H11" s="27">
        <v>2.2934599999999999E-5</v>
      </c>
      <c r="I11" s="27">
        <v>49.753090622000002</v>
      </c>
      <c r="J11" s="27">
        <v>0.3474757584</v>
      </c>
      <c r="K11" s="27">
        <v>15.675802501</v>
      </c>
      <c r="L11" s="27">
        <v>0.1049019796</v>
      </c>
      <c r="M11" s="27">
        <v>2.3155451293999998</v>
      </c>
      <c r="N11" s="27">
        <v>2.2270688800000001E-2</v>
      </c>
      <c r="O11" s="80" t="s">
        <v>136</v>
      </c>
      <c r="P11" s="80">
        <v>0</v>
      </c>
      <c r="Q11" s="27">
        <v>0.1435448973</v>
      </c>
      <c r="R11" s="27">
        <v>8.2556950000000002E-4</v>
      </c>
      <c r="S11" s="80" t="s">
        <v>136</v>
      </c>
      <c r="T11" s="80">
        <v>0</v>
      </c>
      <c r="U11" s="80" t="s">
        <v>136</v>
      </c>
      <c r="V11" s="80">
        <v>0</v>
      </c>
      <c r="W11" s="27">
        <v>6.0226122000000002E-3</v>
      </c>
      <c r="X11" s="27">
        <v>6.6066200000000001E-5</v>
      </c>
      <c r="Y11" s="27">
        <v>1.9837911576</v>
      </c>
      <c r="Z11" s="27">
        <v>5.16342599E-2</v>
      </c>
      <c r="AA11" s="80" t="s">
        <v>136</v>
      </c>
      <c r="AB11" s="80">
        <v>0</v>
      </c>
      <c r="AC11" s="27">
        <v>0</v>
      </c>
      <c r="AD11" s="27">
        <v>0</v>
      </c>
      <c r="AE11" s="80" t="s">
        <v>136</v>
      </c>
      <c r="AF11" s="80">
        <v>0</v>
      </c>
      <c r="AG11" s="80" t="s">
        <v>136</v>
      </c>
      <c r="AH11" s="80">
        <v>0</v>
      </c>
      <c r="AI11" s="27">
        <f t="shared" si="0"/>
        <v>0</v>
      </c>
      <c r="AJ11" s="27">
        <f t="shared" si="1"/>
        <v>0</v>
      </c>
      <c r="AK11" s="27">
        <v>23.96996588</v>
      </c>
      <c r="AL11" s="27">
        <v>0.4417077928</v>
      </c>
      <c r="AM11" s="80" t="s">
        <v>136</v>
      </c>
      <c r="AN11" s="80">
        <v>0</v>
      </c>
      <c r="AO11" s="80" t="s">
        <v>136</v>
      </c>
      <c r="AP11" s="80">
        <v>0</v>
      </c>
      <c r="AQ11" s="80" t="s">
        <v>136</v>
      </c>
      <c r="AR11" s="80">
        <v>0</v>
      </c>
      <c r="AS11" s="27">
        <v>11.426970366999999</v>
      </c>
      <c r="AT11" s="27">
        <v>0.60801213769999995</v>
      </c>
      <c r="AU11" s="27">
        <v>4.4620547776999997</v>
      </c>
      <c r="AV11" s="27">
        <v>6.4110603799999999E-2</v>
      </c>
      <c r="AW11" s="27">
        <v>2.4519595581</v>
      </c>
      <c r="AX11" s="27">
        <v>4.2241942900000003E-2</v>
      </c>
      <c r="AY11" s="27">
        <v>1.0262659117999999</v>
      </c>
      <c r="AZ11" s="27">
        <v>1.5174202100000001E-2</v>
      </c>
      <c r="BA11" s="80">
        <f t="shared" si="2"/>
        <v>0.98382930779999977</v>
      </c>
      <c r="BB11" s="80">
        <f t="shared" si="3"/>
        <v>6.6944587999999972E-3</v>
      </c>
      <c r="BC11" s="27">
        <v>0</v>
      </c>
      <c r="BD11" s="80">
        <v>0</v>
      </c>
      <c r="BE11" s="27">
        <v>27.747658198</v>
      </c>
      <c r="BF11" s="27">
        <v>0.42046850520000001</v>
      </c>
      <c r="BG11" s="79">
        <v>6.9641900000000001E-5</v>
      </c>
      <c r="BH11" s="80">
        <v>0</v>
      </c>
      <c r="BI11" s="27">
        <v>26.18528444</v>
      </c>
      <c r="BJ11" s="27">
        <v>1.2871521437</v>
      </c>
      <c r="BK11" s="27">
        <v>8.0584652593000001</v>
      </c>
      <c r="BL11" s="27">
        <v>7.3607176199999999E-2</v>
      </c>
      <c r="BM11" s="27">
        <v>3.1493282971999998</v>
      </c>
      <c r="BN11" s="27">
        <v>3.2622743000000003E-2</v>
      </c>
      <c r="BO11" s="27">
        <v>6.3772613000000001E-3</v>
      </c>
      <c r="BP11" s="27">
        <v>2.1206250000000001E-4</v>
      </c>
      <c r="BQ11" s="27">
        <v>0</v>
      </c>
      <c r="BR11" s="92">
        <v>0</v>
      </c>
      <c r="BS11" s="80" t="s">
        <v>136</v>
      </c>
      <c r="BT11" s="80">
        <v>0</v>
      </c>
      <c r="BU11" s="27">
        <v>1.49005965E-2</v>
      </c>
      <c r="BV11" s="27">
        <v>2.4522489999999998E-4</v>
      </c>
      <c r="BW11" s="27">
        <v>2.3006445329999998</v>
      </c>
      <c r="BX11" s="27">
        <v>2.20254639E-2</v>
      </c>
      <c r="BY11" s="80" t="s">
        <v>136</v>
      </c>
      <c r="BZ11" s="80">
        <v>0</v>
      </c>
      <c r="CA11" s="80" t="s">
        <v>136</v>
      </c>
      <c r="CB11" s="80">
        <v>0</v>
      </c>
      <c r="CC11" s="27">
        <v>1.26776653E-2</v>
      </c>
      <c r="CD11" s="27">
        <v>4.3159699999999999E-5</v>
      </c>
      <c r="CE11" s="27">
        <v>0.130867232</v>
      </c>
      <c r="CF11" s="27">
        <v>7.8240980000000003E-4</v>
      </c>
      <c r="CG11" s="80" t="s">
        <v>136</v>
      </c>
      <c r="CH11" s="80">
        <v>0</v>
      </c>
      <c r="CI11" s="80" t="s">
        <v>136</v>
      </c>
      <c r="CJ11" s="80">
        <v>0</v>
      </c>
      <c r="CK11" s="80" t="s">
        <v>136</v>
      </c>
      <c r="CL11" s="80">
        <v>0</v>
      </c>
      <c r="CM11" s="80" t="s">
        <v>136</v>
      </c>
      <c r="CN11" s="80">
        <v>0</v>
      </c>
      <c r="CO11" s="27">
        <v>5.6112939999999997E-4</v>
      </c>
      <c r="CP11" s="27">
        <v>6.3457919000000001E-6</v>
      </c>
      <c r="CQ11" s="27">
        <v>5.4614828000000004E-3</v>
      </c>
      <c r="CR11" s="27">
        <v>5.9720499999999999E-5</v>
      </c>
      <c r="CS11" s="27">
        <v>3.5313232999999999E-2</v>
      </c>
      <c r="CT11" s="27">
        <v>6.5177859999999998E-4</v>
      </c>
      <c r="CU11" s="27">
        <v>1.9484779246999999</v>
      </c>
      <c r="CV11" s="27">
        <v>5.09824813E-2</v>
      </c>
      <c r="CW11" s="80" t="s">
        <v>136</v>
      </c>
      <c r="CX11" s="80">
        <v>0</v>
      </c>
      <c r="CY11" s="80" t="s">
        <v>136</v>
      </c>
      <c r="CZ11" s="80">
        <v>0</v>
      </c>
      <c r="DA11" s="27">
        <v>1.3762740701</v>
      </c>
      <c r="DB11" s="27">
        <v>2.7136238199999999E-2</v>
      </c>
      <c r="DC11" s="27">
        <v>10.050696297</v>
      </c>
      <c r="DD11" s="27">
        <v>0.58087589949999996</v>
      </c>
      <c r="DE11" s="27">
        <v>1.2971004143</v>
      </c>
      <c r="DF11" s="27">
        <v>6.7287076200000004E-2</v>
      </c>
      <c r="DG11" s="27">
        <v>26.450557783000001</v>
      </c>
      <c r="DH11" s="92">
        <v>0.35318142899999999</v>
      </c>
      <c r="DI11" s="95">
        <v>2.2934599999999999E-5</v>
      </c>
      <c r="DJ11" s="96">
        <v>3.8503700000000002E-5</v>
      </c>
      <c r="DK11" s="96">
        <v>5.4072800000000002E-5</v>
      </c>
      <c r="DL11" s="96">
        <v>6.9641900000000001E-5</v>
      </c>
      <c r="DM11" s="96">
        <v>6.9641900000000001E-5</v>
      </c>
      <c r="DN11" s="96">
        <v>6.9641900000000001E-5</v>
      </c>
      <c r="DO11" s="96">
        <v>6.9641900000000001E-5</v>
      </c>
      <c r="DP11" s="96">
        <v>6.9641900000000001E-5</v>
      </c>
      <c r="DQ11" s="96">
        <v>6.9641900000000001E-5</v>
      </c>
      <c r="DR11" s="97">
        <v>6.9641900000000001E-5</v>
      </c>
      <c r="DS11" s="93">
        <v>10.744894212</v>
      </c>
      <c r="DT11" s="80">
        <v>8.67181744E-2</v>
      </c>
      <c r="DU11" s="80">
        <v>1.7866505768000001</v>
      </c>
      <c r="DV11" s="80">
        <v>1.6286698200000001E-2</v>
      </c>
      <c r="DW11" s="80">
        <v>0.22383881720000001</v>
      </c>
      <c r="DX11" s="80">
        <v>2.3175359999999998E-3</v>
      </c>
      <c r="DY11" s="80">
        <v>2.1643064199999999E-2</v>
      </c>
      <c r="DZ11" s="80">
        <v>2.5799280000000002E-4</v>
      </c>
      <c r="EA11" s="80">
        <v>1.1107408999999999E-3</v>
      </c>
      <c r="EB11" s="80">
        <v>2.0039900000000001E-5</v>
      </c>
      <c r="EC11" s="80">
        <v>2.9068779999999998E-4</v>
      </c>
      <c r="ED11" s="80">
        <v>6.3372060999999998E-6</v>
      </c>
      <c r="EE11" s="80">
        <v>1.4534389999999999E-4</v>
      </c>
      <c r="EF11" s="80">
        <v>3.1686029999999999E-6</v>
      </c>
      <c r="EG11" s="80">
        <v>0</v>
      </c>
      <c r="EH11" s="80">
        <v>0</v>
      </c>
      <c r="EI11" s="80">
        <v>0</v>
      </c>
      <c r="EJ11" s="80">
        <v>0</v>
      </c>
      <c r="EK11" s="80">
        <v>0</v>
      </c>
      <c r="EL11" s="94">
        <v>0</v>
      </c>
    </row>
    <row r="12" spans="1:142" x14ac:dyDescent="0.2">
      <c r="A12" s="79">
        <v>700</v>
      </c>
      <c r="B12" s="27">
        <v>10417</v>
      </c>
      <c r="C12" s="79">
        <v>506.79066734999998</v>
      </c>
      <c r="D12" s="27">
        <v>649.22110848</v>
      </c>
      <c r="E12" s="27">
        <v>3.4105594260999998</v>
      </c>
      <c r="F12" s="27">
        <v>8.8910706000000003E-3</v>
      </c>
      <c r="G12" s="79">
        <v>2.2239882000000002E-3</v>
      </c>
      <c r="H12" s="27">
        <v>2.00318E-5</v>
      </c>
      <c r="I12" s="27">
        <v>58.388637068000001</v>
      </c>
      <c r="J12" s="27">
        <v>0.40090411749999999</v>
      </c>
      <c r="K12" s="27">
        <v>18.604438301999998</v>
      </c>
      <c r="L12" s="27">
        <v>0.1223647482</v>
      </c>
      <c r="M12" s="27">
        <v>2.8355470207</v>
      </c>
      <c r="N12" s="27">
        <v>2.6892911799999999E-2</v>
      </c>
      <c r="O12" s="80" t="s">
        <v>136</v>
      </c>
      <c r="P12" s="80">
        <v>0</v>
      </c>
      <c r="Q12" s="27">
        <v>0.19930110700000001</v>
      </c>
      <c r="R12" s="27">
        <v>9.6032249999999995E-4</v>
      </c>
      <c r="S12" s="80" t="s">
        <v>136</v>
      </c>
      <c r="T12" s="80">
        <v>0</v>
      </c>
      <c r="U12" s="80" t="s">
        <v>136</v>
      </c>
      <c r="V12" s="80">
        <v>0</v>
      </c>
      <c r="W12" s="27">
        <v>5.4843619999999996E-3</v>
      </c>
      <c r="X12" s="27">
        <v>1.459745E-4</v>
      </c>
      <c r="Y12" s="27">
        <v>2.4283462566999998</v>
      </c>
      <c r="Z12" s="27">
        <v>6.2700960299999997E-2</v>
      </c>
      <c r="AA12" s="80" t="s">
        <v>136</v>
      </c>
      <c r="AB12" s="80">
        <v>0</v>
      </c>
      <c r="AC12" s="27">
        <v>0</v>
      </c>
      <c r="AD12" s="27">
        <v>0</v>
      </c>
      <c r="AE12" s="80" t="s">
        <v>136</v>
      </c>
      <c r="AF12" s="80">
        <v>0</v>
      </c>
      <c r="AG12" s="80" t="s">
        <v>136</v>
      </c>
      <c r="AH12" s="80">
        <v>0</v>
      </c>
      <c r="AI12" s="27">
        <f t="shared" si="0"/>
        <v>0</v>
      </c>
      <c r="AJ12" s="27">
        <f t="shared" si="1"/>
        <v>0</v>
      </c>
      <c r="AK12" s="27">
        <v>29.054902127999998</v>
      </c>
      <c r="AL12" s="27">
        <v>0.52760985920000003</v>
      </c>
      <c r="AM12" s="80" t="s">
        <v>136</v>
      </c>
      <c r="AN12" s="80">
        <v>0</v>
      </c>
      <c r="AO12" s="80" t="s">
        <v>136</v>
      </c>
      <c r="AP12" s="80">
        <v>0</v>
      </c>
      <c r="AQ12" s="80" t="s">
        <v>136</v>
      </c>
      <c r="AR12" s="80">
        <v>0</v>
      </c>
      <c r="AS12" s="27">
        <v>14.150295759</v>
      </c>
      <c r="AT12" s="27">
        <v>0.73219156870000002</v>
      </c>
      <c r="AU12" s="27">
        <v>5.9452668713000003</v>
      </c>
      <c r="AV12" s="27">
        <v>7.9919168600000007E-2</v>
      </c>
      <c r="AW12" s="27">
        <v>3.1655949803999999</v>
      </c>
      <c r="AX12" s="27">
        <v>5.1874406499999998E-2</v>
      </c>
      <c r="AY12" s="27">
        <v>1.3054696908000001</v>
      </c>
      <c r="AZ12" s="27">
        <v>1.86377057E-2</v>
      </c>
      <c r="BA12" s="80">
        <f t="shared" si="2"/>
        <v>1.4742022001000006</v>
      </c>
      <c r="BB12" s="80">
        <f t="shared" si="3"/>
        <v>9.4070564000000023E-3</v>
      </c>
      <c r="BC12" s="27">
        <v>0</v>
      </c>
      <c r="BD12" s="80">
        <v>0</v>
      </c>
      <c r="BE12" s="27">
        <v>32.470828101999999</v>
      </c>
      <c r="BF12" s="27">
        <v>0.4836869687</v>
      </c>
      <c r="BG12" s="79">
        <v>6.0820199999999997E-5</v>
      </c>
      <c r="BH12" s="80">
        <v>0</v>
      </c>
      <c r="BI12" s="27">
        <v>30.968783906999999</v>
      </c>
      <c r="BJ12" s="27">
        <v>1.4807155607</v>
      </c>
      <c r="BK12" s="27">
        <v>10.528998867</v>
      </c>
      <c r="BL12" s="27">
        <v>9.4129493800000005E-2</v>
      </c>
      <c r="BM12" s="27">
        <v>3.8861646376999999</v>
      </c>
      <c r="BN12" s="27">
        <v>3.7573550099999999E-2</v>
      </c>
      <c r="BO12" s="27">
        <v>5.7958176000000002E-3</v>
      </c>
      <c r="BP12" s="27">
        <v>1.903017E-4</v>
      </c>
      <c r="BQ12" s="27">
        <v>0</v>
      </c>
      <c r="BR12" s="92">
        <v>0</v>
      </c>
      <c r="BS12" s="80" t="s">
        <v>136</v>
      </c>
      <c r="BT12" s="80">
        <v>0</v>
      </c>
      <c r="BU12" s="27">
        <v>3.4694884799999999E-2</v>
      </c>
      <c r="BV12" s="27">
        <v>5.2572429999999998E-4</v>
      </c>
      <c r="BW12" s="27">
        <v>2.8008521359</v>
      </c>
      <c r="BX12" s="27">
        <v>2.63671875E-2</v>
      </c>
      <c r="BY12" s="80" t="s">
        <v>136</v>
      </c>
      <c r="BZ12" s="80">
        <v>0</v>
      </c>
      <c r="CA12" s="80" t="s">
        <v>136</v>
      </c>
      <c r="CB12" s="80">
        <v>0</v>
      </c>
      <c r="CC12" s="27">
        <v>1.47291616E-2</v>
      </c>
      <c r="CD12" s="27">
        <v>4.8700099999999998E-5</v>
      </c>
      <c r="CE12" s="27">
        <v>0.18457194539999999</v>
      </c>
      <c r="CF12" s="27">
        <v>9.1162239999999998E-4</v>
      </c>
      <c r="CG12" s="80" t="s">
        <v>136</v>
      </c>
      <c r="CH12" s="80">
        <v>0</v>
      </c>
      <c r="CI12" s="80" t="s">
        <v>136</v>
      </c>
      <c r="CJ12" s="80">
        <v>0</v>
      </c>
      <c r="CK12" s="80" t="s">
        <v>136</v>
      </c>
      <c r="CL12" s="80">
        <v>0</v>
      </c>
      <c r="CM12" s="80" t="s">
        <v>136</v>
      </c>
      <c r="CN12" s="80">
        <v>0</v>
      </c>
      <c r="CO12" s="27">
        <v>5.2212769999999996E-4</v>
      </c>
      <c r="CP12" s="27">
        <v>5.9047238000000003E-6</v>
      </c>
      <c r="CQ12" s="27">
        <v>4.9622342999999999E-3</v>
      </c>
      <c r="CR12" s="27">
        <v>1.4006979999999999E-4</v>
      </c>
      <c r="CS12" s="27">
        <v>6.2347335199999999E-2</v>
      </c>
      <c r="CT12" s="27">
        <v>1.0237296999999999E-3</v>
      </c>
      <c r="CU12" s="27">
        <v>2.3659989215000001</v>
      </c>
      <c r="CV12" s="27">
        <v>6.1677230600000001E-2</v>
      </c>
      <c r="CW12" s="80" t="s">
        <v>136</v>
      </c>
      <c r="CX12" s="80">
        <v>0</v>
      </c>
      <c r="CY12" s="80" t="s">
        <v>136</v>
      </c>
      <c r="CZ12" s="80">
        <v>0</v>
      </c>
      <c r="DA12" s="27">
        <v>1.7827849028</v>
      </c>
      <c r="DB12" s="27">
        <v>3.4651665399999997E-2</v>
      </c>
      <c r="DC12" s="27">
        <v>12.367510856000001</v>
      </c>
      <c r="DD12" s="27">
        <v>0.69753990330000004</v>
      </c>
      <c r="DE12" s="27">
        <v>1.7210697456999999</v>
      </c>
      <c r="DF12" s="27">
        <v>8.5946890799999995E-2</v>
      </c>
      <c r="DG12" s="27">
        <v>30.749758356000001</v>
      </c>
      <c r="DH12" s="92">
        <v>0.39774007789999999</v>
      </c>
      <c r="DI12" s="95">
        <v>2.00318E-5</v>
      </c>
      <c r="DJ12" s="96">
        <v>3.3627899999999997E-5</v>
      </c>
      <c r="DK12" s="96">
        <v>4.7224100000000001E-5</v>
      </c>
      <c r="DL12" s="96">
        <v>6.0820199999999997E-5</v>
      </c>
      <c r="DM12" s="96">
        <v>6.0820199999999997E-5</v>
      </c>
      <c r="DN12" s="96">
        <v>6.0820199999999997E-5</v>
      </c>
      <c r="DO12" s="96">
        <v>6.0820199999999997E-5</v>
      </c>
      <c r="DP12" s="96">
        <v>6.0820199999999997E-5</v>
      </c>
      <c r="DQ12" s="96">
        <v>6.0820199999999997E-5</v>
      </c>
      <c r="DR12" s="97">
        <v>6.0820199999999997E-5</v>
      </c>
      <c r="DS12" s="93">
        <v>14.483437597</v>
      </c>
      <c r="DT12" s="80">
        <v>0.11384514630000001</v>
      </c>
      <c r="DU12" s="80">
        <v>2.9802240262000002</v>
      </c>
      <c r="DV12" s="80">
        <v>2.6080834099999999E-2</v>
      </c>
      <c r="DW12" s="80">
        <v>0.51850457719999998</v>
      </c>
      <c r="DX12" s="80">
        <v>5.0172779000000004E-3</v>
      </c>
      <c r="DY12" s="80">
        <v>7.6985010699999995E-2</v>
      </c>
      <c r="DZ12" s="80">
        <v>8.31129E-4</v>
      </c>
      <c r="EA12" s="80">
        <v>9.1243062999999992E-3</v>
      </c>
      <c r="EB12" s="80">
        <v>1.149562E-4</v>
      </c>
      <c r="EC12" s="80">
        <v>1.2784762E-3</v>
      </c>
      <c r="ED12" s="80">
        <v>1.8451500000000001E-5</v>
      </c>
      <c r="EE12" s="80">
        <v>1.3434340000000001E-4</v>
      </c>
      <c r="EF12" s="80">
        <v>2.9287843E-6</v>
      </c>
      <c r="EG12" s="80">
        <v>0</v>
      </c>
      <c r="EH12" s="80">
        <v>0</v>
      </c>
      <c r="EI12" s="80">
        <v>0</v>
      </c>
      <c r="EJ12" s="80">
        <v>0</v>
      </c>
      <c r="EK12" s="80">
        <v>0</v>
      </c>
      <c r="EL12" s="94">
        <v>0</v>
      </c>
    </row>
    <row r="13" spans="1:142" x14ac:dyDescent="0.2">
      <c r="A13" s="79">
        <v>800</v>
      </c>
      <c r="B13" s="27">
        <v>9453</v>
      </c>
      <c r="C13" s="79">
        <v>567.13709704999997</v>
      </c>
      <c r="D13" s="27">
        <v>748.62744021000003</v>
      </c>
      <c r="E13" s="27">
        <v>4.5994753803000004</v>
      </c>
      <c r="F13" s="27">
        <v>1.08920718E-2</v>
      </c>
      <c r="G13" s="79">
        <v>8.4661522999999999E-3</v>
      </c>
      <c r="H13" s="27">
        <v>2.74932E-5</v>
      </c>
      <c r="I13" s="27">
        <v>65.894115378999999</v>
      </c>
      <c r="J13" s="27">
        <v>0.44816320279999999</v>
      </c>
      <c r="K13" s="27">
        <v>21.396262221000001</v>
      </c>
      <c r="L13" s="27">
        <v>0.13899701219999999</v>
      </c>
      <c r="M13" s="27">
        <v>3.4089621500999998</v>
      </c>
      <c r="N13" s="27">
        <v>3.2371707100000001E-2</v>
      </c>
      <c r="O13" s="80" t="s">
        <v>136</v>
      </c>
      <c r="P13" s="80">
        <v>0</v>
      </c>
      <c r="Q13" s="27">
        <v>0.30954890619999997</v>
      </c>
      <c r="R13" s="27">
        <v>1.3015708E-3</v>
      </c>
      <c r="S13" s="80" t="s">
        <v>136</v>
      </c>
      <c r="T13" s="80">
        <v>0</v>
      </c>
      <c r="U13" s="80" t="s">
        <v>136</v>
      </c>
      <c r="V13" s="80">
        <v>0</v>
      </c>
      <c r="W13" s="27">
        <v>5.3945110999999999E-3</v>
      </c>
      <c r="X13" s="27">
        <v>1.3814559999999999E-4</v>
      </c>
      <c r="Y13" s="27">
        <v>3.0042526322000001</v>
      </c>
      <c r="Z13" s="27">
        <v>7.7682853699999999E-2</v>
      </c>
      <c r="AA13" s="80" t="s">
        <v>136</v>
      </c>
      <c r="AB13" s="80">
        <v>0</v>
      </c>
      <c r="AC13" s="27">
        <v>0</v>
      </c>
      <c r="AD13" s="27">
        <v>0</v>
      </c>
      <c r="AE13" s="80" t="s">
        <v>136</v>
      </c>
      <c r="AF13" s="80">
        <v>0</v>
      </c>
      <c r="AG13" s="80" t="s">
        <v>136</v>
      </c>
      <c r="AH13" s="80">
        <v>0</v>
      </c>
      <c r="AI13" s="27">
        <f t="shared" si="0"/>
        <v>0</v>
      </c>
      <c r="AJ13" s="27">
        <f t="shared" si="1"/>
        <v>0</v>
      </c>
      <c r="AK13" s="27">
        <v>34.216803603000002</v>
      </c>
      <c r="AL13" s="27">
        <v>0.61088827300000004</v>
      </c>
      <c r="AM13" s="80" t="s">
        <v>136</v>
      </c>
      <c r="AN13" s="80">
        <v>0</v>
      </c>
      <c r="AO13" s="80" t="s">
        <v>136</v>
      </c>
      <c r="AP13" s="80">
        <v>0</v>
      </c>
      <c r="AQ13" s="80" t="s">
        <v>136</v>
      </c>
      <c r="AR13" s="80">
        <v>0</v>
      </c>
      <c r="AS13" s="27">
        <v>16.848427878999999</v>
      </c>
      <c r="AT13" s="27">
        <v>0.84402007749999997</v>
      </c>
      <c r="AU13" s="27">
        <v>7.5105874955000003</v>
      </c>
      <c r="AV13" s="27">
        <v>9.5635195699999995E-2</v>
      </c>
      <c r="AW13" s="27">
        <v>3.9658951445000001</v>
      </c>
      <c r="AX13" s="27">
        <v>6.18100408E-2</v>
      </c>
      <c r="AY13" s="27">
        <v>1.5673426658</v>
      </c>
      <c r="AZ13" s="27">
        <v>2.1927927100000001E-2</v>
      </c>
      <c r="BA13" s="80">
        <f t="shared" si="2"/>
        <v>1.9773496852000001</v>
      </c>
      <c r="BB13" s="80">
        <f t="shared" si="3"/>
        <v>1.1897227799999993E-2</v>
      </c>
      <c r="BC13" s="27">
        <v>0</v>
      </c>
      <c r="BD13" s="80">
        <v>0</v>
      </c>
      <c r="BE13" s="27">
        <v>37.170208645000002</v>
      </c>
      <c r="BF13" s="27">
        <v>0.54620870450000003</v>
      </c>
      <c r="BG13" s="79">
        <v>6.7144999999999995E-5</v>
      </c>
      <c r="BH13" s="80">
        <v>0</v>
      </c>
      <c r="BI13" s="27">
        <v>35.790484890999998</v>
      </c>
      <c r="BJ13" s="27">
        <v>1.6663435067000001</v>
      </c>
      <c r="BK13" s="27">
        <v>13.131256041</v>
      </c>
      <c r="BL13" s="27">
        <v>0.1159256828</v>
      </c>
      <c r="BM13" s="27">
        <v>4.6964813963000003</v>
      </c>
      <c r="BN13" s="27">
        <v>4.2895145699999998E-2</v>
      </c>
      <c r="BO13" s="27">
        <v>8.2005636000000003E-3</v>
      </c>
      <c r="BP13" s="27">
        <v>1.960187E-4</v>
      </c>
      <c r="BQ13" s="27">
        <v>0</v>
      </c>
      <c r="BR13" s="92">
        <v>0</v>
      </c>
      <c r="BS13" s="80" t="s">
        <v>136</v>
      </c>
      <c r="BT13" s="80">
        <v>0</v>
      </c>
      <c r="BU13" s="27">
        <v>4.4233384600000002E-2</v>
      </c>
      <c r="BV13" s="27">
        <v>6.3707309999999997E-4</v>
      </c>
      <c r="BW13" s="27">
        <v>3.3647287655000002</v>
      </c>
      <c r="BX13" s="27">
        <v>3.1734633999999998E-2</v>
      </c>
      <c r="BY13" s="80" t="s">
        <v>136</v>
      </c>
      <c r="BZ13" s="80">
        <v>0</v>
      </c>
      <c r="CA13" s="80" t="s">
        <v>136</v>
      </c>
      <c r="CB13" s="80">
        <v>0</v>
      </c>
      <c r="CC13" s="27">
        <v>3.83617708E-2</v>
      </c>
      <c r="CD13" s="27">
        <v>1.000735E-4</v>
      </c>
      <c r="CE13" s="27">
        <v>0.2711871354</v>
      </c>
      <c r="CF13" s="27">
        <v>1.2014974000000001E-3</v>
      </c>
      <c r="CG13" s="80" t="s">
        <v>136</v>
      </c>
      <c r="CH13" s="80">
        <v>0</v>
      </c>
      <c r="CI13" s="80" t="s">
        <v>136</v>
      </c>
      <c r="CJ13" s="80">
        <v>0</v>
      </c>
      <c r="CK13" s="80" t="s">
        <v>136</v>
      </c>
      <c r="CL13" s="80">
        <v>0</v>
      </c>
      <c r="CM13" s="80" t="s">
        <v>136</v>
      </c>
      <c r="CN13" s="80">
        <v>0</v>
      </c>
      <c r="CO13" s="27">
        <v>4.9376300000000004E-4</v>
      </c>
      <c r="CP13" s="27">
        <v>5.5839485000000002E-6</v>
      </c>
      <c r="CQ13" s="27">
        <v>4.9007479999999999E-3</v>
      </c>
      <c r="CR13" s="27">
        <v>1.325617E-4</v>
      </c>
      <c r="CS13" s="27">
        <v>8.7104314000000002E-2</v>
      </c>
      <c r="CT13" s="27">
        <v>1.4287658999999999E-3</v>
      </c>
      <c r="CU13" s="27">
        <v>2.9171483182000002</v>
      </c>
      <c r="CV13" s="27">
        <v>7.6254087799999995E-2</v>
      </c>
      <c r="CW13" s="80" t="s">
        <v>136</v>
      </c>
      <c r="CX13" s="80">
        <v>0</v>
      </c>
      <c r="CY13" s="80" t="s">
        <v>136</v>
      </c>
      <c r="CZ13" s="80">
        <v>0</v>
      </c>
      <c r="DA13" s="27">
        <v>2.2672892681999999</v>
      </c>
      <c r="DB13" s="27">
        <v>4.3075901399999998E-2</v>
      </c>
      <c r="DC13" s="27">
        <v>14.581138611</v>
      </c>
      <c r="DD13" s="27">
        <v>0.80094417610000002</v>
      </c>
      <c r="DE13" s="27">
        <v>2.1268025817999998</v>
      </c>
      <c r="DF13" s="27">
        <v>0.1045958974</v>
      </c>
      <c r="DG13" s="27">
        <v>35.043406062999999</v>
      </c>
      <c r="DH13" s="92">
        <v>0.4416128071</v>
      </c>
      <c r="DI13" s="95">
        <v>2.74932E-5</v>
      </c>
      <c r="DJ13" s="96">
        <v>4.2827999999999997E-5</v>
      </c>
      <c r="DK13" s="96">
        <v>5.4986499999999999E-5</v>
      </c>
      <c r="DL13" s="96">
        <v>6.7144999999999995E-5</v>
      </c>
      <c r="DM13" s="96">
        <v>6.7144999999999995E-5</v>
      </c>
      <c r="DN13" s="96">
        <v>6.7144999999999995E-5</v>
      </c>
      <c r="DO13" s="96">
        <v>6.7144999999999995E-5</v>
      </c>
      <c r="DP13" s="96">
        <v>6.7144999999999995E-5</v>
      </c>
      <c r="DQ13" s="96">
        <v>6.7144999999999995E-5</v>
      </c>
      <c r="DR13" s="97">
        <v>6.7144999999999995E-5</v>
      </c>
      <c r="DS13" s="93">
        <v>18.085228826000002</v>
      </c>
      <c r="DT13" s="80">
        <v>0.13945069569999999</v>
      </c>
      <c r="DU13" s="80">
        <v>4.3040943871000001</v>
      </c>
      <c r="DV13" s="80">
        <v>3.6606062299999999E-2</v>
      </c>
      <c r="DW13" s="80">
        <v>0.90865637899999996</v>
      </c>
      <c r="DX13" s="80">
        <v>8.5079826999999997E-3</v>
      </c>
      <c r="DY13" s="80">
        <v>0.17929243989999999</v>
      </c>
      <c r="DZ13" s="80">
        <v>1.8788202000000001E-3</v>
      </c>
      <c r="EA13" s="80">
        <v>3.2876541500000002E-2</v>
      </c>
      <c r="EB13" s="80">
        <v>4.2818430000000001E-4</v>
      </c>
      <c r="EC13" s="80">
        <v>9.0527752E-3</v>
      </c>
      <c r="ED13" s="80">
        <v>1.5985230000000001E-4</v>
      </c>
      <c r="EE13" s="80">
        <v>2.6949101E-3</v>
      </c>
      <c r="EF13" s="80">
        <v>8.1937700000000007E-5</v>
      </c>
      <c r="EG13" s="80">
        <v>1.6834561000000001E-3</v>
      </c>
      <c r="EH13" s="80">
        <v>5.8872600000000003E-5</v>
      </c>
      <c r="EI13" s="80">
        <v>1.3448640999999999E-3</v>
      </c>
      <c r="EJ13" s="80">
        <v>4.8248399999999997E-5</v>
      </c>
      <c r="EK13" s="80">
        <v>1.0062720999999999E-3</v>
      </c>
      <c r="EL13" s="94">
        <v>3.7624199999999998E-5</v>
      </c>
    </row>
    <row r="14" spans="1:142" x14ac:dyDescent="0.2">
      <c r="A14" s="79">
        <v>900</v>
      </c>
      <c r="B14" s="27">
        <v>8464</v>
      </c>
      <c r="C14" s="79">
        <v>625.17780389999996</v>
      </c>
      <c r="D14" s="27">
        <v>848.66474832999995</v>
      </c>
      <c r="E14" s="27">
        <v>5.8813977483000004</v>
      </c>
      <c r="F14" s="27">
        <v>1.2981609599999999E-2</v>
      </c>
      <c r="G14" s="79">
        <v>1.3934446E-2</v>
      </c>
      <c r="H14" s="27">
        <v>3.5748099999999997E-5</v>
      </c>
      <c r="I14" s="27">
        <v>72.770441124000001</v>
      </c>
      <c r="J14" s="27">
        <v>0.4908697897</v>
      </c>
      <c r="K14" s="27">
        <v>24.064985289999999</v>
      </c>
      <c r="L14" s="27">
        <v>0.15510182829999999</v>
      </c>
      <c r="M14" s="27">
        <v>3.944836623</v>
      </c>
      <c r="N14" s="27">
        <v>3.7157828300000001E-2</v>
      </c>
      <c r="O14" s="80" t="s">
        <v>136</v>
      </c>
      <c r="P14" s="80">
        <v>0</v>
      </c>
      <c r="Q14" s="27">
        <v>0.4578409068</v>
      </c>
      <c r="R14" s="27">
        <v>1.6722128E-3</v>
      </c>
      <c r="S14" s="80" t="s">
        <v>136</v>
      </c>
      <c r="T14" s="80">
        <v>0</v>
      </c>
      <c r="U14" s="80" t="s">
        <v>136</v>
      </c>
      <c r="V14" s="80">
        <v>0</v>
      </c>
      <c r="W14" s="27">
        <v>7.0451641000000001E-3</v>
      </c>
      <c r="X14" s="27">
        <v>1.6751710000000001E-4</v>
      </c>
      <c r="Y14" s="27">
        <v>3.6528443237000001</v>
      </c>
      <c r="Z14" s="27">
        <v>9.4364906499999998E-2</v>
      </c>
      <c r="AA14" s="80" t="s">
        <v>136</v>
      </c>
      <c r="AB14" s="80">
        <v>0</v>
      </c>
      <c r="AC14" s="27">
        <v>0</v>
      </c>
      <c r="AD14" s="27">
        <v>0</v>
      </c>
      <c r="AE14" s="80" t="s">
        <v>136</v>
      </c>
      <c r="AF14" s="80">
        <v>0</v>
      </c>
      <c r="AG14" s="80" t="s">
        <v>136</v>
      </c>
      <c r="AH14" s="80">
        <v>0</v>
      </c>
      <c r="AI14" s="27">
        <f t="shared" si="0"/>
        <v>0</v>
      </c>
      <c r="AJ14" s="27">
        <f t="shared" si="1"/>
        <v>0</v>
      </c>
      <c r="AK14" s="27">
        <v>38.819079618000004</v>
      </c>
      <c r="AL14" s="27">
        <v>0.68542530950000002</v>
      </c>
      <c r="AM14" s="80" t="s">
        <v>136</v>
      </c>
      <c r="AN14" s="80">
        <v>0</v>
      </c>
      <c r="AO14" s="80" t="s">
        <v>136</v>
      </c>
      <c r="AP14" s="80">
        <v>0</v>
      </c>
      <c r="AQ14" s="80" t="s">
        <v>136</v>
      </c>
      <c r="AR14" s="80">
        <v>0</v>
      </c>
      <c r="AS14" s="27">
        <v>19.467586086000001</v>
      </c>
      <c r="AT14" s="27">
        <v>0.95006084410000002</v>
      </c>
      <c r="AU14" s="27">
        <v>9.1041933739999994</v>
      </c>
      <c r="AV14" s="27">
        <v>0.1106231042</v>
      </c>
      <c r="AW14" s="27">
        <v>4.7974041178000002</v>
      </c>
      <c r="AX14" s="27">
        <v>7.1591114600000005E-2</v>
      </c>
      <c r="AY14" s="27">
        <v>1.8172976589000001</v>
      </c>
      <c r="AZ14" s="27">
        <v>2.4428893399999999E-2</v>
      </c>
      <c r="BA14" s="80">
        <f t="shared" si="2"/>
        <v>2.4894915972999989</v>
      </c>
      <c r="BB14" s="80">
        <f t="shared" si="3"/>
        <v>1.4603096199999999E-2</v>
      </c>
      <c r="BC14" s="27">
        <v>0</v>
      </c>
      <c r="BD14" s="80">
        <v>0</v>
      </c>
      <c r="BE14" s="27">
        <v>41.469244943</v>
      </c>
      <c r="BF14" s="27">
        <v>0.60268339589999997</v>
      </c>
      <c r="BG14" s="79">
        <v>8.2573399999999998E-5</v>
      </c>
      <c r="BH14" s="80">
        <v>0</v>
      </c>
      <c r="BI14" s="27">
        <v>40.538176739999997</v>
      </c>
      <c r="BJ14" s="27">
        <v>1.8443466234000001</v>
      </c>
      <c r="BK14" s="27">
        <v>15.936907826000001</v>
      </c>
      <c r="BL14" s="27">
        <v>0.13832506659999999</v>
      </c>
      <c r="BM14" s="27">
        <v>5.5580345792000001</v>
      </c>
      <c r="BN14" s="27">
        <v>4.86835007E-2</v>
      </c>
      <c r="BO14" s="27">
        <v>7.7396784999999996E-3</v>
      </c>
      <c r="BP14" s="27">
        <v>1.81418E-4</v>
      </c>
      <c r="BQ14" s="27">
        <v>0</v>
      </c>
      <c r="BR14" s="92">
        <v>0</v>
      </c>
      <c r="BS14" s="80" t="s">
        <v>136</v>
      </c>
      <c r="BT14" s="80">
        <v>0</v>
      </c>
      <c r="BU14" s="27">
        <v>4.57584272E-2</v>
      </c>
      <c r="BV14" s="27">
        <v>6.8229399999999996E-4</v>
      </c>
      <c r="BW14" s="27">
        <v>3.8990781959</v>
      </c>
      <c r="BX14" s="27">
        <v>3.64755342E-2</v>
      </c>
      <c r="BY14" s="80" t="s">
        <v>136</v>
      </c>
      <c r="BZ14" s="80">
        <v>0</v>
      </c>
      <c r="CA14" s="80" t="s">
        <v>136</v>
      </c>
      <c r="CB14" s="80">
        <v>0</v>
      </c>
      <c r="CC14" s="27">
        <v>4.9773730199999998E-2</v>
      </c>
      <c r="CD14" s="27">
        <v>1.2682810000000001E-4</v>
      </c>
      <c r="CE14" s="27">
        <v>0.40806717660000003</v>
      </c>
      <c r="CF14" s="27">
        <v>1.5453846999999999E-3</v>
      </c>
      <c r="CG14" s="80" t="s">
        <v>136</v>
      </c>
      <c r="CH14" s="80">
        <v>0</v>
      </c>
      <c r="CI14" s="80" t="s">
        <v>136</v>
      </c>
      <c r="CJ14" s="80">
        <v>0</v>
      </c>
      <c r="CK14" s="80" t="s">
        <v>136</v>
      </c>
      <c r="CL14" s="80">
        <v>0</v>
      </c>
      <c r="CM14" s="80" t="s">
        <v>136</v>
      </c>
      <c r="CN14" s="80">
        <v>0</v>
      </c>
      <c r="CO14" s="27">
        <v>4.7175150000000002E-4</v>
      </c>
      <c r="CP14" s="27">
        <v>5.3350212000000004E-6</v>
      </c>
      <c r="CQ14" s="27">
        <v>6.5734126E-3</v>
      </c>
      <c r="CR14" s="27">
        <v>1.6218210000000001E-4</v>
      </c>
      <c r="CS14" s="27">
        <v>0.1033617198</v>
      </c>
      <c r="CT14" s="27">
        <v>1.5854256999999999E-3</v>
      </c>
      <c r="CU14" s="27">
        <v>3.549482604</v>
      </c>
      <c r="CV14" s="27">
        <v>9.27794807E-2</v>
      </c>
      <c r="CW14" s="80" t="s">
        <v>136</v>
      </c>
      <c r="CX14" s="80">
        <v>0</v>
      </c>
      <c r="CY14" s="80" t="s">
        <v>136</v>
      </c>
      <c r="CZ14" s="80">
        <v>0</v>
      </c>
      <c r="DA14" s="27">
        <v>2.8337487218000001</v>
      </c>
      <c r="DB14" s="27">
        <v>5.1185331299999998E-2</v>
      </c>
      <c r="DC14" s="27">
        <v>16.633837364000001</v>
      </c>
      <c r="DD14" s="27">
        <v>0.8988755128</v>
      </c>
      <c r="DE14" s="27">
        <v>2.5092672670999998</v>
      </c>
      <c r="DF14" s="27">
        <v>0.12096543899999999</v>
      </c>
      <c r="DG14" s="27">
        <v>38.959977676000001</v>
      </c>
      <c r="DH14" s="92">
        <v>0.48171795690000002</v>
      </c>
      <c r="DI14" s="95">
        <v>3.5748099999999997E-5</v>
      </c>
      <c r="DJ14" s="96">
        <v>6.0418799999999998E-5</v>
      </c>
      <c r="DK14" s="96">
        <v>7.1496100000000001E-5</v>
      </c>
      <c r="DL14" s="96">
        <v>8.2573399999999998E-5</v>
      </c>
      <c r="DM14" s="96">
        <v>8.2573399999999998E-5</v>
      </c>
      <c r="DN14" s="96">
        <v>8.2573399999999998E-5</v>
      </c>
      <c r="DO14" s="96">
        <v>8.2573399999999998E-5</v>
      </c>
      <c r="DP14" s="96">
        <v>8.2573399999999998E-5</v>
      </c>
      <c r="DQ14" s="96">
        <v>8.2573399999999998E-5</v>
      </c>
      <c r="DR14" s="97">
        <v>8.2573399999999998E-5</v>
      </c>
      <c r="DS14" s="93">
        <v>21.678604790000001</v>
      </c>
      <c r="DT14" s="80">
        <v>0.1638691327</v>
      </c>
      <c r="DU14" s="80">
        <v>5.6900574550999998</v>
      </c>
      <c r="DV14" s="80">
        <v>4.6984235899999997E-2</v>
      </c>
      <c r="DW14" s="80">
        <v>1.3415772473000001</v>
      </c>
      <c r="DX14" s="80">
        <v>1.20906151E-2</v>
      </c>
      <c r="DY14" s="80">
        <v>0.28901623799999998</v>
      </c>
      <c r="DZ14" s="80">
        <v>2.8743541E-3</v>
      </c>
      <c r="EA14" s="80">
        <v>5.56500641E-2</v>
      </c>
      <c r="EB14" s="80">
        <v>6.5557669999999997E-4</v>
      </c>
      <c r="EC14" s="80">
        <v>1.5669875600000001E-2</v>
      </c>
      <c r="ED14" s="80">
        <v>2.2192239999999999E-4</v>
      </c>
      <c r="EE14" s="80">
        <v>4.2552668999999996E-3</v>
      </c>
      <c r="EF14" s="80">
        <v>9.7385800000000005E-5</v>
      </c>
      <c r="EG14" s="80">
        <v>2.2224721000000001E-3</v>
      </c>
      <c r="EH14" s="80">
        <v>6.3493799999999998E-5</v>
      </c>
      <c r="EI14" s="80">
        <v>1.2982043E-3</v>
      </c>
      <c r="EJ14" s="80">
        <v>4.6579799999999997E-5</v>
      </c>
      <c r="EK14" s="80">
        <v>9.7061309999999998E-4</v>
      </c>
      <c r="EL14" s="94">
        <v>3.63087E-5</v>
      </c>
    </row>
    <row r="15" spans="1:142" x14ac:dyDescent="0.2">
      <c r="A15" s="79">
        <v>1000</v>
      </c>
      <c r="B15" s="27">
        <v>7844</v>
      </c>
      <c r="C15" s="79">
        <v>681.38229367999998</v>
      </c>
      <c r="D15" s="27">
        <v>949.80544294000003</v>
      </c>
      <c r="E15" s="27">
        <v>7.5299231021999997</v>
      </c>
      <c r="F15" s="27">
        <v>1.5351598100000001E-2</v>
      </c>
      <c r="G15" s="79">
        <v>2.7073183300000001E-2</v>
      </c>
      <c r="H15" s="27">
        <v>5.2060900000000002E-5</v>
      </c>
      <c r="I15" s="27">
        <v>79.018491544</v>
      </c>
      <c r="J15" s="27">
        <v>0.52988130870000005</v>
      </c>
      <c r="K15" s="27">
        <v>26.633512654</v>
      </c>
      <c r="L15" s="27">
        <v>0.16984216099999999</v>
      </c>
      <c r="M15" s="27">
        <v>4.4935524479</v>
      </c>
      <c r="N15" s="27">
        <v>4.1678778E-2</v>
      </c>
      <c r="O15" s="80" t="s">
        <v>136</v>
      </c>
      <c r="P15" s="80">
        <v>0</v>
      </c>
      <c r="Q15" s="27">
        <v>0.64812032409999998</v>
      </c>
      <c r="R15" s="27">
        <v>2.1453321999999999E-3</v>
      </c>
      <c r="S15" s="80" t="s">
        <v>136</v>
      </c>
      <c r="T15" s="80">
        <v>0</v>
      </c>
      <c r="U15" s="80" t="s">
        <v>136</v>
      </c>
      <c r="V15" s="80">
        <v>0</v>
      </c>
      <c r="W15" s="27">
        <v>1.8021487999999999E-2</v>
      </c>
      <c r="X15" s="27">
        <v>2.7747150000000001E-4</v>
      </c>
      <c r="Y15" s="27">
        <v>4.3059113433</v>
      </c>
      <c r="Z15" s="27">
        <v>0.1114872118</v>
      </c>
      <c r="AA15" s="80" t="s">
        <v>136</v>
      </c>
      <c r="AB15" s="80">
        <v>0</v>
      </c>
      <c r="AC15" s="27">
        <v>0</v>
      </c>
      <c r="AD15" s="27">
        <v>0</v>
      </c>
      <c r="AE15" s="80" t="s">
        <v>136</v>
      </c>
      <c r="AF15" s="80">
        <v>0</v>
      </c>
      <c r="AG15" s="80" t="s">
        <v>136</v>
      </c>
      <c r="AH15" s="80">
        <v>0</v>
      </c>
      <c r="AI15" s="27">
        <f t="shared" si="0"/>
        <v>0</v>
      </c>
      <c r="AJ15" s="27">
        <f t="shared" si="1"/>
        <v>0</v>
      </c>
      <c r="AK15" s="27">
        <v>42.989378842000001</v>
      </c>
      <c r="AL15" s="27">
        <v>0.75305865029999997</v>
      </c>
      <c r="AM15" s="80" t="s">
        <v>136</v>
      </c>
      <c r="AN15" s="80">
        <v>0</v>
      </c>
      <c r="AO15" s="80" t="s">
        <v>136</v>
      </c>
      <c r="AP15" s="80">
        <v>0</v>
      </c>
      <c r="AQ15" s="80" t="s">
        <v>136</v>
      </c>
      <c r="AR15" s="80">
        <v>0</v>
      </c>
      <c r="AS15" s="27">
        <v>22.058796022999999</v>
      </c>
      <c r="AT15" s="27">
        <v>1.0503333876000001</v>
      </c>
      <c r="AU15" s="27">
        <v>10.693406508000001</v>
      </c>
      <c r="AV15" s="27">
        <v>0.12544636209999999</v>
      </c>
      <c r="AW15" s="27">
        <v>5.5761547539</v>
      </c>
      <c r="AX15" s="27">
        <v>8.1178603899999993E-2</v>
      </c>
      <c r="AY15" s="27">
        <v>2.0723965670000002</v>
      </c>
      <c r="AZ15" s="27">
        <v>2.68939861E-2</v>
      </c>
      <c r="BA15" s="80">
        <f t="shared" si="2"/>
        <v>3.0448551871000005</v>
      </c>
      <c r="BB15" s="80">
        <f t="shared" si="3"/>
        <v>1.737377209999999E-2</v>
      </c>
      <c r="BC15" s="27">
        <v>0</v>
      </c>
      <c r="BD15" s="80">
        <v>0</v>
      </c>
      <c r="BE15" s="27">
        <v>45.848340215</v>
      </c>
      <c r="BF15" s="27">
        <v>0.65770406039999996</v>
      </c>
      <c r="BG15" s="79">
        <v>1.0110100000000001E-4</v>
      </c>
      <c r="BH15" s="80">
        <v>0</v>
      </c>
      <c r="BI15" s="27">
        <v>45.053086983999997</v>
      </c>
      <c r="BJ15" s="27">
        <v>2.0065304850999999</v>
      </c>
      <c r="BK15" s="27">
        <v>19.118424544</v>
      </c>
      <c r="BL15" s="27">
        <v>0.16402688779999999</v>
      </c>
      <c r="BM15" s="27">
        <v>6.5270784390000003</v>
      </c>
      <c r="BN15" s="27">
        <v>5.46435485E-2</v>
      </c>
      <c r="BO15" s="27">
        <v>7.3511836999999997E-3</v>
      </c>
      <c r="BP15" s="27">
        <v>1.6941450000000001E-4</v>
      </c>
      <c r="BQ15" s="27">
        <v>0</v>
      </c>
      <c r="BR15" s="92">
        <v>0</v>
      </c>
      <c r="BS15" s="80" t="s">
        <v>136</v>
      </c>
      <c r="BT15" s="80">
        <v>0</v>
      </c>
      <c r="BU15" s="27">
        <v>5.2924839500000001E-2</v>
      </c>
      <c r="BV15" s="27">
        <v>8.6655290000000002E-4</v>
      </c>
      <c r="BW15" s="27">
        <v>4.4406276083999998</v>
      </c>
      <c r="BX15" s="27">
        <v>4.0812225100000002E-2</v>
      </c>
      <c r="BY15" s="80" t="s">
        <v>136</v>
      </c>
      <c r="BZ15" s="80">
        <v>0</v>
      </c>
      <c r="CA15" s="80" t="s">
        <v>136</v>
      </c>
      <c r="CB15" s="80">
        <v>0</v>
      </c>
      <c r="CC15" s="27">
        <v>6.8402257499999994E-2</v>
      </c>
      <c r="CD15" s="27">
        <v>1.8695619999999999E-4</v>
      </c>
      <c r="CE15" s="27">
        <v>0.57971806660000003</v>
      </c>
      <c r="CF15" s="27">
        <v>1.958376E-3</v>
      </c>
      <c r="CG15" s="80" t="s">
        <v>136</v>
      </c>
      <c r="CH15" s="80">
        <v>0</v>
      </c>
      <c r="CI15" s="80" t="s">
        <v>136</v>
      </c>
      <c r="CJ15" s="80">
        <v>0</v>
      </c>
      <c r="CK15" s="80" t="s">
        <v>136</v>
      </c>
      <c r="CL15" s="80">
        <v>0</v>
      </c>
      <c r="CM15" s="80" t="s">
        <v>136</v>
      </c>
      <c r="CN15" s="80">
        <v>0</v>
      </c>
      <c r="CO15" s="27">
        <v>1.5754555000000001E-3</v>
      </c>
      <c r="CP15" s="27">
        <v>1.58459E-5</v>
      </c>
      <c r="CQ15" s="27">
        <v>1.64460326E-2</v>
      </c>
      <c r="CR15" s="27">
        <v>2.616257E-4</v>
      </c>
      <c r="CS15" s="27">
        <v>0.1208347535</v>
      </c>
      <c r="CT15" s="27">
        <v>1.6953287000000001E-3</v>
      </c>
      <c r="CU15" s="27">
        <v>4.1850765898000004</v>
      </c>
      <c r="CV15" s="27">
        <v>0.1097918831</v>
      </c>
      <c r="CW15" s="80" t="s">
        <v>136</v>
      </c>
      <c r="CX15" s="80">
        <v>0</v>
      </c>
      <c r="CY15" s="80" t="s">
        <v>136</v>
      </c>
      <c r="CZ15" s="80">
        <v>0</v>
      </c>
      <c r="DA15" s="27">
        <v>3.4749058242999999</v>
      </c>
      <c r="DB15" s="27">
        <v>6.0520971700000002E-2</v>
      </c>
      <c r="DC15" s="27">
        <v>18.583890198999999</v>
      </c>
      <c r="DD15" s="27">
        <v>0.98981241600000003</v>
      </c>
      <c r="DE15" s="27">
        <v>2.9515039926000002</v>
      </c>
      <c r="DF15" s="27">
        <v>0.13809298610000001</v>
      </c>
      <c r="DG15" s="27">
        <v>42.896836221999997</v>
      </c>
      <c r="DH15" s="92">
        <v>0.51961107429999998</v>
      </c>
      <c r="DI15" s="95">
        <v>5.2060900000000002E-5</v>
      </c>
      <c r="DJ15" s="96">
        <v>8.0550700000000001E-5</v>
      </c>
      <c r="DK15" s="96">
        <v>9.08258E-5</v>
      </c>
      <c r="DL15" s="96">
        <v>1.0110100000000001E-4</v>
      </c>
      <c r="DM15" s="96">
        <v>1.0110100000000001E-4</v>
      </c>
      <c r="DN15" s="96">
        <v>1.0110100000000001E-4</v>
      </c>
      <c r="DO15" s="96">
        <v>1.0110100000000001E-4</v>
      </c>
      <c r="DP15" s="96">
        <v>1.0110100000000001E-4</v>
      </c>
      <c r="DQ15" s="96">
        <v>1.0110100000000001E-4</v>
      </c>
      <c r="DR15" s="97">
        <v>1.0110100000000001E-4</v>
      </c>
      <c r="DS15" s="93">
        <v>25.104697263999999</v>
      </c>
      <c r="DT15" s="80">
        <v>0.1872156888</v>
      </c>
      <c r="DU15" s="80">
        <v>7.1891772332999997</v>
      </c>
      <c r="DV15" s="80">
        <v>5.8213265200000003E-2</v>
      </c>
      <c r="DW15" s="80">
        <v>1.9021241755</v>
      </c>
      <c r="DX15" s="80">
        <v>1.6755639900000001E-2</v>
      </c>
      <c r="DY15" s="80">
        <v>0.4782099528</v>
      </c>
      <c r="DZ15" s="80">
        <v>4.6798754000000001E-3</v>
      </c>
      <c r="EA15" s="80">
        <v>0.1161905054</v>
      </c>
      <c r="EB15" s="80">
        <v>1.3627623999999999E-3</v>
      </c>
      <c r="EC15" s="80">
        <v>3.7647503499999999E-2</v>
      </c>
      <c r="ED15" s="80">
        <v>5.5755020000000004E-4</v>
      </c>
      <c r="EE15" s="80">
        <v>1.36479514E-2</v>
      </c>
      <c r="EF15" s="80">
        <v>2.883594E-4</v>
      </c>
      <c r="EG15" s="80">
        <v>5.4661233000000004E-3</v>
      </c>
      <c r="EH15" s="80">
        <v>1.721069E-4</v>
      </c>
      <c r="EI15" s="80">
        <v>3.2077799999999999E-3</v>
      </c>
      <c r="EJ15" s="80">
        <v>1.2949049999999999E-4</v>
      </c>
      <c r="EK15" s="80">
        <v>2.2848649E-3</v>
      </c>
      <c r="EL15" s="94">
        <v>1.0120560000000001E-4</v>
      </c>
    </row>
    <row r="16" spans="1:142" x14ac:dyDescent="0.2">
      <c r="A16" s="79">
        <v>1100</v>
      </c>
      <c r="B16" s="27">
        <v>7084</v>
      </c>
      <c r="C16" s="79">
        <v>735.50090163000004</v>
      </c>
      <c r="D16" s="27">
        <v>1049.1212513999999</v>
      </c>
      <c r="E16" s="27">
        <v>9.1336697758999996</v>
      </c>
      <c r="F16" s="27">
        <v>1.7558617299999999E-2</v>
      </c>
      <c r="G16" s="79">
        <v>4.3409578999999997E-2</v>
      </c>
      <c r="H16" s="27">
        <v>7.0861199999999998E-5</v>
      </c>
      <c r="I16" s="27">
        <v>84.686784289000002</v>
      </c>
      <c r="J16" s="27">
        <v>0.56523062810000002</v>
      </c>
      <c r="K16" s="27">
        <v>28.952074564</v>
      </c>
      <c r="L16" s="27">
        <v>0.18362123799999999</v>
      </c>
      <c r="M16" s="27">
        <v>5.0852819079999998</v>
      </c>
      <c r="N16" s="27">
        <v>4.6942140600000001E-2</v>
      </c>
      <c r="O16" s="80" t="s">
        <v>136</v>
      </c>
      <c r="P16" s="80">
        <v>0</v>
      </c>
      <c r="Q16" s="27">
        <v>0.90700785510000004</v>
      </c>
      <c r="R16" s="27">
        <v>2.7969659000000001E-3</v>
      </c>
      <c r="S16" s="80" t="s">
        <v>136</v>
      </c>
      <c r="T16" s="80">
        <v>0</v>
      </c>
      <c r="U16" s="80" t="s">
        <v>136</v>
      </c>
      <c r="V16" s="80">
        <v>0</v>
      </c>
      <c r="W16" s="27">
        <v>2.0481542500000002E-2</v>
      </c>
      <c r="X16" s="27">
        <v>2.884653E-4</v>
      </c>
      <c r="Y16" s="27">
        <v>4.9252216873999997</v>
      </c>
      <c r="Z16" s="27">
        <v>0.12620809450000001</v>
      </c>
      <c r="AA16" s="80" t="s">
        <v>136</v>
      </c>
      <c r="AB16" s="80">
        <v>0</v>
      </c>
      <c r="AC16" s="27">
        <v>0</v>
      </c>
      <c r="AD16" s="27">
        <v>0</v>
      </c>
      <c r="AE16" s="80" t="s">
        <v>136</v>
      </c>
      <c r="AF16" s="80">
        <v>0</v>
      </c>
      <c r="AG16" s="80" t="s">
        <v>136</v>
      </c>
      <c r="AH16" s="80">
        <v>0</v>
      </c>
      <c r="AI16" s="27">
        <f t="shared" si="0"/>
        <v>0</v>
      </c>
      <c r="AJ16" s="27">
        <f t="shared" si="1"/>
        <v>0</v>
      </c>
      <c r="AK16" s="27">
        <v>47.184709933000001</v>
      </c>
      <c r="AL16" s="27">
        <v>0.81767936959999998</v>
      </c>
      <c r="AM16" s="80" t="s">
        <v>136</v>
      </c>
      <c r="AN16" s="80">
        <v>0</v>
      </c>
      <c r="AO16" s="80" t="s">
        <v>136</v>
      </c>
      <c r="AP16" s="80">
        <v>0</v>
      </c>
      <c r="AQ16" s="80" t="s">
        <v>136</v>
      </c>
      <c r="AR16" s="80">
        <v>0</v>
      </c>
      <c r="AS16" s="27">
        <v>24.551657418000001</v>
      </c>
      <c r="AT16" s="27">
        <v>1.1449933676999999</v>
      </c>
      <c r="AU16" s="27">
        <v>12.281102736999999</v>
      </c>
      <c r="AV16" s="27">
        <v>0.1393868228</v>
      </c>
      <c r="AW16" s="27">
        <v>6.3732106219000002</v>
      </c>
      <c r="AX16" s="27">
        <v>9.0135126900000001E-2</v>
      </c>
      <c r="AY16" s="27">
        <v>2.3083546200999998</v>
      </c>
      <c r="AZ16" s="27">
        <v>2.9258290100000001E-2</v>
      </c>
      <c r="BA16" s="80">
        <f t="shared" si="2"/>
        <v>3.5995374949999999</v>
      </c>
      <c r="BB16" s="80">
        <f t="shared" si="3"/>
        <v>1.9993405800000003E-2</v>
      </c>
      <c r="BC16" s="27">
        <v>0</v>
      </c>
      <c r="BD16" s="80">
        <v>0</v>
      </c>
      <c r="BE16" s="27">
        <v>49.903083842999997</v>
      </c>
      <c r="BF16" s="27">
        <v>0.70859957269999996</v>
      </c>
      <c r="BG16" s="79">
        <v>1.345656E-4</v>
      </c>
      <c r="BH16" s="80">
        <v>0</v>
      </c>
      <c r="BI16" s="27">
        <v>49.377420813000001</v>
      </c>
      <c r="BJ16" s="27">
        <v>2.1588439208999999</v>
      </c>
      <c r="BK16" s="27">
        <v>22.609713553999999</v>
      </c>
      <c r="BL16" s="27">
        <v>0.19202947549999999</v>
      </c>
      <c r="BM16" s="27">
        <v>7.5493147261000004</v>
      </c>
      <c r="BN16" s="27">
        <v>6.1763193500000001E-2</v>
      </c>
      <c r="BO16" s="27">
        <v>7.3639830000000002E-3</v>
      </c>
      <c r="BP16" s="27">
        <v>1.6206949999999999E-4</v>
      </c>
      <c r="BQ16" s="27">
        <v>0</v>
      </c>
      <c r="BR16" s="92">
        <v>0</v>
      </c>
      <c r="BS16" s="80" t="s">
        <v>136</v>
      </c>
      <c r="BT16" s="80">
        <v>0</v>
      </c>
      <c r="BU16" s="27">
        <v>7.6782570100000003E-2</v>
      </c>
      <c r="BV16" s="27">
        <v>1.1601029E-3</v>
      </c>
      <c r="BW16" s="27">
        <v>5.0084993379</v>
      </c>
      <c r="BX16" s="27">
        <v>4.57820377E-2</v>
      </c>
      <c r="BY16" s="80" t="s">
        <v>136</v>
      </c>
      <c r="BZ16" s="80">
        <v>0</v>
      </c>
      <c r="CA16" s="80" t="s">
        <v>136</v>
      </c>
      <c r="CB16" s="80">
        <v>0</v>
      </c>
      <c r="CC16" s="27">
        <v>0.1234281785</v>
      </c>
      <c r="CD16" s="27">
        <v>2.80559E-4</v>
      </c>
      <c r="CE16" s="27">
        <v>0.78357967660000005</v>
      </c>
      <c r="CF16" s="27">
        <v>2.5164069E-3</v>
      </c>
      <c r="CG16" s="80" t="s">
        <v>136</v>
      </c>
      <c r="CH16" s="80">
        <v>0</v>
      </c>
      <c r="CI16" s="80" t="s">
        <v>136</v>
      </c>
      <c r="CJ16" s="80">
        <v>0</v>
      </c>
      <c r="CK16" s="80" t="s">
        <v>136</v>
      </c>
      <c r="CL16" s="80">
        <v>0</v>
      </c>
      <c r="CM16" s="80" t="s">
        <v>136</v>
      </c>
      <c r="CN16" s="80">
        <v>0</v>
      </c>
      <c r="CO16" s="27">
        <v>1.4927787E-3</v>
      </c>
      <c r="CP16" s="27">
        <v>1.50315E-5</v>
      </c>
      <c r="CQ16" s="27">
        <v>1.8988763799999999E-2</v>
      </c>
      <c r="CR16" s="27">
        <v>2.7343380000000001E-4</v>
      </c>
      <c r="CS16" s="27">
        <v>0.1520923814</v>
      </c>
      <c r="CT16" s="27">
        <v>1.9986362999999999E-3</v>
      </c>
      <c r="CU16" s="27">
        <v>4.7731293059000004</v>
      </c>
      <c r="CV16" s="27">
        <v>0.1242094582</v>
      </c>
      <c r="CW16" s="80" t="s">
        <v>136</v>
      </c>
      <c r="CX16" s="80">
        <v>0</v>
      </c>
      <c r="CY16" s="80" t="s">
        <v>136</v>
      </c>
      <c r="CZ16" s="80">
        <v>0</v>
      </c>
      <c r="DA16" s="27">
        <v>4.0277284527999999</v>
      </c>
      <c r="DB16" s="27">
        <v>6.8677745799999995E-2</v>
      </c>
      <c r="DC16" s="27">
        <v>20.523928966</v>
      </c>
      <c r="DD16" s="27">
        <v>1.0763156219000001</v>
      </c>
      <c r="DE16" s="27">
        <v>3.3013642386000002</v>
      </c>
      <c r="DF16" s="27">
        <v>0.1531380172</v>
      </c>
      <c r="DG16" s="27">
        <v>46.601719604000003</v>
      </c>
      <c r="DH16" s="92">
        <v>0.55546155549999998</v>
      </c>
      <c r="DI16" s="95">
        <v>7.0861199999999998E-5</v>
      </c>
      <c r="DJ16" s="96">
        <v>1.1025169999999999E-4</v>
      </c>
      <c r="DK16" s="96">
        <v>1.2492300000000001E-4</v>
      </c>
      <c r="DL16" s="96">
        <v>1.345656E-4</v>
      </c>
      <c r="DM16" s="96">
        <v>1.345656E-4</v>
      </c>
      <c r="DN16" s="96">
        <v>1.345656E-4</v>
      </c>
      <c r="DO16" s="96">
        <v>1.345656E-4</v>
      </c>
      <c r="DP16" s="96">
        <v>1.345656E-4</v>
      </c>
      <c r="DQ16" s="96">
        <v>1.345656E-4</v>
      </c>
      <c r="DR16" s="97">
        <v>1.345656E-4</v>
      </c>
      <c r="DS16" s="93">
        <v>28.350872120999998</v>
      </c>
      <c r="DT16" s="80">
        <v>0.20919463839999999</v>
      </c>
      <c r="DU16" s="80">
        <v>8.6789965509999991</v>
      </c>
      <c r="DV16" s="80">
        <v>6.91781484E-2</v>
      </c>
      <c r="DW16" s="80">
        <v>2.4668688283</v>
      </c>
      <c r="DX16" s="80">
        <v>2.1312780900000002E-2</v>
      </c>
      <c r="DY16" s="80">
        <v>0.66227276960000003</v>
      </c>
      <c r="DZ16" s="80">
        <v>6.3632515000000001E-3</v>
      </c>
      <c r="EA16" s="80">
        <v>0.17144528310000001</v>
      </c>
      <c r="EB16" s="80">
        <v>1.9837918000000002E-3</v>
      </c>
      <c r="EC16" s="80">
        <v>5.2485665100000002E-2</v>
      </c>
      <c r="ED16" s="80">
        <v>8.1129119999999997E-4</v>
      </c>
      <c r="EE16" s="80">
        <v>2.0624416100000001E-2</v>
      </c>
      <c r="EF16" s="80">
        <v>4.5207469999999998E-4</v>
      </c>
      <c r="EG16" s="80">
        <v>9.1418907000000004E-3</v>
      </c>
      <c r="EH16" s="80">
        <v>2.8678930000000002E-4</v>
      </c>
      <c r="EI16" s="80">
        <v>5.5213776999999999E-3</v>
      </c>
      <c r="EJ16" s="80">
        <v>2.144506E-4</v>
      </c>
      <c r="EK16" s="80">
        <v>3.6968066000000002E-3</v>
      </c>
      <c r="EL16" s="94">
        <v>1.6586690000000001E-4</v>
      </c>
    </row>
    <row r="17" spans="1:142" x14ac:dyDescent="0.2">
      <c r="A17" s="79">
        <v>1200</v>
      </c>
      <c r="B17" s="27">
        <v>6572</v>
      </c>
      <c r="C17" s="79">
        <v>787.89705530000003</v>
      </c>
      <c r="D17" s="27">
        <v>1149.7510745</v>
      </c>
      <c r="E17" s="27">
        <v>10.899816577999999</v>
      </c>
      <c r="F17" s="27">
        <v>1.97427287E-2</v>
      </c>
      <c r="G17" s="79">
        <v>6.9681881799999998E-2</v>
      </c>
      <c r="H17" s="27">
        <v>9.4801600000000004E-5</v>
      </c>
      <c r="I17" s="27">
        <v>89.672904220000007</v>
      </c>
      <c r="J17" s="27">
        <v>0.59654077309999998</v>
      </c>
      <c r="K17" s="27">
        <v>31.355275065000001</v>
      </c>
      <c r="L17" s="27">
        <v>0.19781953290000001</v>
      </c>
      <c r="M17" s="27">
        <v>5.7665576927000002</v>
      </c>
      <c r="N17" s="27">
        <v>5.3093098200000001E-2</v>
      </c>
      <c r="O17" s="80" t="s">
        <v>136</v>
      </c>
      <c r="P17" s="80">
        <v>0</v>
      </c>
      <c r="Q17" s="27">
        <v>1.1757086901</v>
      </c>
      <c r="R17" s="27">
        <v>3.3336603000000001E-3</v>
      </c>
      <c r="S17" s="80" t="s">
        <v>136</v>
      </c>
      <c r="T17" s="80">
        <v>0</v>
      </c>
      <c r="U17" s="80" t="s">
        <v>136</v>
      </c>
      <c r="V17" s="80">
        <v>0</v>
      </c>
      <c r="W17" s="27">
        <v>4.0661368900000001E-2</v>
      </c>
      <c r="X17" s="27">
        <v>4.9565980000000002E-4</v>
      </c>
      <c r="Y17" s="27">
        <v>5.5798934753999996</v>
      </c>
      <c r="Z17" s="27">
        <v>0.14263107019999999</v>
      </c>
      <c r="AA17" s="80" t="s">
        <v>136</v>
      </c>
      <c r="AB17" s="80">
        <v>0</v>
      </c>
      <c r="AC17" s="27">
        <v>0</v>
      </c>
      <c r="AD17" s="27">
        <v>0</v>
      </c>
      <c r="AE17" s="80" t="s">
        <v>136</v>
      </c>
      <c r="AF17" s="80">
        <v>0</v>
      </c>
      <c r="AG17" s="80" t="s">
        <v>136</v>
      </c>
      <c r="AH17" s="80">
        <v>0</v>
      </c>
      <c r="AI17" s="27">
        <f t="shared" si="0"/>
        <v>0</v>
      </c>
      <c r="AJ17" s="27">
        <f t="shared" si="1"/>
        <v>0</v>
      </c>
      <c r="AK17" s="27">
        <v>51.045914510000003</v>
      </c>
      <c r="AL17" s="27">
        <v>0.87717059070000003</v>
      </c>
      <c r="AM17" s="80" t="s">
        <v>136</v>
      </c>
      <c r="AN17" s="80">
        <v>0</v>
      </c>
      <c r="AO17" s="80" t="s">
        <v>136</v>
      </c>
      <c r="AP17" s="80">
        <v>0</v>
      </c>
      <c r="AQ17" s="80" t="s">
        <v>136</v>
      </c>
      <c r="AR17" s="80">
        <v>0</v>
      </c>
      <c r="AS17" s="27">
        <v>26.836430492000002</v>
      </c>
      <c r="AT17" s="27">
        <v>1.2291215888</v>
      </c>
      <c r="AU17" s="27">
        <v>14.021283613</v>
      </c>
      <c r="AV17" s="27">
        <v>0.15317196280000001</v>
      </c>
      <c r="AW17" s="27">
        <v>7.2341462479</v>
      </c>
      <c r="AX17" s="27">
        <v>9.9020624400000007E-2</v>
      </c>
      <c r="AY17" s="27">
        <v>2.5639047407</v>
      </c>
      <c r="AZ17" s="27">
        <v>3.1363192999999998E-2</v>
      </c>
      <c r="BA17" s="80">
        <f t="shared" si="2"/>
        <v>4.2232326243999996</v>
      </c>
      <c r="BB17" s="80">
        <f t="shared" si="3"/>
        <v>2.2788145400000015E-2</v>
      </c>
      <c r="BC17" s="27">
        <v>0</v>
      </c>
      <c r="BD17" s="80">
        <v>0</v>
      </c>
      <c r="BE17" s="27">
        <v>53.939589380000001</v>
      </c>
      <c r="BF17" s="27">
        <v>0.75796168100000005</v>
      </c>
      <c r="BG17" s="79">
        <v>1.8470410000000001E-4</v>
      </c>
      <c r="BH17" s="80">
        <v>0</v>
      </c>
      <c r="BI17" s="27">
        <v>53.661124944999997</v>
      </c>
      <c r="BJ17" s="27">
        <v>2.3037388272000001</v>
      </c>
      <c r="BK17" s="27">
        <v>26.214631657999998</v>
      </c>
      <c r="BL17" s="27">
        <v>0.22059835089999999</v>
      </c>
      <c r="BM17" s="27">
        <v>8.5373128769999997</v>
      </c>
      <c r="BN17" s="27">
        <v>6.8341523900000006E-2</v>
      </c>
      <c r="BO17" s="27">
        <v>1.43368582E-2</v>
      </c>
      <c r="BP17" s="27">
        <v>1.954863E-4</v>
      </c>
      <c r="BQ17" s="27">
        <v>0</v>
      </c>
      <c r="BR17" s="92">
        <v>0</v>
      </c>
      <c r="BS17" s="80" t="s">
        <v>136</v>
      </c>
      <c r="BT17" s="80">
        <v>0</v>
      </c>
      <c r="BU17" s="27">
        <v>8.0642265300000002E-2</v>
      </c>
      <c r="BV17" s="27">
        <v>1.2119495000000001E-3</v>
      </c>
      <c r="BW17" s="27">
        <v>5.6859154274000003</v>
      </c>
      <c r="BX17" s="27">
        <v>5.1881148699999997E-2</v>
      </c>
      <c r="BY17" s="80" t="s">
        <v>136</v>
      </c>
      <c r="BZ17" s="80">
        <v>0</v>
      </c>
      <c r="CA17" s="80" t="s">
        <v>136</v>
      </c>
      <c r="CB17" s="80">
        <v>0</v>
      </c>
      <c r="CC17" s="27">
        <v>0.1786261163</v>
      </c>
      <c r="CD17" s="27">
        <v>3.5876879999999998E-4</v>
      </c>
      <c r="CE17" s="27">
        <v>0.99708257379999998</v>
      </c>
      <c r="CF17" s="27">
        <v>2.9748915000000001E-3</v>
      </c>
      <c r="CG17" s="80" t="s">
        <v>136</v>
      </c>
      <c r="CH17" s="80">
        <v>0</v>
      </c>
      <c r="CI17" s="80" t="s">
        <v>136</v>
      </c>
      <c r="CJ17" s="80">
        <v>0</v>
      </c>
      <c r="CK17" s="80" t="s">
        <v>136</v>
      </c>
      <c r="CL17" s="80">
        <v>0</v>
      </c>
      <c r="CM17" s="80" t="s">
        <v>136</v>
      </c>
      <c r="CN17" s="80">
        <v>0</v>
      </c>
      <c r="CO17" s="27">
        <v>4.3430695000000004E-3</v>
      </c>
      <c r="CP17" s="27">
        <v>6.6900099999999993E-5</v>
      </c>
      <c r="CQ17" s="27">
        <v>3.6318299399999997E-2</v>
      </c>
      <c r="CR17" s="27">
        <v>4.2875980000000002E-4</v>
      </c>
      <c r="CS17" s="27">
        <v>0.1589672593</v>
      </c>
      <c r="CT17" s="27">
        <v>2.0437464000000001E-3</v>
      </c>
      <c r="CU17" s="27">
        <v>5.4209262160999998</v>
      </c>
      <c r="CV17" s="27">
        <v>0.1405873238</v>
      </c>
      <c r="CW17" s="80" t="s">
        <v>136</v>
      </c>
      <c r="CX17" s="80">
        <v>0</v>
      </c>
      <c r="CY17" s="80" t="s">
        <v>136</v>
      </c>
      <c r="CZ17" s="80">
        <v>0</v>
      </c>
      <c r="DA17" s="27">
        <v>4.5764272727000002</v>
      </c>
      <c r="DB17" s="27">
        <v>7.6488794900000004E-2</v>
      </c>
      <c r="DC17" s="27">
        <v>22.260003220000002</v>
      </c>
      <c r="DD17" s="27">
        <v>1.1526327939000001</v>
      </c>
      <c r="DE17" s="27">
        <v>3.7710956810999998</v>
      </c>
      <c r="DF17" s="27">
        <v>0.17038227089999999</v>
      </c>
      <c r="DG17" s="27">
        <v>50.168493697999999</v>
      </c>
      <c r="DH17" s="92">
        <v>0.58757941010000003</v>
      </c>
      <c r="DI17" s="95">
        <v>9.4801600000000004E-5</v>
      </c>
      <c r="DJ17" s="96">
        <v>1.423703E-4</v>
      </c>
      <c r="DK17" s="96">
        <v>1.5865590000000001E-4</v>
      </c>
      <c r="DL17" s="96">
        <v>1.701982E-4</v>
      </c>
      <c r="DM17" s="96">
        <v>1.726159E-4</v>
      </c>
      <c r="DN17" s="96">
        <v>1.7503350000000001E-4</v>
      </c>
      <c r="DO17" s="96">
        <v>1.7745120000000001E-4</v>
      </c>
      <c r="DP17" s="96">
        <v>1.7986879999999999E-4</v>
      </c>
      <c r="DQ17" s="96">
        <v>1.8228640000000001E-4</v>
      </c>
      <c r="DR17" s="97">
        <v>1.8470410000000001E-4</v>
      </c>
      <c r="DS17" s="93">
        <v>31.330950304000002</v>
      </c>
      <c r="DT17" s="80">
        <v>0.2291640908</v>
      </c>
      <c r="DU17" s="80">
        <v>10.135031811999999</v>
      </c>
      <c r="DV17" s="80">
        <v>7.9573952200000006E-2</v>
      </c>
      <c r="DW17" s="80">
        <v>3.0728164048000002</v>
      </c>
      <c r="DX17" s="80">
        <v>2.5903200500000001E-2</v>
      </c>
      <c r="DY17" s="80">
        <v>0.87766984930000003</v>
      </c>
      <c r="DZ17" s="80">
        <v>8.1161818000000004E-3</v>
      </c>
      <c r="EA17" s="80">
        <v>0.24557417200000001</v>
      </c>
      <c r="EB17" s="80">
        <v>2.6052243999999999E-3</v>
      </c>
      <c r="EC17" s="80">
        <v>7.4778586199999997E-2</v>
      </c>
      <c r="ED17" s="80">
        <v>9.930614999999999E-4</v>
      </c>
      <c r="EE17" s="80">
        <v>2.74085541E-2</v>
      </c>
      <c r="EF17" s="80">
        <v>5.0226169999999996E-4</v>
      </c>
      <c r="EG17" s="80">
        <v>9.5601235999999996E-3</v>
      </c>
      <c r="EH17" s="80">
        <v>2.8319439999999999E-4</v>
      </c>
      <c r="EI17" s="80">
        <v>5.5554665E-3</v>
      </c>
      <c r="EJ17" s="80">
        <v>2.0871569999999999E-4</v>
      </c>
      <c r="EK17" s="80">
        <v>3.5658291E-3</v>
      </c>
      <c r="EL17" s="94">
        <v>1.5942119999999999E-4</v>
      </c>
    </row>
    <row r="18" spans="1:142" x14ac:dyDescent="0.2">
      <c r="A18" s="79">
        <v>1300</v>
      </c>
      <c r="B18" s="27">
        <v>6165</v>
      </c>
      <c r="C18" s="79">
        <v>838.73979843999996</v>
      </c>
      <c r="D18" s="27">
        <v>1249.9136281999999</v>
      </c>
      <c r="E18" s="27">
        <v>12.890150706</v>
      </c>
      <c r="F18" s="27">
        <v>2.21529741E-2</v>
      </c>
      <c r="G18" s="79">
        <v>0.1049113218</v>
      </c>
      <c r="H18" s="27">
        <v>1.261383E-4</v>
      </c>
      <c r="I18" s="27">
        <v>94.388893929999995</v>
      </c>
      <c r="J18" s="27">
        <v>0.62577705039999998</v>
      </c>
      <c r="K18" s="27">
        <v>33.525623680999999</v>
      </c>
      <c r="L18" s="27">
        <v>0.21015950410000001</v>
      </c>
      <c r="M18" s="27">
        <v>6.3977527877</v>
      </c>
      <c r="N18" s="27">
        <v>5.8282108899999997E-2</v>
      </c>
      <c r="O18" s="80" t="s">
        <v>136</v>
      </c>
      <c r="P18" s="80">
        <v>0</v>
      </c>
      <c r="Q18" s="27">
        <v>1.4782158974999999</v>
      </c>
      <c r="R18" s="27">
        <v>4.0464597999999999E-3</v>
      </c>
      <c r="S18" s="80" t="s">
        <v>136</v>
      </c>
      <c r="T18" s="80">
        <v>0</v>
      </c>
      <c r="U18" s="80" t="s">
        <v>136</v>
      </c>
      <c r="V18" s="80">
        <v>0</v>
      </c>
      <c r="W18" s="27">
        <v>4.3744831499999998E-2</v>
      </c>
      <c r="X18" s="27">
        <v>5.3073029999999998E-4</v>
      </c>
      <c r="Y18" s="27">
        <v>6.2130841870999998</v>
      </c>
      <c r="Z18" s="27">
        <v>0.1568528884</v>
      </c>
      <c r="AA18" s="80" t="s">
        <v>136</v>
      </c>
      <c r="AB18" s="80">
        <v>0</v>
      </c>
      <c r="AC18" s="27">
        <v>0</v>
      </c>
      <c r="AD18" s="27">
        <v>0</v>
      </c>
      <c r="AE18" s="80" t="s">
        <v>136</v>
      </c>
      <c r="AF18" s="80">
        <v>0</v>
      </c>
      <c r="AG18" s="80" t="s">
        <v>136</v>
      </c>
      <c r="AH18" s="80">
        <v>0</v>
      </c>
      <c r="AI18" s="27">
        <f t="shared" si="0"/>
        <v>0</v>
      </c>
      <c r="AJ18" s="27">
        <f t="shared" si="1"/>
        <v>0</v>
      </c>
      <c r="AK18" s="27">
        <v>54.494127542999998</v>
      </c>
      <c r="AL18" s="27">
        <v>0.92967104079999996</v>
      </c>
      <c r="AM18" s="80" t="s">
        <v>136</v>
      </c>
      <c r="AN18" s="80">
        <v>0</v>
      </c>
      <c r="AO18" s="80" t="s">
        <v>136</v>
      </c>
      <c r="AP18" s="80">
        <v>0</v>
      </c>
      <c r="AQ18" s="80" t="s">
        <v>136</v>
      </c>
      <c r="AR18" s="80">
        <v>0</v>
      </c>
      <c r="AS18" s="27">
        <v>29.116644223000002</v>
      </c>
      <c r="AT18" s="27">
        <v>1.3076771412999999</v>
      </c>
      <c r="AU18" s="27">
        <v>15.789413380999999</v>
      </c>
      <c r="AV18" s="27">
        <v>0.1673365195</v>
      </c>
      <c r="AW18" s="27">
        <v>8.1117474349999998</v>
      </c>
      <c r="AX18" s="27">
        <v>0.10830848</v>
      </c>
      <c r="AY18" s="27">
        <v>2.8208900881000001</v>
      </c>
      <c r="AZ18" s="27">
        <v>3.35209593E-2</v>
      </c>
      <c r="BA18" s="80">
        <f t="shared" si="2"/>
        <v>4.8567758578999989</v>
      </c>
      <c r="BB18" s="80">
        <f t="shared" si="3"/>
        <v>2.5507080200000004E-2</v>
      </c>
      <c r="BC18" s="27">
        <v>0</v>
      </c>
      <c r="BD18" s="80">
        <v>0</v>
      </c>
      <c r="BE18" s="27">
        <v>58.079447496</v>
      </c>
      <c r="BF18" s="27">
        <v>0.80499693709999998</v>
      </c>
      <c r="BG18" s="79">
        <v>2.2597089999999999E-4</v>
      </c>
      <c r="BH18" s="80">
        <v>0</v>
      </c>
      <c r="BI18" s="27">
        <v>57.513663596000001</v>
      </c>
      <c r="BJ18" s="27">
        <v>2.4303141127000001</v>
      </c>
      <c r="BK18" s="27">
        <v>30.018594674999999</v>
      </c>
      <c r="BL18" s="27">
        <v>0.2516361164</v>
      </c>
      <c r="BM18" s="27">
        <v>9.5923904429999993</v>
      </c>
      <c r="BN18" s="27">
        <v>7.4820284299999998E-2</v>
      </c>
      <c r="BO18" s="27">
        <v>1.4935455E-2</v>
      </c>
      <c r="BP18" s="27">
        <v>1.97142E-4</v>
      </c>
      <c r="BQ18" s="27">
        <v>0</v>
      </c>
      <c r="BR18" s="92">
        <v>0</v>
      </c>
      <c r="BS18" s="80" t="s">
        <v>136</v>
      </c>
      <c r="BT18" s="80">
        <v>0</v>
      </c>
      <c r="BU18" s="27">
        <v>8.6886544900000001E-2</v>
      </c>
      <c r="BV18" s="27">
        <v>1.2826483000000001E-3</v>
      </c>
      <c r="BW18" s="27">
        <v>6.3108662428000004</v>
      </c>
      <c r="BX18" s="27">
        <v>5.6999460500000002E-2</v>
      </c>
      <c r="BY18" s="80" t="s">
        <v>136</v>
      </c>
      <c r="BZ18" s="80">
        <v>0</v>
      </c>
      <c r="CA18" s="80" t="s">
        <v>136</v>
      </c>
      <c r="CB18" s="80">
        <v>0</v>
      </c>
      <c r="CC18" s="27">
        <v>0.25481894599999999</v>
      </c>
      <c r="CD18" s="27">
        <v>5.0620030000000005E-4</v>
      </c>
      <c r="CE18" s="27">
        <v>1.2233969515000001</v>
      </c>
      <c r="CF18" s="27">
        <v>3.5402595000000002E-3</v>
      </c>
      <c r="CG18" s="80" t="s">
        <v>136</v>
      </c>
      <c r="CH18" s="80">
        <v>0</v>
      </c>
      <c r="CI18" s="80" t="s">
        <v>136</v>
      </c>
      <c r="CJ18" s="80">
        <v>0</v>
      </c>
      <c r="CK18" s="80" t="s">
        <v>136</v>
      </c>
      <c r="CL18" s="80">
        <v>0</v>
      </c>
      <c r="CM18" s="80" t="s">
        <v>136</v>
      </c>
      <c r="CN18" s="80">
        <v>0</v>
      </c>
      <c r="CO18" s="27">
        <v>5.1939265000000004E-3</v>
      </c>
      <c r="CP18" s="27">
        <v>7.5316999999999997E-5</v>
      </c>
      <c r="CQ18" s="27">
        <v>3.8550905000000003E-2</v>
      </c>
      <c r="CR18" s="27">
        <v>4.5541329999999999E-4</v>
      </c>
      <c r="CS18" s="27">
        <v>0.20083362530000001</v>
      </c>
      <c r="CT18" s="27">
        <v>2.3695096999999999E-3</v>
      </c>
      <c r="CU18" s="27">
        <v>6.0122505618000002</v>
      </c>
      <c r="CV18" s="27">
        <v>0.1544833786</v>
      </c>
      <c r="CW18" s="80" t="s">
        <v>136</v>
      </c>
      <c r="CX18" s="80">
        <v>0</v>
      </c>
      <c r="CY18" s="80" t="s">
        <v>136</v>
      </c>
      <c r="CZ18" s="80">
        <v>0</v>
      </c>
      <c r="DA18" s="27">
        <v>5.2192661876999997</v>
      </c>
      <c r="DB18" s="27">
        <v>8.5546740299999993E-2</v>
      </c>
      <c r="DC18" s="27">
        <v>23.897378034999999</v>
      </c>
      <c r="DD18" s="27">
        <v>1.222130401</v>
      </c>
      <c r="DE18" s="27">
        <v>4.3630274801000004</v>
      </c>
      <c r="DF18" s="27">
        <v>0.18669470320000001</v>
      </c>
      <c r="DG18" s="27">
        <v>53.716420014999997</v>
      </c>
      <c r="DH18" s="92">
        <v>0.61830223399999995</v>
      </c>
      <c r="DI18" s="95">
        <v>1.261383E-4</v>
      </c>
      <c r="DJ18" s="96">
        <v>1.851419E-4</v>
      </c>
      <c r="DK18" s="96">
        <v>2.007569E-4</v>
      </c>
      <c r="DL18" s="96">
        <v>2.1183350000000001E-4</v>
      </c>
      <c r="DM18" s="96">
        <v>2.1418969999999999E-4</v>
      </c>
      <c r="DN18" s="96">
        <v>2.16546E-4</v>
      </c>
      <c r="DO18" s="96">
        <v>2.189022E-4</v>
      </c>
      <c r="DP18" s="96">
        <v>2.212584E-4</v>
      </c>
      <c r="DQ18" s="96">
        <v>2.2361470000000001E-4</v>
      </c>
      <c r="DR18" s="97">
        <v>2.2597089999999999E-4</v>
      </c>
      <c r="DS18" s="93">
        <v>34.172467826999998</v>
      </c>
      <c r="DT18" s="80">
        <v>0.24795864779999999</v>
      </c>
      <c r="DU18" s="80">
        <v>11.61215333</v>
      </c>
      <c r="DV18" s="80">
        <v>9.0049760899999998E-2</v>
      </c>
      <c r="DW18" s="80">
        <v>3.7329385565000002</v>
      </c>
      <c r="DX18" s="80">
        <v>3.09667156E-2</v>
      </c>
      <c r="DY18" s="80">
        <v>1.1441510578</v>
      </c>
      <c r="DZ18" s="80">
        <v>1.03834505E-2</v>
      </c>
      <c r="EA18" s="80">
        <v>0.34848401639999999</v>
      </c>
      <c r="EB18" s="80">
        <v>3.5951113999999999E-3</v>
      </c>
      <c r="EC18" s="80">
        <v>0.1122562409</v>
      </c>
      <c r="ED18" s="80">
        <v>1.4305023E-3</v>
      </c>
      <c r="EE18" s="80">
        <v>3.97521422E-2</v>
      </c>
      <c r="EF18" s="80">
        <v>7.0686360000000005E-4</v>
      </c>
      <c r="EG18" s="80">
        <v>1.52841214E-2</v>
      </c>
      <c r="EH18" s="80">
        <v>4.1512539999999999E-4</v>
      </c>
      <c r="EI18" s="80">
        <v>8.3871846E-3</v>
      </c>
      <c r="EJ18" s="80">
        <v>3.0461570000000002E-4</v>
      </c>
      <c r="EK18" s="80">
        <v>6.0176594999999996E-3</v>
      </c>
      <c r="EL18" s="94">
        <v>2.4151420000000001E-4</v>
      </c>
    </row>
    <row r="19" spans="1:142" x14ac:dyDescent="0.2">
      <c r="A19" s="79">
        <v>1400</v>
      </c>
      <c r="B19" s="27">
        <v>5614</v>
      </c>
      <c r="C19" s="79">
        <v>887.74577628999998</v>
      </c>
      <c r="D19" s="27">
        <v>1349.2716677000001</v>
      </c>
      <c r="E19" s="27">
        <v>14.669207607000001</v>
      </c>
      <c r="F19" s="27">
        <v>2.4227991399999999E-2</v>
      </c>
      <c r="G19" s="79">
        <v>0.1399969459</v>
      </c>
      <c r="H19" s="27">
        <v>1.5733359999999999E-4</v>
      </c>
      <c r="I19" s="27">
        <v>98.524434541000005</v>
      </c>
      <c r="J19" s="27">
        <v>0.65236555780000005</v>
      </c>
      <c r="K19" s="27">
        <v>35.577155470000001</v>
      </c>
      <c r="L19" s="27">
        <v>0.22241359820000001</v>
      </c>
      <c r="M19" s="27">
        <v>6.9431218778000003</v>
      </c>
      <c r="N19" s="27">
        <v>6.3034825200000005E-2</v>
      </c>
      <c r="O19" s="80" t="s">
        <v>136</v>
      </c>
      <c r="P19" s="80">
        <v>0</v>
      </c>
      <c r="Q19" s="27">
        <v>1.7999861202</v>
      </c>
      <c r="R19" s="27">
        <v>4.7183405000000003E-3</v>
      </c>
      <c r="S19" s="80" t="s">
        <v>136</v>
      </c>
      <c r="T19" s="80">
        <v>0</v>
      </c>
      <c r="U19" s="80" t="s">
        <v>136</v>
      </c>
      <c r="V19" s="80">
        <v>0</v>
      </c>
      <c r="W19" s="27">
        <v>5.50178214E-2</v>
      </c>
      <c r="X19" s="27">
        <v>6.5437600000000002E-4</v>
      </c>
      <c r="Y19" s="27">
        <v>6.9687459015000002</v>
      </c>
      <c r="Z19" s="27">
        <v>0.17518408320000001</v>
      </c>
      <c r="AA19" s="80" t="s">
        <v>136</v>
      </c>
      <c r="AB19" s="80">
        <v>0</v>
      </c>
      <c r="AC19" s="27">
        <v>0</v>
      </c>
      <c r="AD19" s="27">
        <v>0</v>
      </c>
      <c r="AE19" s="80" t="s">
        <v>136</v>
      </c>
      <c r="AF19" s="80">
        <v>0</v>
      </c>
      <c r="AG19" s="80" t="s">
        <v>136</v>
      </c>
      <c r="AH19" s="80">
        <v>0</v>
      </c>
      <c r="AI19" s="27">
        <f t="shared" si="0"/>
        <v>0</v>
      </c>
      <c r="AJ19" s="27">
        <f t="shared" si="1"/>
        <v>0</v>
      </c>
      <c r="AK19" s="27">
        <v>57.595359948000002</v>
      </c>
      <c r="AL19" s="27">
        <v>0.97456660350000002</v>
      </c>
      <c r="AM19" s="80" t="s">
        <v>136</v>
      </c>
      <c r="AN19" s="80">
        <v>0</v>
      </c>
      <c r="AO19" s="80" t="s">
        <v>136</v>
      </c>
      <c r="AP19" s="80">
        <v>0</v>
      </c>
      <c r="AQ19" s="80" t="s">
        <v>136</v>
      </c>
      <c r="AR19" s="80">
        <v>0</v>
      </c>
      <c r="AS19" s="27">
        <v>31.072315282999998</v>
      </c>
      <c r="AT19" s="27">
        <v>1.3743101168</v>
      </c>
      <c r="AU19" s="27">
        <v>17.534479008000002</v>
      </c>
      <c r="AV19" s="27">
        <v>0.18033993379999999</v>
      </c>
      <c r="AW19" s="27">
        <v>8.9882985170000005</v>
      </c>
      <c r="AX19" s="27">
        <v>0.1166893459</v>
      </c>
      <c r="AY19" s="27">
        <v>3.0922295436999998</v>
      </c>
      <c r="AZ19" s="27">
        <v>3.5592873599999998E-2</v>
      </c>
      <c r="BA19" s="80">
        <f t="shared" si="2"/>
        <v>5.453950947300001</v>
      </c>
      <c r="BB19" s="80">
        <f t="shared" si="3"/>
        <v>2.8057714299999981E-2</v>
      </c>
      <c r="BC19" s="27">
        <v>0</v>
      </c>
      <c r="BD19" s="80">
        <v>0</v>
      </c>
      <c r="BE19" s="27">
        <v>62.000478704999999</v>
      </c>
      <c r="BF19" s="27">
        <v>0.84938720290000003</v>
      </c>
      <c r="BG19" s="79">
        <v>2.824967E-4</v>
      </c>
      <c r="BH19" s="80">
        <v>0</v>
      </c>
      <c r="BI19" s="27">
        <v>61.304342622</v>
      </c>
      <c r="BJ19" s="27">
        <v>2.5469807153000001</v>
      </c>
      <c r="BK19" s="27">
        <v>34.071197302999998</v>
      </c>
      <c r="BL19" s="27">
        <v>0.2854845111</v>
      </c>
      <c r="BM19" s="27">
        <v>10.759127918000001</v>
      </c>
      <c r="BN19" s="27">
        <v>8.1970143300000006E-2</v>
      </c>
      <c r="BO19" s="27">
        <v>1.4460081E-2</v>
      </c>
      <c r="BP19" s="27">
        <v>1.8976139999999999E-4</v>
      </c>
      <c r="BQ19" s="27">
        <v>0</v>
      </c>
      <c r="BR19" s="92">
        <v>0</v>
      </c>
      <c r="BS19" s="80" t="s">
        <v>136</v>
      </c>
      <c r="BT19" s="80">
        <v>0</v>
      </c>
      <c r="BU19" s="27">
        <v>9.6856647500000004E-2</v>
      </c>
      <c r="BV19" s="27">
        <v>1.4385699999999999E-3</v>
      </c>
      <c r="BW19" s="27">
        <v>6.8462652304000002</v>
      </c>
      <c r="BX19" s="27">
        <v>6.1596255199999998E-2</v>
      </c>
      <c r="BY19" s="80" t="s">
        <v>136</v>
      </c>
      <c r="BZ19" s="80">
        <v>0</v>
      </c>
      <c r="CA19" s="80" t="s">
        <v>136</v>
      </c>
      <c r="CB19" s="80">
        <v>0</v>
      </c>
      <c r="CC19" s="27">
        <v>0.30788575499999998</v>
      </c>
      <c r="CD19" s="27">
        <v>5.8526209999999995E-4</v>
      </c>
      <c r="CE19" s="27">
        <v>1.4921003651</v>
      </c>
      <c r="CF19" s="27">
        <v>4.1330784000000002E-3</v>
      </c>
      <c r="CG19" s="80" t="s">
        <v>136</v>
      </c>
      <c r="CH19" s="80">
        <v>0</v>
      </c>
      <c r="CI19" s="80" t="s">
        <v>136</v>
      </c>
      <c r="CJ19" s="80">
        <v>0</v>
      </c>
      <c r="CK19" s="80" t="s">
        <v>136</v>
      </c>
      <c r="CL19" s="80">
        <v>0</v>
      </c>
      <c r="CM19" s="80" t="s">
        <v>136</v>
      </c>
      <c r="CN19" s="80">
        <v>0</v>
      </c>
      <c r="CO19" s="27">
        <v>5.0100815000000002E-3</v>
      </c>
      <c r="CP19" s="27">
        <v>7.2581499999999996E-5</v>
      </c>
      <c r="CQ19" s="27">
        <v>5.0007740000000002E-2</v>
      </c>
      <c r="CR19" s="27">
        <v>5.8179450000000001E-4</v>
      </c>
      <c r="CS19" s="27">
        <v>0.20780941920000001</v>
      </c>
      <c r="CT19" s="27">
        <v>2.3899200999999998E-3</v>
      </c>
      <c r="CU19" s="27">
        <v>6.7609364822</v>
      </c>
      <c r="CV19" s="27">
        <v>0.172794163</v>
      </c>
      <c r="CW19" s="80" t="s">
        <v>136</v>
      </c>
      <c r="CX19" s="80">
        <v>0</v>
      </c>
      <c r="CY19" s="80" t="s">
        <v>136</v>
      </c>
      <c r="CZ19" s="80">
        <v>0</v>
      </c>
      <c r="DA19" s="27">
        <v>5.7632972297</v>
      </c>
      <c r="DB19" s="27">
        <v>9.3024984500000005E-2</v>
      </c>
      <c r="DC19" s="27">
        <v>25.309018053999999</v>
      </c>
      <c r="DD19" s="27">
        <v>1.2812851324000001</v>
      </c>
      <c r="DE19" s="27">
        <v>4.8493023087999996</v>
      </c>
      <c r="DF19" s="27">
        <v>0.2011034401</v>
      </c>
      <c r="DG19" s="27">
        <v>57.151176395999997</v>
      </c>
      <c r="DH19" s="92">
        <v>0.6482837628</v>
      </c>
      <c r="DI19" s="95">
        <v>1.5733359999999999E-4</v>
      </c>
      <c r="DJ19" s="96">
        <v>2.3462980000000001E-4</v>
      </c>
      <c r="DK19" s="96">
        <v>2.5802060000000001E-4</v>
      </c>
      <c r="DL19" s="96">
        <v>2.686907E-4</v>
      </c>
      <c r="DM19" s="96">
        <v>2.7099170000000002E-4</v>
      </c>
      <c r="DN19" s="96">
        <v>2.7329269999999998E-4</v>
      </c>
      <c r="DO19" s="96">
        <v>2.755937E-4</v>
      </c>
      <c r="DP19" s="96">
        <v>2.7789470000000001E-4</v>
      </c>
      <c r="DQ19" s="96">
        <v>2.8019569999999998E-4</v>
      </c>
      <c r="DR19" s="97">
        <v>2.824967E-4</v>
      </c>
      <c r="DS19" s="93">
        <v>36.751919401999999</v>
      </c>
      <c r="DT19" s="80">
        <v>0.2657032526</v>
      </c>
      <c r="DU19" s="80">
        <v>12.993129128</v>
      </c>
      <c r="DV19" s="80">
        <v>0.1002941594</v>
      </c>
      <c r="DW19" s="80">
        <v>4.4018453622999996</v>
      </c>
      <c r="DX19" s="80">
        <v>3.6320888799999999E-2</v>
      </c>
      <c r="DY19" s="80">
        <v>1.4480198238999999</v>
      </c>
      <c r="DZ19" s="80">
        <v>1.30684958E-2</v>
      </c>
      <c r="EA19" s="80">
        <v>0.47653516260000001</v>
      </c>
      <c r="EB19" s="80">
        <v>4.9454332999999996E-3</v>
      </c>
      <c r="EC19" s="80">
        <v>0.16295522670000001</v>
      </c>
      <c r="ED19" s="80">
        <v>2.1301113000000002E-3</v>
      </c>
      <c r="EE19" s="80">
        <v>6.2244376599999998E-2</v>
      </c>
      <c r="EF19" s="80">
        <v>1.1364321E-3</v>
      </c>
      <c r="EG19" s="80">
        <v>2.5959356100000001E-2</v>
      </c>
      <c r="EH19" s="80">
        <v>7.2084820000000002E-4</v>
      </c>
      <c r="EI19" s="80">
        <v>1.6214978099999999E-2</v>
      </c>
      <c r="EJ19" s="80">
        <v>5.6412879999999995E-4</v>
      </c>
      <c r="EK19" s="80">
        <v>1.26602469E-2</v>
      </c>
      <c r="EL19" s="94">
        <v>4.7330579999999998E-4</v>
      </c>
    </row>
    <row r="20" spans="1:142" x14ac:dyDescent="0.2">
      <c r="A20" s="79">
        <v>1500</v>
      </c>
      <c r="B20" s="27">
        <v>5085</v>
      </c>
      <c r="C20" s="79">
        <v>935.26184749000004</v>
      </c>
      <c r="D20" s="27">
        <v>1449.1222981999999</v>
      </c>
      <c r="E20" s="27">
        <v>16.460717718000001</v>
      </c>
      <c r="F20" s="27">
        <v>2.6300493599999999E-2</v>
      </c>
      <c r="G20" s="79">
        <v>0.1672997021</v>
      </c>
      <c r="H20" s="27">
        <v>1.8075630000000001E-4</v>
      </c>
      <c r="I20" s="27">
        <v>102.20332919000001</v>
      </c>
      <c r="J20" s="27">
        <v>0.67647021600000001</v>
      </c>
      <c r="K20" s="27">
        <v>37.499608885999997</v>
      </c>
      <c r="L20" s="27">
        <v>0.2334547032</v>
      </c>
      <c r="M20" s="27">
        <v>7.4418482616999997</v>
      </c>
      <c r="N20" s="27">
        <v>6.7607818099999994E-2</v>
      </c>
      <c r="O20" s="80" t="s">
        <v>136</v>
      </c>
      <c r="P20" s="80">
        <v>0</v>
      </c>
      <c r="Q20" s="27">
        <v>2.2050860706000002</v>
      </c>
      <c r="R20" s="27">
        <v>5.6736395999999996E-3</v>
      </c>
      <c r="S20" s="80" t="s">
        <v>136</v>
      </c>
      <c r="T20" s="80">
        <v>0</v>
      </c>
      <c r="U20" s="80" t="s">
        <v>136</v>
      </c>
      <c r="V20" s="80">
        <v>0</v>
      </c>
      <c r="W20" s="27">
        <v>6.7695092600000006E-2</v>
      </c>
      <c r="X20" s="27">
        <v>7.8893110000000002E-4</v>
      </c>
      <c r="Y20" s="27">
        <v>7.7465796661999997</v>
      </c>
      <c r="Z20" s="27">
        <v>0.19429475099999999</v>
      </c>
      <c r="AA20" s="80" t="s">
        <v>136</v>
      </c>
      <c r="AB20" s="80">
        <v>0</v>
      </c>
      <c r="AC20" s="27">
        <v>0</v>
      </c>
      <c r="AD20" s="27">
        <v>0</v>
      </c>
      <c r="AE20" s="80" t="s">
        <v>136</v>
      </c>
      <c r="AF20" s="80">
        <v>0</v>
      </c>
      <c r="AG20" s="80" t="s">
        <v>136</v>
      </c>
      <c r="AH20" s="80">
        <v>0</v>
      </c>
      <c r="AI20" s="27">
        <f t="shared" si="0"/>
        <v>0</v>
      </c>
      <c r="AJ20" s="27">
        <f t="shared" si="1"/>
        <v>0</v>
      </c>
      <c r="AK20" s="27">
        <v>60.550585863999999</v>
      </c>
      <c r="AL20" s="27">
        <v>1.0163265386</v>
      </c>
      <c r="AM20" s="80" t="s">
        <v>136</v>
      </c>
      <c r="AN20" s="80">
        <v>0</v>
      </c>
      <c r="AO20" s="80" t="s">
        <v>136</v>
      </c>
      <c r="AP20" s="80">
        <v>0</v>
      </c>
      <c r="AQ20" s="80" t="s">
        <v>136</v>
      </c>
      <c r="AR20" s="80">
        <v>0</v>
      </c>
      <c r="AS20" s="27">
        <v>32.888104337999998</v>
      </c>
      <c r="AT20" s="27">
        <v>1.4365861554999999</v>
      </c>
      <c r="AU20" s="27">
        <v>19.097428498999999</v>
      </c>
      <c r="AV20" s="27">
        <v>0.19256936290000001</v>
      </c>
      <c r="AW20" s="27">
        <v>9.7693768974000008</v>
      </c>
      <c r="AX20" s="27">
        <v>0.1247162108</v>
      </c>
      <c r="AY20" s="27">
        <v>3.3146258486</v>
      </c>
      <c r="AZ20" s="27">
        <v>3.74784258E-2</v>
      </c>
      <c r="BA20" s="80">
        <f t="shared" si="2"/>
        <v>6.0134257529999982</v>
      </c>
      <c r="BB20" s="80">
        <f t="shared" si="3"/>
        <v>3.0374726300000016E-2</v>
      </c>
      <c r="BC20" s="27">
        <v>0</v>
      </c>
      <c r="BD20" s="80">
        <v>0</v>
      </c>
      <c r="BE20" s="27">
        <v>65.462477909</v>
      </c>
      <c r="BF20" s="27">
        <v>0.8896466408</v>
      </c>
      <c r="BG20" s="79">
        <v>3.1410759999999998E-4</v>
      </c>
      <c r="BH20" s="80">
        <v>0</v>
      </c>
      <c r="BI20" s="27">
        <v>64.863555895999994</v>
      </c>
      <c r="BJ20" s="27">
        <v>2.6624837808000001</v>
      </c>
      <c r="BK20" s="27">
        <v>38.732741445000002</v>
      </c>
      <c r="BL20" s="27">
        <v>0.32269701620000002</v>
      </c>
      <c r="BM20" s="27">
        <v>11.985709424</v>
      </c>
      <c r="BN20" s="27">
        <v>8.9056508199999995E-2</v>
      </c>
      <c r="BO20" s="27">
        <v>2.0067081099999998E-2</v>
      </c>
      <c r="BP20" s="27">
        <v>3.0249319999999999E-4</v>
      </c>
      <c r="BQ20" s="27">
        <v>0</v>
      </c>
      <c r="BR20" s="92">
        <v>0</v>
      </c>
      <c r="BS20" s="80" t="s">
        <v>136</v>
      </c>
      <c r="BT20" s="80">
        <v>0</v>
      </c>
      <c r="BU20" s="27">
        <v>0.1042172583</v>
      </c>
      <c r="BV20" s="27">
        <v>1.5424308000000001E-3</v>
      </c>
      <c r="BW20" s="27">
        <v>7.3376310034000003</v>
      </c>
      <c r="BX20" s="27">
        <v>6.60653873E-2</v>
      </c>
      <c r="BY20" s="80" t="s">
        <v>136</v>
      </c>
      <c r="BZ20" s="80">
        <v>0</v>
      </c>
      <c r="CA20" s="80" t="s">
        <v>136</v>
      </c>
      <c r="CB20" s="80">
        <v>0</v>
      </c>
      <c r="CC20" s="27">
        <v>0.43367164339999997</v>
      </c>
      <c r="CD20" s="27">
        <v>7.7045080000000005E-4</v>
      </c>
      <c r="CE20" s="27">
        <v>1.7714144272000001</v>
      </c>
      <c r="CF20" s="27">
        <v>4.9031887999999996E-3</v>
      </c>
      <c r="CG20" s="80" t="s">
        <v>136</v>
      </c>
      <c r="CH20" s="80">
        <v>0</v>
      </c>
      <c r="CI20" s="80" t="s">
        <v>136</v>
      </c>
      <c r="CJ20" s="80">
        <v>0</v>
      </c>
      <c r="CK20" s="80" t="s">
        <v>136</v>
      </c>
      <c r="CL20" s="80">
        <v>0</v>
      </c>
      <c r="CM20" s="80" t="s">
        <v>136</v>
      </c>
      <c r="CN20" s="80">
        <v>0</v>
      </c>
      <c r="CO20" s="27">
        <v>9.8430303999999993E-3</v>
      </c>
      <c r="CP20" s="27">
        <v>1.197218E-4</v>
      </c>
      <c r="CQ20" s="27">
        <v>5.7852062199999998E-2</v>
      </c>
      <c r="CR20" s="27">
        <v>6.6920939999999996E-4</v>
      </c>
      <c r="CS20" s="27">
        <v>0.24754203459999999</v>
      </c>
      <c r="CT20" s="27">
        <v>2.7932876E-3</v>
      </c>
      <c r="CU20" s="27">
        <v>7.4990376317000003</v>
      </c>
      <c r="CV20" s="27">
        <v>0.19150146339999999</v>
      </c>
      <c r="CW20" s="80" t="s">
        <v>136</v>
      </c>
      <c r="CX20" s="80">
        <v>0</v>
      </c>
      <c r="CY20" s="80" t="s">
        <v>136</v>
      </c>
      <c r="CZ20" s="80">
        <v>0</v>
      </c>
      <c r="DA20" s="27">
        <v>6.2166591573999996</v>
      </c>
      <c r="DB20" s="27">
        <v>9.9431405200000003E-2</v>
      </c>
      <c r="DC20" s="27">
        <v>26.671445179999999</v>
      </c>
      <c r="DD20" s="27">
        <v>1.3371547503000001</v>
      </c>
      <c r="DE20" s="27">
        <v>5.2950792054000004</v>
      </c>
      <c r="DF20" s="27">
        <v>0.2137580788</v>
      </c>
      <c r="DG20" s="27">
        <v>60.167398703000003</v>
      </c>
      <c r="DH20" s="92">
        <v>0.67588856200000003</v>
      </c>
      <c r="DI20" s="95">
        <v>1.8075630000000001E-4</v>
      </c>
      <c r="DJ20" s="96">
        <v>2.6759869999999999E-4</v>
      </c>
      <c r="DK20" s="96">
        <v>2.9022089999999998E-4</v>
      </c>
      <c r="DL20" s="96">
        <v>3.0056050000000002E-4</v>
      </c>
      <c r="DM20" s="96">
        <v>3.0281829999999999E-4</v>
      </c>
      <c r="DN20" s="96">
        <v>3.050762E-4</v>
      </c>
      <c r="DO20" s="96">
        <v>3.0733399999999998E-4</v>
      </c>
      <c r="DP20" s="96">
        <v>3.0959189999999999E-4</v>
      </c>
      <c r="DQ20" s="96">
        <v>3.1184970000000002E-4</v>
      </c>
      <c r="DR20" s="97">
        <v>3.1410759999999998E-4</v>
      </c>
      <c r="DS20" s="93">
        <v>39.137740094999998</v>
      </c>
      <c r="DT20" s="80">
        <v>0.28220294219999997</v>
      </c>
      <c r="DU20" s="80">
        <v>14.26430188</v>
      </c>
      <c r="DV20" s="80">
        <v>0.1096632744</v>
      </c>
      <c r="DW20" s="80">
        <v>5.0141937271000003</v>
      </c>
      <c r="DX20" s="80">
        <v>4.1208099099999999E-2</v>
      </c>
      <c r="DY20" s="80">
        <v>1.7263230017</v>
      </c>
      <c r="DZ20" s="80">
        <v>1.55359118E-2</v>
      </c>
      <c r="EA20" s="80">
        <v>0.60032883670000003</v>
      </c>
      <c r="EB20" s="80">
        <v>6.2366499999999998E-3</v>
      </c>
      <c r="EC20" s="80">
        <v>0.21981523680000001</v>
      </c>
      <c r="ED20" s="80">
        <v>2.8777237999999998E-3</v>
      </c>
      <c r="EE20" s="80">
        <v>9.1221965099999996E-2</v>
      </c>
      <c r="EF20" s="80">
        <v>1.6376614E-3</v>
      </c>
      <c r="EG20" s="80">
        <v>4.2326406699999999E-2</v>
      </c>
      <c r="EH20" s="80">
        <v>1.0950954000000001E-3</v>
      </c>
      <c r="EI20" s="80">
        <v>2.7073168000000002E-2</v>
      </c>
      <c r="EJ20" s="80">
        <v>8.7327770000000002E-4</v>
      </c>
      <c r="EK20" s="80">
        <v>1.9895892599999999E-2</v>
      </c>
      <c r="EL20" s="94">
        <v>7.3610859999999995E-4</v>
      </c>
    </row>
    <row r="21" spans="1:142" x14ac:dyDescent="0.2">
      <c r="A21" s="79">
        <v>1600</v>
      </c>
      <c r="B21" s="27">
        <v>4884</v>
      </c>
      <c r="C21" s="79">
        <v>981.56692627999996</v>
      </c>
      <c r="D21" s="27">
        <v>1549.7320672000001</v>
      </c>
      <c r="E21" s="27">
        <v>18.447473667000001</v>
      </c>
      <c r="F21" s="27">
        <v>2.8499219400000001E-2</v>
      </c>
      <c r="G21" s="79">
        <v>0.23266628119999999</v>
      </c>
      <c r="H21" s="27">
        <v>2.304637E-4</v>
      </c>
      <c r="I21" s="27">
        <v>105.73393804</v>
      </c>
      <c r="J21" s="27">
        <v>0.6995810858</v>
      </c>
      <c r="K21" s="27">
        <v>39.395601317999997</v>
      </c>
      <c r="L21" s="27">
        <v>0.2444246353</v>
      </c>
      <c r="M21" s="27">
        <v>8.0145578008000005</v>
      </c>
      <c r="N21" s="27">
        <v>7.2417715899999999E-2</v>
      </c>
      <c r="O21" s="80" t="s">
        <v>136</v>
      </c>
      <c r="P21" s="80">
        <v>0</v>
      </c>
      <c r="Q21" s="27">
        <v>2.7646305772000002</v>
      </c>
      <c r="R21" s="27">
        <v>6.7417251999999997E-3</v>
      </c>
      <c r="S21" s="80" t="s">
        <v>136</v>
      </c>
      <c r="T21" s="80">
        <v>0</v>
      </c>
      <c r="U21" s="80" t="s">
        <v>136</v>
      </c>
      <c r="V21" s="80">
        <v>0</v>
      </c>
      <c r="W21" s="27">
        <v>7.4669461699999995E-2</v>
      </c>
      <c r="X21" s="27">
        <v>8.6822189999999995E-4</v>
      </c>
      <c r="Y21" s="27">
        <v>8.4374135914000004</v>
      </c>
      <c r="Z21" s="27">
        <v>0.21065904190000001</v>
      </c>
      <c r="AA21" s="80" t="s">
        <v>136</v>
      </c>
      <c r="AB21" s="80">
        <v>0</v>
      </c>
      <c r="AC21" s="27">
        <v>0</v>
      </c>
      <c r="AD21" s="27">
        <v>0</v>
      </c>
      <c r="AE21" s="80" t="s">
        <v>136</v>
      </c>
      <c r="AF21" s="80">
        <v>0</v>
      </c>
      <c r="AG21" s="80" t="s">
        <v>136</v>
      </c>
      <c r="AH21" s="80">
        <v>0</v>
      </c>
      <c r="AI21" s="27">
        <f t="shared" si="0"/>
        <v>0</v>
      </c>
      <c r="AJ21" s="27">
        <f t="shared" si="1"/>
        <v>0</v>
      </c>
      <c r="AK21" s="27">
        <v>63.312074856999999</v>
      </c>
      <c r="AL21" s="27">
        <v>1.0568219802000001</v>
      </c>
      <c r="AM21" s="80" t="s">
        <v>136</v>
      </c>
      <c r="AN21" s="80">
        <v>0</v>
      </c>
      <c r="AO21" s="80" t="s">
        <v>136</v>
      </c>
      <c r="AP21" s="80">
        <v>0</v>
      </c>
      <c r="AQ21" s="80" t="s">
        <v>136</v>
      </c>
      <c r="AR21" s="80">
        <v>0</v>
      </c>
      <c r="AS21" s="27">
        <v>34.838561517000002</v>
      </c>
      <c r="AT21" s="27">
        <v>1.5008802190999999</v>
      </c>
      <c r="AU21" s="27">
        <v>20.638247388</v>
      </c>
      <c r="AV21" s="27">
        <v>0.204358549</v>
      </c>
      <c r="AW21" s="27">
        <v>10.444405386</v>
      </c>
      <c r="AX21" s="27">
        <v>0.13220253739999999</v>
      </c>
      <c r="AY21" s="27">
        <v>3.5693413558999998</v>
      </c>
      <c r="AZ21" s="27">
        <v>3.9507456500000003E-2</v>
      </c>
      <c r="BA21" s="80">
        <f t="shared" si="2"/>
        <v>6.6245006460999996</v>
      </c>
      <c r="BB21" s="80">
        <f t="shared" si="3"/>
        <v>3.2648555100000004E-2</v>
      </c>
      <c r="BC21" s="27">
        <v>0</v>
      </c>
      <c r="BD21" s="80">
        <v>0</v>
      </c>
      <c r="BE21" s="27">
        <v>69.035959011000003</v>
      </c>
      <c r="BF21" s="27">
        <v>0.9278736501</v>
      </c>
      <c r="BG21" s="79">
        <v>3.8678010000000001E-4</v>
      </c>
      <c r="BH21" s="80">
        <v>0</v>
      </c>
      <c r="BI21" s="27">
        <v>68.259016297000002</v>
      </c>
      <c r="BJ21" s="27">
        <v>2.7685171541</v>
      </c>
      <c r="BK21" s="27">
        <v>43.132005149999998</v>
      </c>
      <c r="BL21" s="27">
        <v>0.3587154555</v>
      </c>
      <c r="BM21" s="27">
        <v>13.130696291</v>
      </c>
      <c r="BN21" s="27">
        <v>9.57155108E-2</v>
      </c>
      <c r="BO21" s="27">
        <v>1.95628433E-2</v>
      </c>
      <c r="BP21" s="27">
        <v>2.9348269999999999E-4</v>
      </c>
      <c r="BQ21" s="27">
        <v>0</v>
      </c>
      <c r="BR21" s="92">
        <v>0</v>
      </c>
      <c r="BS21" s="80" t="s">
        <v>136</v>
      </c>
      <c r="BT21" s="80">
        <v>0</v>
      </c>
      <c r="BU21" s="27">
        <v>0.10272051290000001</v>
      </c>
      <c r="BV21" s="27">
        <v>1.5182177999999999E-3</v>
      </c>
      <c r="BW21" s="27">
        <v>7.9118372880000001</v>
      </c>
      <c r="BX21" s="27">
        <v>7.08994981E-2</v>
      </c>
      <c r="BY21" s="80" t="s">
        <v>136</v>
      </c>
      <c r="BZ21" s="80">
        <v>0</v>
      </c>
      <c r="CA21" s="80" t="s">
        <v>136</v>
      </c>
      <c r="CB21" s="80">
        <v>0</v>
      </c>
      <c r="CC21" s="27">
        <v>0.57220771739999998</v>
      </c>
      <c r="CD21" s="27">
        <v>9.4622969999999995E-4</v>
      </c>
      <c r="CE21" s="27">
        <v>2.1924228598000002</v>
      </c>
      <c r="CF21" s="27">
        <v>5.7954955000000001E-3</v>
      </c>
      <c r="CG21" s="80" t="s">
        <v>136</v>
      </c>
      <c r="CH21" s="80">
        <v>0</v>
      </c>
      <c r="CI21" s="80" t="s">
        <v>136</v>
      </c>
      <c r="CJ21" s="80">
        <v>0</v>
      </c>
      <c r="CK21" s="80" t="s">
        <v>136</v>
      </c>
      <c r="CL21" s="80">
        <v>0</v>
      </c>
      <c r="CM21" s="80" t="s">
        <v>136</v>
      </c>
      <c r="CN21" s="80">
        <v>0</v>
      </c>
      <c r="CO21" s="27">
        <v>1.6685160899999999E-2</v>
      </c>
      <c r="CP21" s="27">
        <v>2.034587E-4</v>
      </c>
      <c r="CQ21" s="27">
        <v>5.7984300799999999E-2</v>
      </c>
      <c r="CR21" s="27">
        <v>6.6476329999999996E-4</v>
      </c>
      <c r="CS21" s="27">
        <v>0.29304675219999998</v>
      </c>
      <c r="CT21" s="27">
        <v>3.2523462999999998E-3</v>
      </c>
      <c r="CU21" s="27">
        <v>8.1443668391999999</v>
      </c>
      <c r="CV21" s="27">
        <v>0.2074066956</v>
      </c>
      <c r="CW21" s="80" t="s">
        <v>136</v>
      </c>
      <c r="CX21" s="80">
        <v>0</v>
      </c>
      <c r="CY21" s="80" t="s">
        <v>136</v>
      </c>
      <c r="CZ21" s="80">
        <v>0</v>
      </c>
      <c r="DA21" s="27">
        <v>6.7384757793999999</v>
      </c>
      <c r="DB21" s="27">
        <v>0.10607819659999999</v>
      </c>
      <c r="DC21" s="27">
        <v>28.100085738000001</v>
      </c>
      <c r="DD21" s="27">
        <v>1.3948020225</v>
      </c>
      <c r="DE21" s="27">
        <v>5.8150326245999997</v>
      </c>
      <c r="DF21" s="27">
        <v>0.22705976019999999</v>
      </c>
      <c r="DG21" s="27">
        <v>63.220926386000002</v>
      </c>
      <c r="DH21" s="92">
        <v>0.70081389000000005</v>
      </c>
      <c r="DI21" s="95">
        <v>2.304637E-4</v>
      </c>
      <c r="DJ21" s="96">
        <v>3.4150229999999998E-4</v>
      </c>
      <c r="DK21" s="96">
        <v>3.634442E-4</v>
      </c>
      <c r="DL21" s="96">
        <v>3.7348589999999999E-4</v>
      </c>
      <c r="DM21" s="96">
        <v>3.7570159999999997E-4</v>
      </c>
      <c r="DN21" s="96">
        <v>3.7791730000000001E-4</v>
      </c>
      <c r="DO21" s="96">
        <v>3.80133E-4</v>
      </c>
      <c r="DP21" s="96">
        <v>3.8234869999999999E-4</v>
      </c>
      <c r="DQ21" s="96">
        <v>3.8456439999999997E-4</v>
      </c>
      <c r="DR21" s="97">
        <v>3.8678010000000001E-4</v>
      </c>
      <c r="DS21" s="93">
        <v>41.439550486999998</v>
      </c>
      <c r="DT21" s="80">
        <v>0.29800564979999999</v>
      </c>
      <c r="DU21" s="80">
        <v>15.513746660000001</v>
      </c>
      <c r="DV21" s="80">
        <v>0.11891687720000001</v>
      </c>
      <c r="DW21" s="80">
        <v>5.6347214071999998</v>
      </c>
      <c r="DX21" s="80">
        <v>4.6179547199999997E-2</v>
      </c>
      <c r="DY21" s="80">
        <v>1.9941927897</v>
      </c>
      <c r="DZ21" s="80">
        <v>1.7962217999999999E-2</v>
      </c>
      <c r="EA21" s="80">
        <v>0.71077602259999995</v>
      </c>
      <c r="EB21" s="80">
        <v>7.4612326000000001E-3</v>
      </c>
      <c r="EC21" s="80">
        <v>0.26942805689999999</v>
      </c>
      <c r="ED21" s="80">
        <v>3.5953980000000001E-3</v>
      </c>
      <c r="EE21" s="80">
        <v>0.1192124044</v>
      </c>
      <c r="EF21" s="80">
        <v>2.1374837000000002E-3</v>
      </c>
      <c r="EG21" s="80">
        <v>6.0020242500000001E-2</v>
      </c>
      <c r="EH21" s="80">
        <v>1.4774904000000001E-3</v>
      </c>
      <c r="EI21" s="80">
        <v>4.0403091199999998E-2</v>
      </c>
      <c r="EJ21" s="80">
        <v>1.1923066E-3</v>
      </c>
      <c r="EK21" s="80">
        <v>3.0269889099999999E-2</v>
      </c>
      <c r="EL21" s="94">
        <v>1.0036496999999999E-3</v>
      </c>
    </row>
    <row r="22" spans="1:142" x14ac:dyDescent="0.2">
      <c r="A22" s="79">
        <v>1700</v>
      </c>
      <c r="B22" s="27">
        <v>4571</v>
      </c>
      <c r="C22" s="79">
        <v>1026.6575822</v>
      </c>
      <c r="D22" s="27">
        <v>1649.1714399</v>
      </c>
      <c r="E22" s="27">
        <v>20.572012414</v>
      </c>
      <c r="F22" s="27">
        <v>3.07341221E-2</v>
      </c>
      <c r="G22" s="79">
        <v>0.30694735220000002</v>
      </c>
      <c r="H22" s="27">
        <v>2.9159100000000001E-4</v>
      </c>
      <c r="I22" s="27">
        <v>108.91445689</v>
      </c>
      <c r="J22" s="27">
        <v>0.72015630730000002</v>
      </c>
      <c r="K22" s="27">
        <v>41.213511637000003</v>
      </c>
      <c r="L22" s="27">
        <v>0.25549274910000003</v>
      </c>
      <c r="M22" s="27">
        <v>8.5171705252999992</v>
      </c>
      <c r="N22" s="27">
        <v>7.64809724E-2</v>
      </c>
      <c r="O22" s="80" t="s">
        <v>136</v>
      </c>
      <c r="P22" s="80">
        <v>0</v>
      </c>
      <c r="Q22" s="27">
        <v>3.2731437461000001</v>
      </c>
      <c r="R22" s="27">
        <v>7.7703605000000002E-3</v>
      </c>
      <c r="S22" s="80" t="s">
        <v>136</v>
      </c>
      <c r="T22" s="80">
        <v>0</v>
      </c>
      <c r="U22" s="80" t="s">
        <v>136</v>
      </c>
      <c r="V22" s="80">
        <v>0</v>
      </c>
      <c r="W22" s="27">
        <v>9.8902087999999999E-2</v>
      </c>
      <c r="X22" s="27">
        <v>1.1142812E-3</v>
      </c>
      <c r="Y22" s="27">
        <v>9.1140411261000001</v>
      </c>
      <c r="Z22" s="27">
        <v>0.2252586976</v>
      </c>
      <c r="AA22" s="80" t="s">
        <v>136</v>
      </c>
      <c r="AB22" s="80">
        <v>0</v>
      </c>
      <c r="AC22" s="27">
        <v>0</v>
      </c>
      <c r="AD22" s="27">
        <v>0</v>
      </c>
      <c r="AE22" s="80" t="s">
        <v>136</v>
      </c>
      <c r="AF22" s="80">
        <v>0</v>
      </c>
      <c r="AG22" s="80" t="s">
        <v>136</v>
      </c>
      <c r="AH22" s="80">
        <v>0</v>
      </c>
      <c r="AI22" s="27">
        <f t="shared" si="0"/>
        <v>0</v>
      </c>
      <c r="AJ22" s="27">
        <f t="shared" si="1"/>
        <v>0</v>
      </c>
      <c r="AK22" s="27">
        <v>66.239575938000002</v>
      </c>
      <c r="AL22" s="27">
        <v>1.0963647344</v>
      </c>
      <c r="AM22" s="80" t="s">
        <v>136</v>
      </c>
      <c r="AN22" s="80">
        <v>0</v>
      </c>
      <c r="AO22" s="80" t="s">
        <v>136</v>
      </c>
      <c r="AP22" s="80">
        <v>0</v>
      </c>
      <c r="AQ22" s="80" t="s">
        <v>136</v>
      </c>
      <c r="AR22" s="80">
        <v>0</v>
      </c>
      <c r="AS22" s="27">
        <v>36.686730439000002</v>
      </c>
      <c r="AT22" s="27">
        <v>1.5627144421000001</v>
      </c>
      <c r="AU22" s="27">
        <v>22.267481474</v>
      </c>
      <c r="AV22" s="27">
        <v>0.21606326370000001</v>
      </c>
      <c r="AW22" s="27">
        <v>11.278598433000001</v>
      </c>
      <c r="AX22" s="27">
        <v>0.1398533082</v>
      </c>
      <c r="AY22" s="27">
        <v>3.8193921723000002</v>
      </c>
      <c r="AZ22" s="27">
        <v>4.1400494099999997E-2</v>
      </c>
      <c r="BA22" s="80">
        <f t="shared" si="2"/>
        <v>7.1694908686999987</v>
      </c>
      <c r="BB22" s="80">
        <f t="shared" si="3"/>
        <v>3.4809461400000019E-2</v>
      </c>
      <c r="BC22" s="27">
        <v>0</v>
      </c>
      <c r="BD22" s="80">
        <v>0</v>
      </c>
      <c r="BE22" s="27">
        <v>72.537092130999994</v>
      </c>
      <c r="BF22" s="27">
        <v>0.96429239410000001</v>
      </c>
      <c r="BG22" s="79">
        <v>4.8991810000000003E-4</v>
      </c>
      <c r="BH22" s="80">
        <v>0</v>
      </c>
      <c r="BI22" s="27">
        <v>71.527694069000006</v>
      </c>
      <c r="BJ22" s="27">
        <v>2.8635322864999999</v>
      </c>
      <c r="BK22" s="27">
        <v>47.56764064</v>
      </c>
      <c r="BL22" s="27">
        <v>0.39422630110000001</v>
      </c>
      <c r="BM22" s="27">
        <v>14.216118306</v>
      </c>
      <c r="BN22" s="27">
        <v>0.1016235984</v>
      </c>
      <c r="BO22" s="27">
        <v>1.9398352000000001E-2</v>
      </c>
      <c r="BP22" s="27">
        <v>2.8704920000000001E-4</v>
      </c>
      <c r="BQ22" s="27">
        <v>0</v>
      </c>
      <c r="BR22" s="92">
        <v>0</v>
      </c>
      <c r="BS22" s="80" t="s">
        <v>136</v>
      </c>
      <c r="BT22" s="80">
        <v>0</v>
      </c>
      <c r="BU22" s="27">
        <v>0.1206794851</v>
      </c>
      <c r="BV22" s="27">
        <v>1.6911157E-3</v>
      </c>
      <c r="BW22" s="27">
        <v>8.3964910402000008</v>
      </c>
      <c r="BX22" s="27">
        <v>7.4789856700000004E-2</v>
      </c>
      <c r="BY22" s="80" t="s">
        <v>136</v>
      </c>
      <c r="BZ22" s="80">
        <v>0</v>
      </c>
      <c r="CA22" s="80" t="s">
        <v>136</v>
      </c>
      <c r="CB22" s="80">
        <v>0</v>
      </c>
      <c r="CC22" s="27">
        <v>0.70773702009999995</v>
      </c>
      <c r="CD22" s="27">
        <v>1.1185281E-3</v>
      </c>
      <c r="CE22" s="27">
        <v>2.565406726</v>
      </c>
      <c r="CF22" s="27">
        <v>6.6518324999999996E-3</v>
      </c>
      <c r="CG22" s="80" t="s">
        <v>136</v>
      </c>
      <c r="CH22" s="80">
        <v>0</v>
      </c>
      <c r="CI22" s="80" t="s">
        <v>136</v>
      </c>
      <c r="CJ22" s="80">
        <v>0</v>
      </c>
      <c r="CK22" s="80" t="s">
        <v>136</v>
      </c>
      <c r="CL22" s="80">
        <v>0</v>
      </c>
      <c r="CM22" s="80" t="s">
        <v>136</v>
      </c>
      <c r="CN22" s="80">
        <v>0</v>
      </c>
      <c r="CO22" s="27">
        <v>1.7266235800000002E-2</v>
      </c>
      <c r="CP22" s="27">
        <v>2.0474600000000001E-4</v>
      </c>
      <c r="CQ22" s="27">
        <v>8.1635852199999998E-2</v>
      </c>
      <c r="CR22" s="27">
        <v>9.0953509999999998E-4</v>
      </c>
      <c r="CS22" s="27">
        <v>0.37271504170000003</v>
      </c>
      <c r="CT22" s="27">
        <v>4.0918456000000004E-3</v>
      </c>
      <c r="CU22" s="27">
        <v>8.7413260844000007</v>
      </c>
      <c r="CV22" s="27">
        <v>0.22116685189999999</v>
      </c>
      <c r="CW22" s="80" t="s">
        <v>136</v>
      </c>
      <c r="CX22" s="80">
        <v>0</v>
      </c>
      <c r="CY22" s="80" t="s">
        <v>136</v>
      </c>
      <c r="CZ22" s="80">
        <v>0</v>
      </c>
      <c r="DA22" s="27">
        <v>7.2231745330999999</v>
      </c>
      <c r="DB22" s="27">
        <v>0.11296694340000001</v>
      </c>
      <c r="DC22" s="27">
        <v>29.463555906</v>
      </c>
      <c r="DD22" s="27">
        <v>1.4497474987000001</v>
      </c>
      <c r="DE22" s="27">
        <v>6.3085869992000001</v>
      </c>
      <c r="DF22" s="27">
        <v>0.23914958219999999</v>
      </c>
      <c r="DG22" s="27">
        <v>66.228505131999995</v>
      </c>
      <c r="DH22" s="92">
        <v>0.72514281189999996</v>
      </c>
      <c r="DI22" s="95">
        <v>2.8793619999999999E-4</v>
      </c>
      <c r="DJ22" s="96">
        <v>4.3833879999999998E-4</v>
      </c>
      <c r="DK22" s="96">
        <v>4.6337599999999999E-4</v>
      </c>
      <c r="DL22" s="96">
        <v>4.7683069999999999E-4</v>
      </c>
      <c r="DM22" s="96">
        <v>4.7901189999999998E-4</v>
      </c>
      <c r="DN22" s="96">
        <v>4.8119310000000002E-4</v>
      </c>
      <c r="DO22" s="96">
        <v>4.8337439999999998E-4</v>
      </c>
      <c r="DP22" s="96">
        <v>4.8555560000000002E-4</v>
      </c>
      <c r="DQ22" s="96">
        <v>4.8773680000000001E-4</v>
      </c>
      <c r="DR22" s="97">
        <v>4.8991810000000003E-4</v>
      </c>
      <c r="DS22" s="93">
        <v>43.564071953999999</v>
      </c>
      <c r="DT22" s="80">
        <v>0.31233858279999999</v>
      </c>
      <c r="DU22" s="80">
        <v>16.718916166</v>
      </c>
      <c r="DV22" s="80">
        <v>0.1274341695</v>
      </c>
      <c r="DW22" s="80">
        <v>6.2796558061000001</v>
      </c>
      <c r="DX22" s="80">
        <v>5.0906346499999998E-2</v>
      </c>
      <c r="DY22" s="80">
        <v>2.3109353501999998</v>
      </c>
      <c r="DZ22" s="80">
        <v>2.0397083900000001E-2</v>
      </c>
      <c r="EA22" s="80">
        <v>0.86413644160000003</v>
      </c>
      <c r="EB22" s="80">
        <v>8.6941993999999998E-3</v>
      </c>
      <c r="EC22" s="80">
        <v>0.34472203000000001</v>
      </c>
      <c r="ED22" s="80">
        <v>4.2390129000000002E-3</v>
      </c>
      <c r="EE22" s="80">
        <v>0.15777285320000001</v>
      </c>
      <c r="EF22" s="80">
        <v>2.4821401999999999E-3</v>
      </c>
      <c r="EG22" s="80">
        <v>8.0285079300000006E-2</v>
      </c>
      <c r="EH22" s="80">
        <v>1.6677161999999999E-3</v>
      </c>
      <c r="EI22" s="80">
        <v>5.2778160800000001E-2</v>
      </c>
      <c r="EJ22" s="80">
        <v>1.3137214E-3</v>
      </c>
      <c r="EK22" s="80">
        <v>3.8133066100000002E-2</v>
      </c>
      <c r="EL22" s="94">
        <v>1.0835523999999999E-3</v>
      </c>
    </row>
    <row r="23" spans="1:142" x14ac:dyDescent="0.2">
      <c r="A23" s="79">
        <v>1800</v>
      </c>
      <c r="B23" s="27">
        <v>4256</v>
      </c>
      <c r="C23" s="79">
        <v>1070.2755411000001</v>
      </c>
      <c r="D23" s="27">
        <v>1750.1581077999999</v>
      </c>
      <c r="E23" s="27">
        <v>22.443836293</v>
      </c>
      <c r="F23" s="27">
        <v>3.2660177999999998E-2</v>
      </c>
      <c r="G23" s="79">
        <v>0.38301041019999998</v>
      </c>
      <c r="H23" s="27">
        <v>3.4824999999999998E-4</v>
      </c>
      <c r="I23" s="27">
        <v>111.95135883</v>
      </c>
      <c r="J23" s="27">
        <v>0.73971655430000005</v>
      </c>
      <c r="K23" s="27">
        <v>43.079023411000001</v>
      </c>
      <c r="L23" s="27">
        <v>0.26660672410000003</v>
      </c>
      <c r="M23" s="27">
        <v>9.1335082026999999</v>
      </c>
      <c r="N23" s="27">
        <v>8.1603153499999997E-2</v>
      </c>
      <c r="O23" s="80" t="s">
        <v>136</v>
      </c>
      <c r="P23" s="80">
        <v>0</v>
      </c>
      <c r="Q23" s="27">
        <v>3.8617307005999999</v>
      </c>
      <c r="R23" s="27">
        <v>8.8267616999999996E-3</v>
      </c>
      <c r="S23" s="80" t="s">
        <v>136</v>
      </c>
      <c r="T23" s="80">
        <v>0</v>
      </c>
      <c r="U23" s="80" t="s">
        <v>136</v>
      </c>
      <c r="V23" s="80">
        <v>0</v>
      </c>
      <c r="W23" s="27">
        <v>0.1076127029</v>
      </c>
      <c r="X23" s="27">
        <v>1.1842483E-3</v>
      </c>
      <c r="Y23" s="27">
        <v>9.8935059227999993</v>
      </c>
      <c r="Z23" s="27">
        <v>0.2441819294</v>
      </c>
      <c r="AA23" s="80" t="s">
        <v>136</v>
      </c>
      <c r="AB23" s="80">
        <v>0</v>
      </c>
      <c r="AC23" s="27">
        <v>0</v>
      </c>
      <c r="AD23" s="27">
        <v>0</v>
      </c>
      <c r="AE23" s="80" t="s">
        <v>136</v>
      </c>
      <c r="AF23" s="80">
        <v>0</v>
      </c>
      <c r="AG23" s="80" t="s">
        <v>136</v>
      </c>
      <c r="AH23" s="80">
        <v>0</v>
      </c>
      <c r="AI23" s="27">
        <f t="shared" si="0"/>
        <v>0</v>
      </c>
      <c r="AJ23" s="27">
        <f t="shared" si="1"/>
        <v>0</v>
      </c>
      <c r="AK23" s="27">
        <v>68.930887862000006</v>
      </c>
      <c r="AL23" s="27">
        <v>1.1321054933000001</v>
      </c>
      <c r="AM23" s="80" t="s">
        <v>136</v>
      </c>
      <c r="AN23" s="80">
        <v>0</v>
      </c>
      <c r="AO23" s="80" t="s">
        <v>136</v>
      </c>
      <c r="AP23" s="80">
        <v>0</v>
      </c>
      <c r="AQ23" s="80" t="s">
        <v>136</v>
      </c>
      <c r="AR23" s="80">
        <v>0</v>
      </c>
      <c r="AS23" s="27">
        <v>38.482322185000001</v>
      </c>
      <c r="AT23" s="27">
        <v>1.619525165</v>
      </c>
      <c r="AU23" s="27">
        <v>23.883386445999999</v>
      </c>
      <c r="AV23" s="27">
        <v>0.2279180895</v>
      </c>
      <c r="AW23" s="27">
        <v>12.008212557</v>
      </c>
      <c r="AX23" s="27">
        <v>0.1472320288</v>
      </c>
      <c r="AY23" s="27">
        <v>4.1221873412000001</v>
      </c>
      <c r="AZ23" s="27">
        <v>4.3634124699999999E-2</v>
      </c>
      <c r="BA23" s="80">
        <f t="shared" si="2"/>
        <v>7.7529865477999991</v>
      </c>
      <c r="BB23" s="80">
        <f t="shared" si="3"/>
        <v>3.7051936000000008E-2</v>
      </c>
      <c r="BC23" s="27">
        <v>0</v>
      </c>
      <c r="BD23" s="80">
        <v>0</v>
      </c>
      <c r="BE23" s="27">
        <v>75.861626794000003</v>
      </c>
      <c r="BF23" s="27">
        <v>0.99902340710000004</v>
      </c>
      <c r="BG23" s="79">
        <v>5.9745260000000004E-4</v>
      </c>
      <c r="BH23" s="80">
        <v>0</v>
      </c>
      <c r="BI23" s="27">
        <v>74.840532674000002</v>
      </c>
      <c r="BJ23" s="27">
        <v>2.9560034194</v>
      </c>
      <c r="BK23" s="27">
        <v>51.839761478</v>
      </c>
      <c r="BL23" s="27">
        <v>0.4281175056</v>
      </c>
      <c r="BM23" s="27">
        <v>15.320837213000001</v>
      </c>
      <c r="BN23" s="27">
        <v>0.1073101964</v>
      </c>
      <c r="BO23" s="27">
        <v>2.5634596900000001E-2</v>
      </c>
      <c r="BP23" s="27">
        <v>3.121776E-4</v>
      </c>
      <c r="BQ23" s="27">
        <v>0</v>
      </c>
      <c r="BR23" s="92">
        <v>0</v>
      </c>
      <c r="BS23" s="80" t="s">
        <v>136</v>
      </c>
      <c r="BT23" s="80">
        <v>0</v>
      </c>
      <c r="BU23" s="27">
        <v>0.13530462039999999</v>
      </c>
      <c r="BV23" s="27">
        <v>1.8015411000000001E-3</v>
      </c>
      <c r="BW23" s="27">
        <v>8.9982035823000004</v>
      </c>
      <c r="BX23" s="27">
        <v>7.9801612399999999E-2</v>
      </c>
      <c r="BY23" s="80" t="s">
        <v>136</v>
      </c>
      <c r="BZ23" s="80">
        <v>0</v>
      </c>
      <c r="CA23" s="80" t="s">
        <v>136</v>
      </c>
      <c r="CB23" s="80">
        <v>0</v>
      </c>
      <c r="CC23" s="27">
        <v>0.91270768150000003</v>
      </c>
      <c r="CD23" s="27">
        <v>1.3655656E-3</v>
      </c>
      <c r="CE23" s="27">
        <v>2.9490230191000002</v>
      </c>
      <c r="CF23" s="27">
        <v>7.4611961999999999E-3</v>
      </c>
      <c r="CG23" s="80" t="s">
        <v>136</v>
      </c>
      <c r="CH23" s="80">
        <v>0</v>
      </c>
      <c r="CI23" s="80" t="s">
        <v>136</v>
      </c>
      <c r="CJ23" s="80">
        <v>0</v>
      </c>
      <c r="CK23" s="80" t="s">
        <v>136</v>
      </c>
      <c r="CL23" s="80">
        <v>0</v>
      </c>
      <c r="CM23" s="80" t="s">
        <v>136</v>
      </c>
      <c r="CN23" s="80">
        <v>0</v>
      </c>
      <c r="CO23" s="27">
        <v>1.7418330700000002E-2</v>
      </c>
      <c r="CP23" s="27">
        <v>2.0442090000000001E-4</v>
      </c>
      <c r="CQ23" s="27">
        <v>9.0194372100000003E-2</v>
      </c>
      <c r="CR23" s="27">
        <v>9.7982730000000006E-4</v>
      </c>
      <c r="CS23" s="27">
        <v>0.40458759480000001</v>
      </c>
      <c r="CT23" s="27">
        <v>4.5459526E-3</v>
      </c>
      <c r="CU23" s="27">
        <v>9.4889183280000005</v>
      </c>
      <c r="CV23" s="27">
        <v>0.2396359767</v>
      </c>
      <c r="CW23" s="80" t="s">
        <v>136</v>
      </c>
      <c r="CX23" s="80">
        <v>0</v>
      </c>
      <c r="CY23" s="80" t="s">
        <v>136</v>
      </c>
      <c r="CZ23" s="80">
        <v>0</v>
      </c>
      <c r="DA23" s="27">
        <v>7.6755640929000002</v>
      </c>
      <c r="DB23" s="27">
        <v>0.11889882979999999</v>
      </c>
      <c r="DC23" s="27">
        <v>30.806758091999999</v>
      </c>
      <c r="DD23" s="27">
        <v>1.5006263351</v>
      </c>
      <c r="DE23" s="27">
        <v>6.7625582371000004</v>
      </c>
      <c r="DF23" s="27">
        <v>0.25063224309999999</v>
      </c>
      <c r="DG23" s="27">
        <v>69.099068556999995</v>
      </c>
      <c r="DH23" s="92">
        <v>0.74839116400000005</v>
      </c>
      <c r="DI23" s="95">
        <v>3.4468150000000001E-4</v>
      </c>
      <c r="DJ23" s="96">
        <v>5.3207600000000003E-4</v>
      </c>
      <c r="DK23" s="96">
        <v>5.675465E-4</v>
      </c>
      <c r="DL23" s="96">
        <v>5.8457099999999998E-4</v>
      </c>
      <c r="DM23" s="96">
        <v>5.8671790000000004E-4</v>
      </c>
      <c r="DN23" s="96">
        <v>5.8886490000000001E-4</v>
      </c>
      <c r="DO23" s="96">
        <v>5.9101179999999996E-4</v>
      </c>
      <c r="DP23" s="96">
        <v>5.9315870000000001E-4</v>
      </c>
      <c r="DQ23" s="96">
        <v>5.9530569999999999E-4</v>
      </c>
      <c r="DR23" s="97">
        <v>5.9745260000000004E-4</v>
      </c>
      <c r="DS23" s="93">
        <v>45.595471341</v>
      </c>
      <c r="DT23" s="80">
        <v>0.32601971149999998</v>
      </c>
      <c r="DU23" s="80">
        <v>17.881282722000002</v>
      </c>
      <c r="DV23" s="80">
        <v>0.1357386559</v>
      </c>
      <c r="DW23" s="80">
        <v>6.9017090286</v>
      </c>
      <c r="DX23" s="80">
        <v>5.5526061500000001E-2</v>
      </c>
      <c r="DY23" s="80">
        <v>2.6216846072000002</v>
      </c>
      <c r="DZ23" s="80">
        <v>2.28074622E-2</v>
      </c>
      <c r="EA23" s="80">
        <v>1.0147165587</v>
      </c>
      <c r="EB23" s="80">
        <v>9.9212316999999998E-3</v>
      </c>
      <c r="EC23" s="80">
        <v>0.41698900389999999</v>
      </c>
      <c r="ED23" s="80">
        <v>4.8696470000000004E-3</v>
      </c>
      <c r="EE23" s="80">
        <v>0.18979675500000001</v>
      </c>
      <c r="EF23" s="80">
        <v>2.7934498999999998E-3</v>
      </c>
      <c r="EG23" s="80">
        <v>9.6811861700000001E-2</v>
      </c>
      <c r="EH23" s="80">
        <v>1.848539E-3</v>
      </c>
      <c r="EI23" s="80">
        <v>6.1415169300000003E-2</v>
      </c>
      <c r="EJ23" s="80">
        <v>1.4284597E-3</v>
      </c>
      <c r="EK23" s="80">
        <v>4.2720029999999999E-2</v>
      </c>
      <c r="EL23" s="94">
        <v>1.1610896999999999E-3</v>
      </c>
    </row>
    <row r="24" spans="1:142" x14ac:dyDescent="0.2">
      <c r="A24" s="79">
        <v>1900</v>
      </c>
      <c r="B24" s="27">
        <v>4049</v>
      </c>
      <c r="C24" s="79">
        <v>1112.8181218</v>
      </c>
      <c r="D24" s="27">
        <v>1849.2602664999999</v>
      </c>
      <c r="E24" s="27">
        <v>24.445335650000001</v>
      </c>
      <c r="F24" s="27">
        <v>3.4617891099999999E-2</v>
      </c>
      <c r="G24" s="79">
        <v>0.4739697826</v>
      </c>
      <c r="H24" s="27">
        <v>4.123908E-4</v>
      </c>
      <c r="I24" s="27">
        <v>115.07897379000001</v>
      </c>
      <c r="J24" s="27">
        <v>0.76049396889999998</v>
      </c>
      <c r="K24" s="27">
        <v>44.786860548</v>
      </c>
      <c r="L24" s="27">
        <v>0.27664906039999998</v>
      </c>
      <c r="M24" s="27">
        <v>9.6937856523000008</v>
      </c>
      <c r="N24" s="27">
        <v>8.6054116299999997E-2</v>
      </c>
      <c r="O24" s="80" t="s">
        <v>136</v>
      </c>
      <c r="P24" s="80">
        <v>0</v>
      </c>
      <c r="Q24" s="27">
        <v>4.3298477138999996</v>
      </c>
      <c r="R24" s="27">
        <v>9.6154515999999999E-3</v>
      </c>
      <c r="S24" s="80" t="s">
        <v>136</v>
      </c>
      <c r="T24" s="80">
        <v>0</v>
      </c>
      <c r="U24" s="80" t="s">
        <v>136</v>
      </c>
      <c r="V24" s="80">
        <v>0</v>
      </c>
      <c r="W24" s="27">
        <v>0.121769483</v>
      </c>
      <c r="X24" s="27">
        <v>1.3234142E-3</v>
      </c>
      <c r="Y24" s="27">
        <v>10.761661052999999</v>
      </c>
      <c r="Z24" s="27">
        <v>0.26267487680000001</v>
      </c>
      <c r="AA24" s="80" t="s">
        <v>136</v>
      </c>
      <c r="AB24" s="80">
        <v>0</v>
      </c>
      <c r="AC24" s="27">
        <v>0</v>
      </c>
      <c r="AD24" s="27">
        <v>0</v>
      </c>
      <c r="AE24" s="80" t="s">
        <v>136</v>
      </c>
      <c r="AF24" s="80">
        <v>0</v>
      </c>
      <c r="AG24" s="80" t="s">
        <v>136</v>
      </c>
      <c r="AH24" s="80">
        <v>0</v>
      </c>
      <c r="AI24" s="27">
        <f t="shared" si="0"/>
        <v>0</v>
      </c>
      <c r="AJ24" s="27">
        <f t="shared" si="1"/>
        <v>0</v>
      </c>
      <c r="AK24" s="27">
        <v>71.585507789999994</v>
      </c>
      <c r="AL24" s="27">
        <v>1.1649189146000001</v>
      </c>
      <c r="AM24" s="80" t="s">
        <v>136</v>
      </c>
      <c r="AN24" s="80">
        <v>0</v>
      </c>
      <c r="AO24" s="80" t="s">
        <v>136</v>
      </c>
      <c r="AP24" s="80">
        <v>0</v>
      </c>
      <c r="AQ24" s="80" t="s">
        <v>136</v>
      </c>
      <c r="AR24" s="80">
        <v>0</v>
      </c>
      <c r="AS24" s="27">
        <v>40.216147077999999</v>
      </c>
      <c r="AT24" s="27">
        <v>1.6761988053000001</v>
      </c>
      <c r="AU24" s="27">
        <v>25.43955849</v>
      </c>
      <c r="AV24" s="27">
        <v>0.23902402</v>
      </c>
      <c r="AW24" s="27">
        <v>12.757510658999999</v>
      </c>
      <c r="AX24" s="27">
        <v>0.1542598959</v>
      </c>
      <c r="AY24" s="27">
        <v>4.3396867333999998</v>
      </c>
      <c r="AZ24" s="27">
        <v>4.5556552700000003E-2</v>
      </c>
      <c r="BA24" s="80">
        <f t="shared" si="2"/>
        <v>8.3423610976000013</v>
      </c>
      <c r="BB24" s="80">
        <f t="shared" si="3"/>
        <v>3.9207571400000002E-2</v>
      </c>
      <c r="BC24" s="27">
        <v>0</v>
      </c>
      <c r="BD24" s="80">
        <v>0</v>
      </c>
      <c r="BE24" s="27">
        <v>79.220573338999998</v>
      </c>
      <c r="BF24" s="27">
        <v>1.0336560859999999</v>
      </c>
      <c r="BG24" s="79">
        <v>7.2261419999999996E-4</v>
      </c>
      <c r="BH24" s="80">
        <v>0</v>
      </c>
      <c r="BI24" s="27">
        <v>77.706423150000006</v>
      </c>
      <c r="BJ24" s="27">
        <v>3.039840662</v>
      </c>
      <c r="BK24" s="27">
        <v>56.526172871999997</v>
      </c>
      <c r="BL24" s="27">
        <v>0.4644007241</v>
      </c>
      <c r="BM24" s="27">
        <v>16.451092223</v>
      </c>
      <c r="BN24" s="27">
        <v>0.11370775029999999</v>
      </c>
      <c r="BO24" s="27">
        <v>2.5093179100000002E-2</v>
      </c>
      <c r="BP24" s="27">
        <v>3.0414389999999997E-4</v>
      </c>
      <c r="BQ24" s="27">
        <v>0</v>
      </c>
      <c r="BR24" s="92">
        <v>0</v>
      </c>
      <c r="BS24" s="80" t="s">
        <v>136</v>
      </c>
      <c r="BT24" s="80">
        <v>0</v>
      </c>
      <c r="BU24" s="27">
        <v>0.1331909671</v>
      </c>
      <c r="BV24" s="27">
        <v>1.7731639E-3</v>
      </c>
      <c r="BW24" s="27">
        <v>9.5605946851999999</v>
      </c>
      <c r="BX24" s="27">
        <v>8.4280952300000003E-2</v>
      </c>
      <c r="BY24" s="80" t="s">
        <v>136</v>
      </c>
      <c r="BZ24" s="80">
        <v>0</v>
      </c>
      <c r="CA24" s="80" t="s">
        <v>136</v>
      </c>
      <c r="CB24" s="80">
        <v>0</v>
      </c>
      <c r="CC24" s="27">
        <v>1.0489200729999999</v>
      </c>
      <c r="CD24" s="27">
        <v>1.4996883E-3</v>
      </c>
      <c r="CE24" s="27">
        <v>3.2809276409999999</v>
      </c>
      <c r="CF24" s="27">
        <v>8.1157633000000003E-3</v>
      </c>
      <c r="CG24" s="80" t="s">
        <v>136</v>
      </c>
      <c r="CH24" s="80">
        <v>0</v>
      </c>
      <c r="CI24" s="80" t="s">
        <v>136</v>
      </c>
      <c r="CJ24" s="80">
        <v>0</v>
      </c>
      <c r="CK24" s="80" t="s">
        <v>136</v>
      </c>
      <c r="CL24" s="80">
        <v>0</v>
      </c>
      <c r="CM24" s="80" t="s">
        <v>136</v>
      </c>
      <c r="CN24" s="80">
        <v>0</v>
      </c>
      <c r="CO24" s="27">
        <v>1.7016638899999999E-2</v>
      </c>
      <c r="CP24" s="27">
        <v>1.996206E-4</v>
      </c>
      <c r="CQ24" s="27">
        <v>0.10475284410000001</v>
      </c>
      <c r="CR24" s="27">
        <v>1.1237936000000001E-3</v>
      </c>
      <c r="CS24" s="27">
        <v>0.46266472269999998</v>
      </c>
      <c r="CT24" s="27">
        <v>5.0589913000000002E-3</v>
      </c>
      <c r="CU24" s="27">
        <v>10.29899633</v>
      </c>
      <c r="CV24" s="27">
        <v>0.25761588549999997</v>
      </c>
      <c r="CW24" s="80" t="s">
        <v>136</v>
      </c>
      <c r="CX24" s="80">
        <v>0</v>
      </c>
      <c r="CY24" s="80" t="s">
        <v>136</v>
      </c>
      <c r="CZ24" s="80">
        <v>0</v>
      </c>
      <c r="DA24" s="27">
        <v>8.1468011394000008</v>
      </c>
      <c r="DB24" s="27">
        <v>0.1242067278</v>
      </c>
      <c r="DC24" s="27">
        <v>32.069345939000002</v>
      </c>
      <c r="DD24" s="27">
        <v>1.5519920775</v>
      </c>
      <c r="DE24" s="27">
        <v>7.1846178600000004</v>
      </c>
      <c r="DF24" s="27">
        <v>0.26161025290000001</v>
      </c>
      <c r="DG24" s="27">
        <v>72.035955478999995</v>
      </c>
      <c r="DH24" s="92">
        <v>0.77204583309999997</v>
      </c>
      <c r="DI24" s="95">
        <v>4.0891860000000002E-4</v>
      </c>
      <c r="DJ24" s="96">
        <v>6.3982280000000002E-4</v>
      </c>
      <c r="DK24" s="96">
        <v>6.9330469999999997E-4</v>
      </c>
      <c r="DL24" s="96">
        <v>7.0990560000000003E-4</v>
      </c>
      <c r="DM24" s="96">
        <v>7.1202370000000002E-4</v>
      </c>
      <c r="DN24" s="96">
        <v>7.1414180000000001E-4</v>
      </c>
      <c r="DO24" s="96">
        <v>7.162599E-4</v>
      </c>
      <c r="DP24" s="96">
        <v>7.1837799999999999E-4</v>
      </c>
      <c r="DQ24" s="96">
        <v>7.2049609999999997E-4</v>
      </c>
      <c r="DR24" s="97">
        <v>7.2261419999999996E-4</v>
      </c>
      <c r="DS24" s="93">
        <v>47.790677266000003</v>
      </c>
      <c r="DT24" s="80">
        <v>0.34118406530000001</v>
      </c>
      <c r="DU24" s="80">
        <v>19.177755564999998</v>
      </c>
      <c r="DV24" s="80">
        <v>0.1451727813</v>
      </c>
      <c r="DW24" s="80">
        <v>7.6225129784999996</v>
      </c>
      <c r="DX24" s="80">
        <v>6.1030620299999998E-2</v>
      </c>
      <c r="DY24" s="80">
        <v>3.0039220684000001</v>
      </c>
      <c r="DZ24" s="80">
        <v>2.5864227300000001E-2</v>
      </c>
      <c r="EA24" s="80">
        <v>1.2060534762999999</v>
      </c>
      <c r="EB24" s="80">
        <v>1.15632649E-2</v>
      </c>
      <c r="EC24" s="80">
        <v>0.5101963679</v>
      </c>
      <c r="ED24" s="80">
        <v>5.7558145000000003E-3</v>
      </c>
      <c r="EE24" s="80">
        <v>0.23752432109999999</v>
      </c>
      <c r="EF24" s="80">
        <v>3.306055E-3</v>
      </c>
      <c r="EG24" s="80">
        <v>0.122806968</v>
      </c>
      <c r="EH24" s="80">
        <v>2.1707254999999998E-3</v>
      </c>
      <c r="EI24" s="80">
        <v>7.4595150700000001E-2</v>
      </c>
      <c r="EJ24" s="80">
        <v>1.632908E-3</v>
      </c>
      <c r="EK24" s="80">
        <v>5.2116524499999997E-2</v>
      </c>
      <c r="EL24" s="94">
        <v>1.3251382000000001E-3</v>
      </c>
    </row>
    <row r="25" spans="1:142" x14ac:dyDescent="0.2">
      <c r="A25" s="79">
        <v>2000</v>
      </c>
      <c r="B25" s="27">
        <v>3812</v>
      </c>
      <c r="C25" s="79">
        <v>1154.1585336999999</v>
      </c>
      <c r="D25" s="27">
        <v>1949.1799559999999</v>
      </c>
      <c r="E25" s="27">
        <v>26.368318276</v>
      </c>
      <c r="F25" s="27">
        <v>3.6371450100000001E-2</v>
      </c>
      <c r="G25" s="79">
        <v>0.56925562529999996</v>
      </c>
      <c r="H25" s="27">
        <v>4.705663E-4</v>
      </c>
      <c r="I25" s="27">
        <v>117.76856669999999</v>
      </c>
      <c r="J25" s="27">
        <v>0.77755732300000002</v>
      </c>
      <c r="K25" s="27">
        <v>46.414094652999999</v>
      </c>
      <c r="L25" s="27">
        <v>0.28593329499999998</v>
      </c>
      <c r="M25" s="27">
        <v>10.323165962999999</v>
      </c>
      <c r="N25" s="27">
        <v>9.1606928300000001E-2</v>
      </c>
      <c r="O25" s="80" t="s">
        <v>136</v>
      </c>
      <c r="P25" s="80">
        <v>0</v>
      </c>
      <c r="Q25" s="27">
        <v>5.0501513747000004</v>
      </c>
      <c r="R25" s="27">
        <v>1.0879351900000001E-2</v>
      </c>
      <c r="S25" s="80" t="s">
        <v>136</v>
      </c>
      <c r="T25" s="80">
        <v>0</v>
      </c>
      <c r="U25" s="80" t="s">
        <v>136</v>
      </c>
      <c r="V25" s="80">
        <v>0</v>
      </c>
      <c r="W25" s="27">
        <v>0.12787543169999999</v>
      </c>
      <c r="X25" s="27">
        <v>1.3882342E-3</v>
      </c>
      <c r="Y25" s="27">
        <v>11.357857654</v>
      </c>
      <c r="Z25" s="27">
        <v>0.27760796069999999</v>
      </c>
      <c r="AA25" s="80" t="s">
        <v>136</v>
      </c>
      <c r="AB25" s="80">
        <v>0</v>
      </c>
      <c r="AC25" s="27">
        <v>0</v>
      </c>
      <c r="AD25" s="27">
        <v>0</v>
      </c>
      <c r="AE25" s="80" t="s">
        <v>136</v>
      </c>
      <c r="AF25" s="80">
        <v>0</v>
      </c>
      <c r="AG25" s="80" t="s">
        <v>136</v>
      </c>
      <c r="AH25" s="80">
        <v>0</v>
      </c>
      <c r="AI25" s="27">
        <f t="shared" si="0"/>
        <v>0</v>
      </c>
      <c r="AJ25" s="27">
        <f t="shared" si="1"/>
        <v>0</v>
      </c>
      <c r="AK25" s="27">
        <v>74.118898560000005</v>
      </c>
      <c r="AL25" s="27">
        <v>1.1960155952</v>
      </c>
      <c r="AM25" s="80" t="s">
        <v>136</v>
      </c>
      <c r="AN25" s="80">
        <v>0</v>
      </c>
      <c r="AO25" s="80" t="s">
        <v>136</v>
      </c>
      <c r="AP25" s="80">
        <v>0</v>
      </c>
      <c r="AQ25" s="80" t="s">
        <v>136</v>
      </c>
      <c r="AR25" s="80">
        <v>0</v>
      </c>
      <c r="AS25" s="27">
        <v>41.929781695000003</v>
      </c>
      <c r="AT25" s="27">
        <v>1.7277815743</v>
      </c>
      <c r="AU25" s="27">
        <v>26.852196218</v>
      </c>
      <c r="AV25" s="27">
        <v>0.24904344549999999</v>
      </c>
      <c r="AW25" s="27">
        <v>13.518457871000001</v>
      </c>
      <c r="AX25" s="27">
        <v>0.16092117310000001</v>
      </c>
      <c r="AY25" s="27">
        <v>4.5508295053000003</v>
      </c>
      <c r="AZ25" s="27">
        <v>4.7270070900000002E-2</v>
      </c>
      <c r="BA25" s="80">
        <f t="shared" si="2"/>
        <v>8.7829088416999994</v>
      </c>
      <c r="BB25" s="80">
        <f t="shared" si="3"/>
        <v>4.0852201499999991E-2</v>
      </c>
      <c r="BC25" s="27">
        <v>0</v>
      </c>
      <c r="BD25" s="80">
        <v>0</v>
      </c>
      <c r="BE25" s="27">
        <v>82.531035904999996</v>
      </c>
      <c r="BF25" s="27">
        <v>1.0679484447000001</v>
      </c>
      <c r="BG25" s="79">
        <v>8.5170280000000003E-4</v>
      </c>
      <c r="BH25" s="80">
        <v>0</v>
      </c>
      <c r="BI25" s="27">
        <v>80.762884205000006</v>
      </c>
      <c r="BJ25" s="27">
        <v>3.1260736719</v>
      </c>
      <c r="BK25" s="27">
        <v>60.981811731999997</v>
      </c>
      <c r="BL25" s="27">
        <v>0.49909759520000002</v>
      </c>
      <c r="BM25" s="27">
        <v>17.722919613999998</v>
      </c>
      <c r="BN25" s="27">
        <v>0.1206563381</v>
      </c>
      <c r="BO25" s="27">
        <v>2.5309228499999999E-2</v>
      </c>
      <c r="BP25" s="27">
        <v>3.0221859999999997E-4</v>
      </c>
      <c r="BQ25" s="27">
        <v>0</v>
      </c>
      <c r="BR25" s="92">
        <v>0</v>
      </c>
      <c r="BS25" s="80" t="s">
        <v>136</v>
      </c>
      <c r="BT25" s="80">
        <v>0</v>
      </c>
      <c r="BU25" s="27">
        <v>0.15201998990000001</v>
      </c>
      <c r="BV25" s="27">
        <v>2.118048E-3</v>
      </c>
      <c r="BW25" s="27">
        <v>10.171145973</v>
      </c>
      <c r="BX25" s="27">
        <v>8.9488880300000004E-2</v>
      </c>
      <c r="BY25" s="80" t="s">
        <v>136</v>
      </c>
      <c r="BZ25" s="80">
        <v>0</v>
      </c>
      <c r="CA25" s="80" t="s">
        <v>136</v>
      </c>
      <c r="CB25" s="80">
        <v>0</v>
      </c>
      <c r="CC25" s="27">
        <v>1.2850884529</v>
      </c>
      <c r="CD25" s="27">
        <v>1.7520201E-3</v>
      </c>
      <c r="CE25" s="27">
        <v>3.7650629217999998</v>
      </c>
      <c r="CF25" s="27">
        <v>9.1273317999999992E-3</v>
      </c>
      <c r="CG25" s="80" t="s">
        <v>136</v>
      </c>
      <c r="CH25" s="80">
        <v>0</v>
      </c>
      <c r="CI25" s="80" t="s">
        <v>136</v>
      </c>
      <c r="CJ25" s="80">
        <v>0</v>
      </c>
      <c r="CK25" s="80" t="s">
        <v>136</v>
      </c>
      <c r="CL25" s="80">
        <v>0</v>
      </c>
      <c r="CM25" s="80" t="s">
        <v>136</v>
      </c>
      <c r="CN25" s="80">
        <v>0</v>
      </c>
      <c r="CO25" s="27">
        <v>1.6683121799999999E-2</v>
      </c>
      <c r="CP25" s="27">
        <v>1.9566629999999999E-4</v>
      </c>
      <c r="CQ25" s="27">
        <v>0.11119230989999999</v>
      </c>
      <c r="CR25" s="27">
        <v>1.1925678999999999E-3</v>
      </c>
      <c r="CS25" s="27">
        <v>0.48455818899999997</v>
      </c>
      <c r="CT25" s="27">
        <v>5.2767526000000002E-3</v>
      </c>
      <c r="CU25" s="27">
        <v>10.873299465000001</v>
      </c>
      <c r="CV25" s="27">
        <v>0.2723312081</v>
      </c>
      <c r="CW25" s="80" t="s">
        <v>136</v>
      </c>
      <c r="CX25" s="80">
        <v>0</v>
      </c>
      <c r="CY25" s="80" t="s">
        <v>136</v>
      </c>
      <c r="CZ25" s="80">
        <v>0</v>
      </c>
      <c r="DA25" s="27">
        <v>8.6342202557000007</v>
      </c>
      <c r="DB25" s="27">
        <v>0.12977533890000001</v>
      </c>
      <c r="DC25" s="27">
        <v>33.295561438999997</v>
      </c>
      <c r="DD25" s="27">
        <v>1.5980062353</v>
      </c>
      <c r="DE25" s="27">
        <v>7.7292263272000001</v>
      </c>
      <c r="DF25" s="27">
        <v>0.2737927752</v>
      </c>
      <c r="DG25" s="27">
        <v>74.801809578000004</v>
      </c>
      <c r="DH25" s="92">
        <v>0.79415566950000005</v>
      </c>
      <c r="DI25" s="95">
        <v>4.6717029999999998E-4</v>
      </c>
      <c r="DJ25" s="96">
        <v>7.5304219999999995E-4</v>
      </c>
      <c r="DK25" s="96">
        <v>8.2289419999999997E-4</v>
      </c>
      <c r="DL25" s="96">
        <v>8.3914920000000004E-4</v>
      </c>
      <c r="DM25" s="96">
        <v>8.4124150000000001E-4</v>
      </c>
      <c r="DN25" s="96">
        <v>8.4333369999999995E-4</v>
      </c>
      <c r="DO25" s="96">
        <v>8.4542600000000003E-4</v>
      </c>
      <c r="DP25" s="96">
        <v>8.4751830000000001E-4</v>
      </c>
      <c r="DQ25" s="96">
        <v>8.4961059999999998E-4</v>
      </c>
      <c r="DR25" s="97">
        <v>8.5170280000000003E-4</v>
      </c>
      <c r="DS25" s="93">
        <v>49.616368180000002</v>
      </c>
      <c r="DT25" s="80">
        <v>0.3532422342</v>
      </c>
      <c r="DU25" s="80">
        <v>20.228226100000001</v>
      </c>
      <c r="DV25" s="80">
        <v>0.15244486630000001</v>
      </c>
      <c r="DW25" s="80">
        <v>8.1664388979000009</v>
      </c>
      <c r="DX25" s="80">
        <v>6.4994864299999996E-2</v>
      </c>
      <c r="DY25" s="80">
        <v>3.2722540870999999</v>
      </c>
      <c r="DZ25" s="80">
        <v>2.79627813E-2</v>
      </c>
      <c r="EA25" s="80">
        <v>1.3381336203</v>
      </c>
      <c r="EB25" s="80">
        <v>1.2674000600000001E-2</v>
      </c>
      <c r="EC25" s="80">
        <v>0.57205011299999997</v>
      </c>
      <c r="ED25" s="80">
        <v>6.3403553999999999E-3</v>
      </c>
      <c r="EE25" s="80">
        <v>0.2729110475</v>
      </c>
      <c r="EF25" s="80">
        <v>3.6806162999999999E-3</v>
      </c>
      <c r="EG25" s="80">
        <v>0.14300241990000001</v>
      </c>
      <c r="EH25" s="80">
        <v>2.4158860999999999E-3</v>
      </c>
      <c r="EI25" s="80">
        <v>8.9131919800000001E-2</v>
      </c>
      <c r="EJ25" s="80">
        <v>1.8244546000000001E-3</v>
      </c>
      <c r="EK25" s="80">
        <v>6.2887902199999998E-2</v>
      </c>
      <c r="EL25" s="94">
        <v>1.4812647E-3</v>
      </c>
    </row>
    <row r="26" spans="1:142" x14ac:dyDescent="0.2">
      <c r="A26" s="79">
        <v>2100</v>
      </c>
      <c r="B26" s="27">
        <v>3598</v>
      </c>
      <c r="C26" s="79">
        <v>1194.4223291999999</v>
      </c>
      <c r="D26" s="27">
        <v>2050.2726244999999</v>
      </c>
      <c r="E26" s="27">
        <v>28.271176060999998</v>
      </c>
      <c r="F26" s="27">
        <v>3.8110073000000001E-2</v>
      </c>
      <c r="G26" s="79">
        <v>0.66379868679999998</v>
      </c>
      <c r="H26" s="27">
        <v>5.3942050000000004E-4</v>
      </c>
      <c r="I26" s="27">
        <v>120.27914438000001</v>
      </c>
      <c r="J26" s="27">
        <v>0.79401754960000004</v>
      </c>
      <c r="K26" s="27">
        <v>48.026180541000002</v>
      </c>
      <c r="L26" s="27">
        <v>0.295402995</v>
      </c>
      <c r="M26" s="27">
        <v>10.749674493000001</v>
      </c>
      <c r="N26" s="27">
        <v>9.4882068900000005E-2</v>
      </c>
      <c r="O26" s="80" t="s">
        <v>136</v>
      </c>
      <c r="P26" s="80">
        <v>0</v>
      </c>
      <c r="Q26" s="27">
        <v>5.8112653219999997</v>
      </c>
      <c r="R26" s="27">
        <v>1.21858525E-2</v>
      </c>
      <c r="S26" s="80" t="s">
        <v>136</v>
      </c>
      <c r="T26" s="80">
        <v>0</v>
      </c>
      <c r="U26" s="80" t="s">
        <v>136</v>
      </c>
      <c r="V26" s="80">
        <v>0</v>
      </c>
      <c r="W26" s="27">
        <v>0.1513377457</v>
      </c>
      <c r="X26" s="27">
        <v>1.6245095000000001E-3</v>
      </c>
      <c r="Y26" s="27">
        <v>12.137139482</v>
      </c>
      <c r="Z26" s="27">
        <v>0.29414440559999999</v>
      </c>
      <c r="AA26" s="80" t="s">
        <v>136</v>
      </c>
      <c r="AB26" s="80">
        <v>0</v>
      </c>
      <c r="AC26" s="27">
        <v>0</v>
      </c>
      <c r="AD26" s="27">
        <v>0</v>
      </c>
      <c r="AE26" s="80" t="s">
        <v>136</v>
      </c>
      <c r="AF26" s="80">
        <v>0</v>
      </c>
      <c r="AG26" s="80" t="s">
        <v>136</v>
      </c>
      <c r="AH26" s="80">
        <v>0</v>
      </c>
      <c r="AI26" s="27">
        <f t="shared" si="0"/>
        <v>0</v>
      </c>
      <c r="AJ26" s="27">
        <f t="shared" si="1"/>
        <v>0</v>
      </c>
      <c r="AK26" s="27">
        <v>76.622519749999995</v>
      </c>
      <c r="AL26" s="27">
        <v>1.2260928561</v>
      </c>
      <c r="AM26" s="80" t="s">
        <v>136</v>
      </c>
      <c r="AN26" s="80">
        <v>0</v>
      </c>
      <c r="AO26" s="80" t="s">
        <v>136</v>
      </c>
      <c r="AP26" s="80">
        <v>0</v>
      </c>
      <c r="AQ26" s="80" t="s">
        <v>136</v>
      </c>
      <c r="AR26" s="80">
        <v>0</v>
      </c>
      <c r="AS26" s="27">
        <v>43.481738399000001</v>
      </c>
      <c r="AT26" s="27">
        <v>1.7749801397</v>
      </c>
      <c r="AU26" s="27">
        <v>28.476262349999999</v>
      </c>
      <c r="AV26" s="27">
        <v>0.26032832909999998</v>
      </c>
      <c r="AW26" s="27">
        <v>14.219151068</v>
      </c>
      <c r="AX26" s="27">
        <v>0.16796888160000001</v>
      </c>
      <c r="AY26" s="27">
        <v>4.8308674099999998</v>
      </c>
      <c r="AZ26" s="27">
        <v>4.9249693800000001E-2</v>
      </c>
      <c r="BA26" s="80">
        <f t="shared" si="2"/>
        <v>9.4262438720000006</v>
      </c>
      <c r="BB26" s="80">
        <f t="shared" si="3"/>
        <v>4.3109753699999975E-2</v>
      </c>
      <c r="BC26" s="27">
        <v>0</v>
      </c>
      <c r="BD26" s="80">
        <v>0</v>
      </c>
      <c r="BE26" s="27">
        <v>85.720247117</v>
      </c>
      <c r="BF26" s="27">
        <v>1.0986847505999999</v>
      </c>
      <c r="BG26" s="79">
        <v>1.0563972E-3</v>
      </c>
      <c r="BH26" s="80">
        <v>0</v>
      </c>
      <c r="BI26" s="27">
        <v>83.726236063000002</v>
      </c>
      <c r="BJ26" s="27">
        <v>3.2088131486</v>
      </c>
      <c r="BK26" s="27">
        <v>65.553595130000005</v>
      </c>
      <c r="BL26" s="27">
        <v>0.53314546640000005</v>
      </c>
      <c r="BM26" s="27">
        <v>18.876744623</v>
      </c>
      <c r="BN26" s="27">
        <v>0.126617644</v>
      </c>
      <c r="BO26" s="27">
        <v>2.48597877E-2</v>
      </c>
      <c r="BP26" s="27">
        <v>2.957363E-4</v>
      </c>
      <c r="BQ26" s="27">
        <v>0</v>
      </c>
      <c r="BR26" s="92">
        <v>0</v>
      </c>
      <c r="BS26" s="80" t="s">
        <v>136</v>
      </c>
      <c r="BT26" s="80">
        <v>0</v>
      </c>
      <c r="BU26" s="27">
        <v>0.1565769638</v>
      </c>
      <c r="BV26" s="27">
        <v>2.1675144999999999E-3</v>
      </c>
      <c r="BW26" s="27">
        <v>10.593097529</v>
      </c>
      <c r="BX26" s="27">
        <v>9.2714554399999996E-2</v>
      </c>
      <c r="BY26" s="80" t="s">
        <v>136</v>
      </c>
      <c r="BZ26" s="80">
        <v>0</v>
      </c>
      <c r="CA26" s="80" t="s">
        <v>136</v>
      </c>
      <c r="CB26" s="80">
        <v>0</v>
      </c>
      <c r="CC26" s="27">
        <v>1.572967741</v>
      </c>
      <c r="CD26" s="27">
        <v>2.0419396000000002E-3</v>
      </c>
      <c r="CE26" s="27">
        <v>4.2382975809000003</v>
      </c>
      <c r="CF26" s="27">
        <v>1.01439129E-2</v>
      </c>
      <c r="CG26" s="80" t="s">
        <v>136</v>
      </c>
      <c r="CH26" s="80">
        <v>0</v>
      </c>
      <c r="CI26" s="80" t="s">
        <v>136</v>
      </c>
      <c r="CJ26" s="80">
        <v>0</v>
      </c>
      <c r="CK26" s="80" t="s">
        <v>136</v>
      </c>
      <c r="CL26" s="80">
        <v>0</v>
      </c>
      <c r="CM26" s="80" t="s">
        <v>136</v>
      </c>
      <c r="CN26" s="80">
        <v>0</v>
      </c>
      <c r="CO26" s="27">
        <v>2.13979228E-2</v>
      </c>
      <c r="CP26" s="27">
        <v>2.246405E-4</v>
      </c>
      <c r="CQ26" s="27">
        <v>0.1299398229</v>
      </c>
      <c r="CR26" s="27">
        <v>1.399869E-3</v>
      </c>
      <c r="CS26" s="27">
        <v>0.54673247759999999</v>
      </c>
      <c r="CT26" s="27">
        <v>5.8576128000000002E-3</v>
      </c>
      <c r="CU26" s="27">
        <v>11.590407003999999</v>
      </c>
      <c r="CV26" s="27">
        <v>0.28828679280000002</v>
      </c>
      <c r="CW26" s="80" t="s">
        <v>136</v>
      </c>
      <c r="CX26" s="80">
        <v>0</v>
      </c>
      <c r="CY26" s="80" t="s">
        <v>136</v>
      </c>
      <c r="CZ26" s="80">
        <v>0</v>
      </c>
      <c r="DA26" s="27">
        <v>9.0449304311999992</v>
      </c>
      <c r="DB26" s="27">
        <v>0.13457478749999999</v>
      </c>
      <c r="DC26" s="27">
        <v>34.436807967999997</v>
      </c>
      <c r="DD26" s="27">
        <v>1.6404053521999999</v>
      </c>
      <c r="DE26" s="27">
        <v>8.1655353836</v>
      </c>
      <c r="DF26" s="27">
        <v>0.28364405729999997</v>
      </c>
      <c r="DG26" s="27">
        <v>77.554711733000005</v>
      </c>
      <c r="DH26" s="92">
        <v>0.81504069329999995</v>
      </c>
      <c r="DI26" s="95">
        <v>5.2888540000000002E-4</v>
      </c>
      <c r="DJ26" s="96">
        <v>8.599794E-4</v>
      </c>
      <c r="DK26" s="96">
        <v>9.3707100000000004E-4</v>
      </c>
      <c r="DL26" s="96">
        <v>9.6162570000000005E-4</v>
      </c>
      <c r="DM26" s="96">
        <v>9.7230069999999997E-4</v>
      </c>
      <c r="DN26" s="96">
        <v>9.829757000000001E-4</v>
      </c>
      <c r="DO26" s="96">
        <v>9.9005529999999999E-4</v>
      </c>
      <c r="DP26" s="96">
        <v>9.9713499999999991E-4</v>
      </c>
      <c r="DQ26" s="96">
        <v>1.0042146E-3</v>
      </c>
      <c r="DR26" s="97">
        <v>1.0112942999999999E-3</v>
      </c>
      <c r="DS26" s="93">
        <v>51.306702571000002</v>
      </c>
      <c r="DT26" s="80">
        <v>0.36501391389999999</v>
      </c>
      <c r="DU26" s="80">
        <v>21.228360040999998</v>
      </c>
      <c r="DV26" s="80">
        <v>0.159847822</v>
      </c>
      <c r="DW26" s="80">
        <v>8.7017947273999994</v>
      </c>
      <c r="DX26" s="80">
        <v>6.9298489699999993E-2</v>
      </c>
      <c r="DY26" s="80">
        <v>3.5419400271999999</v>
      </c>
      <c r="DZ26" s="80">
        <v>3.0362264199999999E-2</v>
      </c>
      <c r="EA26" s="80">
        <v>1.4646094865999999</v>
      </c>
      <c r="EB26" s="80">
        <v>1.3979201199999999E-2</v>
      </c>
      <c r="EC26" s="80">
        <v>0.63801157149999999</v>
      </c>
      <c r="ED26" s="80">
        <v>7.1479849000000003E-3</v>
      </c>
      <c r="EE26" s="80">
        <v>0.30872555000000002</v>
      </c>
      <c r="EF26" s="80">
        <v>4.2239647E-3</v>
      </c>
      <c r="EG26" s="80">
        <v>0.1654461529</v>
      </c>
      <c r="EH26" s="80">
        <v>2.8167004999999998E-3</v>
      </c>
      <c r="EI26" s="80">
        <v>0.1046372886</v>
      </c>
      <c r="EJ26" s="80">
        <v>2.1372137E-3</v>
      </c>
      <c r="EK26" s="80">
        <v>7.4660372700000005E-2</v>
      </c>
      <c r="EL26" s="94">
        <v>1.7385199000000001E-3</v>
      </c>
    </row>
    <row r="27" spans="1:142" x14ac:dyDescent="0.2">
      <c r="A27" s="79">
        <v>2200</v>
      </c>
      <c r="B27" s="27">
        <v>3414</v>
      </c>
      <c r="C27" s="79">
        <v>1233.8268923999999</v>
      </c>
      <c r="D27" s="27">
        <v>2149.8219782000001</v>
      </c>
      <c r="E27" s="27">
        <v>30.349265458000001</v>
      </c>
      <c r="F27" s="27">
        <v>3.9843555699999998E-2</v>
      </c>
      <c r="G27" s="79">
        <v>0.75280212079999997</v>
      </c>
      <c r="H27" s="27">
        <v>5.9468140000000004E-4</v>
      </c>
      <c r="I27" s="27">
        <v>122.85164956</v>
      </c>
      <c r="J27" s="27">
        <v>0.81051081680000003</v>
      </c>
      <c r="K27" s="27">
        <v>49.622152698999997</v>
      </c>
      <c r="L27" s="27">
        <v>0.30488374600000001</v>
      </c>
      <c r="M27" s="27">
        <v>11.302905402</v>
      </c>
      <c r="N27" s="27">
        <v>9.9216757899999994E-2</v>
      </c>
      <c r="O27" s="80" t="s">
        <v>136</v>
      </c>
      <c r="P27" s="80">
        <v>0</v>
      </c>
      <c r="Q27" s="27">
        <v>6.5023383682000002</v>
      </c>
      <c r="R27" s="27">
        <v>1.32672673E-2</v>
      </c>
      <c r="S27" s="80" t="s">
        <v>136</v>
      </c>
      <c r="T27" s="80">
        <v>0</v>
      </c>
      <c r="U27" s="80" t="s">
        <v>136</v>
      </c>
      <c r="V27" s="80">
        <v>0</v>
      </c>
      <c r="W27" s="27">
        <v>0.16165761370000001</v>
      </c>
      <c r="X27" s="27">
        <v>1.7437456000000001E-3</v>
      </c>
      <c r="Y27" s="27">
        <v>12.826057079</v>
      </c>
      <c r="Z27" s="27">
        <v>0.3096335362</v>
      </c>
      <c r="AA27" s="80" t="s">
        <v>136</v>
      </c>
      <c r="AB27" s="80">
        <v>0</v>
      </c>
      <c r="AC27" s="27">
        <v>0</v>
      </c>
      <c r="AD27" s="27">
        <v>0</v>
      </c>
      <c r="AE27" s="80" t="s">
        <v>136</v>
      </c>
      <c r="AF27" s="80">
        <v>0</v>
      </c>
      <c r="AG27" s="80" t="s">
        <v>136</v>
      </c>
      <c r="AH27" s="80">
        <v>0</v>
      </c>
      <c r="AI27" s="27">
        <f t="shared" si="0"/>
        <v>0</v>
      </c>
      <c r="AJ27" s="27">
        <f t="shared" si="1"/>
        <v>0</v>
      </c>
      <c r="AK27" s="27">
        <v>78.971064732000002</v>
      </c>
      <c r="AL27" s="27">
        <v>1.2531354803999999</v>
      </c>
      <c r="AM27" s="80" t="s">
        <v>136</v>
      </c>
      <c r="AN27" s="80">
        <v>0</v>
      </c>
      <c r="AO27" s="80" t="s">
        <v>136</v>
      </c>
      <c r="AP27" s="80">
        <v>0</v>
      </c>
      <c r="AQ27" s="80" t="s">
        <v>136</v>
      </c>
      <c r="AR27" s="80">
        <v>0</v>
      </c>
      <c r="AS27" s="27">
        <v>45.064739531999997</v>
      </c>
      <c r="AT27" s="27">
        <v>1.8231565609</v>
      </c>
      <c r="AU27" s="27">
        <v>30.142305225000001</v>
      </c>
      <c r="AV27" s="27">
        <v>0.27050717010000003</v>
      </c>
      <c r="AW27" s="27">
        <v>14.983057709000001</v>
      </c>
      <c r="AX27" s="27">
        <v>0.17433349349999999</v>
      </c>
      <c r="AY27" s="27">
        <v>5.0620846368999999</v>
      </c>
      <c r="AZ27" s="27">
        <v>5.0790076099999998E-2</v>
      </c>
      <c r="BA27" s="80">
        <f t="shared" si="2"/>
        <v>10.097162879100001</v>
      </c>
      <c r="BB27" s="80">
        <f t="shared" si="3"/>
        <v>4.5383600500000038E-2</v>
      </c>
      <c r="BC27" s="27">
        <v>0</v>
      </c>
      <c r="BD27" s="80">
        <v>0</v>
      </c>
      <c r="BE27" s="27">
        <v>88.461375414000003</v>
      </c>
      <c r="BF27" s="27">
        <v>1.1253280910000001</v>
      </c>
      <c r="BG27" s="79">
        <v>1.150297E-3</v>
      </c>
      <c r="BH27" s="80">
        <v>0</v>
      </c>
      <c r="BI27" s="27">
        <v>86.366296325999997</v>
      </c>
      <c r="BJ27" s="27">
        <v>3.2798303467999999</v>
      </c>
      <c r="BK27" s="27">
        <v>70.403927955</v>
      </c>
      <c r="BL27" s="27">
        <v>0.5703416684</v>
      </c>
      <c r="BM27" s="27">
        <v>19.943386562000001</v>
      </c>
      <c r="BN27" s="27">
        <v>0.132294833</v>
      </c>
      <c r="BO27" s="27">
        <v>2.7353926600000002E-2</v>
      </c>
      <c r="BP27" s="27">
        <v>2.954058E-4</v>
      </c>
      <c r="BQ27" s="27">
        <v>0</v>
      </c>
      <c r="BR27" s="92">
        <v>0</v>
      </c>
      <c r="BS27" s="80" t="s">
        <v>136</v>
      </c>
      <c r="BT27" s="80">
        <v>0</v>
      </c>
      <c r="BU27" s="27">
        <v>0.16048771249999999</v>
      </c>
      <c r="BV27" s="27">
        <v>2.2168449999999998E-3</v>
      </c>
      <c r="BW27" s="27">
        <v>11.14241769</v>
      </c>
      <c r="BX27" s="27">
        <v>9.6999912800000004E-2</v>
      </c>
      <c r="BY27" s="80" t="s">
        <v>136</v>
      </c>
      <c r="BZ27" s="80">
        <v>0</v>
      </c>
      <c r="CA27" s="80" t="s">
        <v>136</v>
      </c>
      <c r="CB27" s="80">
        <v>0</v>
      </c>
      <c r="CC27" s="27">
        <v>1.8252614674000001</v>
      </c>
      <c r="CD27" s="27">
        <v>2.2559440000000002E-3</v>
      </c>
      <c r="CE27" s="27">
        <v>4.6770769008000004</v>
      </c>
      <c r="CF27" s="27">
        <v>1.1011323199999999E-2</v>
      </c>
      <c r="CG27" s="80" t="s">
        <v>136</v>
      </c>
      <c r="CH27" s="80">
        <v>0</v>
      </c>
      <c r="CI27" s="80" t="s">
        <v>136</v>
      </c>
      <c r="CJ27" s="80">
        <v>0</v>
      </c>
      <c r="CK27" s="80" t="s">
        <v>136</v>
      </c>
      <c r="CL27" s="80">
        <v>0</v>
      </c>
      <c r="CM27" s="80" t="s">
        <v>136</v>
      </c>
      <c r="CN27" s="80">
        <v>0</v>
      </c>
      <c r="CO27" s="27">
        <v>2.1075140999999999E-2</v>
      </c>
      <c r="CP27" s="27">
        <v>2.2111550000000001E-4</v>
      </c>
      <c r="CQ27" s="27">
        <v>0.14058247269999999</v>
      </c>
      <c r="CR27" s="27">
        <v>1.5226300999999999E-3</v>
      </c>
      <c r="CS27" s="27">
        <v>0.61912442720000005</v>
      </c>
      <c r="CT27" s="27">
        <v>6.5255310999999998E-3</v>
      </c>
      <c r="CU27" s="27">
        <v>12.206932652000001</v>
      </c>
      <c r="CV27" s="27">
        <v>0.30310800510000002</v>
      </c>
      <c r="CW27" s="80" t="s">
        <v>136</v>
      </c>
      <c r="CX27" s="80">
        <v>0</v>
      </c>
      <c r="CY27" s="80" t="s">
        <v>136</v>
      </c>
      <c r="CZ27" s="80">
        <v>0</v>
      </c>
      <c r="DA27" s="27">
        <v>9.4987590913000002</v>
      </c>
      <c r="DB27" s="27">
        <v>0.14052274440000001</v>
      </c>
      <c r="DC27" s="27">
        <v>35.565980441000001</v>
      </c>
      <c r="DD27" s="27">
        <v>1.6826338165000001</v>
      </c>
      <c r="DE27" s="27">
        <v>8.4983973413000005</v>
      </c>
      <c r="DF27" s="27">
        <v>0.29280620769999999</v>
      </c>
      <c r="DG27" s="27">
        <v>79.962978073000002</v>
      </c>
      <c r="DH27" s="92">
        <v>0.83252188329999999</v>
      </c>
      <c r="DI27" s="95">
        <v>5.8433270000000004E-4</v>
      </c>
      <c r="DJ27" s="96">
        <v>9.5034929999999996E-4</v>
      </c>
      <c r="DK27" s="96">
        <v>1.0326471000000001E-3</v>
      </c>
      <c r="DL27" s="96">
        <v>1.0568005000000001E-3</v>
      </c>
      <c r="DM27" s="96">
        <v>1.0673227999999999E-3</v>
      </c>
      <c r="DN27" s="96">
        <v>1.0778451000000001E-3</v>
      </c>
      <c r="DO27" s="96">
        <v>1.0848342000000001E-3</v>
      </c>
      <c r="DP27" s="96">
        <v>1.0918232999999999E-3</v>
      </c>
      <c r="DQ27" s="96">
        <v>1.0988125E-3</v>
      </c>
      <c r="DR27" s="97">
        <v>1.1058016E-3</v>
      </c>
      <c r="DS27" s="93">
        <v>53.144236730999999</v>
      </c>
      <c r="DT27" s="80">
        <v>0.37713757180000002</v>
      </c>
      <c r="DU27" s="80">
        <v>22.346082668000001</v>
      </c>
      <c r="DV27" s="80">
        <v>0.167521526</v>
      </c>
      <c r="DW27" s="80">
        <v>9.3296394714000002</v>
      </c>
      <c r="DX27" s="80">
        <v>7.3766934699999995E-2</v>
      </c>
      <c r="DY27" s="80">
        <v>3.8758814502000001</v>
      </c>
      <c r="DZ27" s="80">
        <v>3.2843733799999997E-2</v>
      </c>
      <c r="EA27" s="80">
        <v>1.634653031</v>
      </c>
      <c r="EB27" s="80">
        <v>1.5306794800000001E-2</v>
      </c>
      <c r="EC27" s="80">
        <v>0.72951679709999995</v>
      </c>
      <c r="ED27" s="80">
        <v>7.8997488999999997E-3</v>
      </c>
      <c r="EE27" s="80">
        <v>0.35786411060000001</v>
      </c>
      <c r="EF27" s="80">
        <v>4.6460783999999998E-3</v>
      </c>
      <c r="EG27" s="80">
        <v>0.1915546558</v>
      </c>
      <c r="EH27" s="80">
        <v>3.0562038999999998E-3</v>
      </c>
      <c r="EI27" s="80">
        <v>0.1158716105</v>
      </c>
      <c r="EJ27" s="80">
        <v>2.2563968999999998E-3</v>
      </c>
      <c r="EK27" s="80">
        <v>8.0904264300000001E-2</v>
      </c>
      <c r="EL27" s="94">
        <v>1.8125577E-3</v>
      </c>
    </row>
    <row r="28" spans="1:142" x14ac:dyDescent="0.2">
      <c r="A28" s="79">
        <v>2300</v>
      </c>
      <c r="B28" s="27">
        <v>3178</v>
      </c>
      <c r="C28" s="79">
        <v>1272.077016</v>
      </c>
      <c r="D28" s="27">
        <v>2249.3412239999998</v>
      </c>
      <c r="E28" s="27">
        <v>32.214755203000003</v>
      </c>
      <c r="F28" s="27">
        <v>4.1426619099999999E-2</v>
      </c>
      <c r="G28" s="79">
        <v>0.94125709560000004</v>
      </c>
      <c r="H28" s="27">
        <v>7.0151459999999997E-4</v>
      </c>
      <c r="I28" s="27">
        <v>124.91890183</v>
      </c>
      <c r="J28" s="27">
        <v>0.82363274090000005</v>
      </c>
      <c r="K28" s="27">
        <v>51.095286905000002</v>
      </c>
      <c r="L28" s="27">
        <v>0.31414431079999999</v>
      </c>
      <c r="M28" s="27">
        <v>11.848108711</v>
      </c>
      <c r="N28" s="27">
        <v>0.1035239936</v>
      </c>
      <c r="O28" s="80" t="s">
        <v>136</v>
      </c>
      <c r="P28" s="80">
        <v>0</v>
      </c>
      <c r="Q28" s="27">
        <v>7.3343211066</v>
      </c>
      <c r="R28" s="27">
        <v>1.46724113E-2</v>
      </c>
      <c r="S28" s="80" t="s">
        <v>136</v>
      </c>
      <c r="T28" s="80">
        <v>0</v>
      </c>
      <c r="U28" s="80" t="s">
        <v>136</v>
      </c>
      <c r="V28" s="80">
        <v>0</v>
      </c>
      <c r="W28" s="27">
        <v>0.171121526</v>
      </c>
      <c r="X28" s="27">
        <v>1.8064722E-3</v>
      </c>
      <c r="Y28" s="27">
        <v>13.546900077</v>
      </c>
      <c r="Z28" s="27">
        <v>0.32461761639999998</v>
      </c>
      <c r="AA28" s="80" t="s">
        <v>136</v>
      </c>
      <c r="AB28" s="80">
        <v>0</v>
      </c>
      <c r="AC28" s="27">
        <v>0</v>
      </c>
      <c r="AD28" s="27">
        <v>0</v>
      </c>
      <c r="AE28" s="80" t="s">
        <v>136</v>
      </c>
      <c r="AF28" s="80">
        <v>0</v>
      </c>
      <c r="AG28" s="80" t="s">
        <v>136</v>
      </c>
      <c r="AH28" s="80">
        <v>0</v>
      </c>
      <c r="AI28" s="27">
        <f t="shared" si="0"/>
        <v>0</v>
      </c>
      <c r="AJ28" s="27">
        <f t="shared" si="1"/>
        <v>0</v>
      </c>
      <c r="AK28" s="27">
        <v>81.122714861000006</v>
      </c>
      <c r="AL28" s="27">
        <v>1.2767031985999999</v>
      </c>
      <c r="AM28" s="80" t="s">
        <v>136</v>
      </c>
      <c r="AN28" s="80">
        <v>0</v>
      </c>
      <c r="AO28" s="80" t="s">
        <v>136</v>
      </c>
      <c r="AP28" s="80">
        <v>0</v>
      </c>
      <c r="AQ28" s="80" t="s">
        <v>136</v>
      </c>
      <c r="AR28" s="80">
        <v>0</v>
      </c>
      <c r="AS28" s="27">
        <v>46.533192366000002</v>
      </c>
      <c r="AT28" s="27">
        <v>1.8658226905999999</v>
      </c>
      <c r="AU28" s="27">
        <v>31.616633218</v>
      </c>
      <c r="AV28" s="27">
        <v>0.27986151590000002</v>
      </c>
      <c r="AW28" s="27">
        <v>15.715161578</v>
      </c>
      <c r="AX28" s="27">
        <v>0.18034855859999999</v>
      </c>
      <c r="AY28" s="27">
        <v>5.2820083099000001</v>
      </c>
      <c r="AZ28" s="27">
        <v>5.2427159000000001E-2</v>
      </c>
      <c r="BA28" s="80">
        <f t="shared" si="2"/>
        <v>10.6194633301</v>
      </c>
      <c r="BB28" s="80">
        <f t="shared" si="3"/>
        <v>4.7085798300000037E-2</v>
      </c>
      <c r="BC28" s="27">
        <v>0</v>
      </c>
      <c r="BD28" s="80">
        <v>0</v>
      </c>
      <c r="BE28" s="27">
        <v>91.255395410000006</v>
      </c>
      <c r="BF28" s="27">
        <v>1.1522931338</v>
      </c>
      <c r="BG28" s="79">
        <v>1.3589721E-3</v>
      </c>
      <c r="BH28" s="80">
        <v>0</v>
      </c>
      <c r="BI28" s="27">
        <v>89.196176617000006</v>
      </c>
      <c r="BJ28" s="27">
        <v>3.3548563859999998</v>
      </c>
      <c r="BK28" s="27">
        <v>74.925000010000005</v>
      </c>
      <c r="BL28" s="27">
        <v>0.60330212930000005</v>
      </c>
      <c r="BM28" s="27">
        <v>21.013083904999998</v>
      </c>
      <c r="BN28" s="27">
        <v>0.1378966616</v>
      </c>
      <c r="BO28" s="27">
        <v>2.69619083E-2</v>
      </c>
      <c r="BP28" s="27">
        <v>2.9014939999999999E-4</v>
      </c>
      <c r="BQ28" s="27">
        <v>0</v>
      </c>
      <c r="BR28" s="92">
        <v>0</v>
      </c>
      <c r="BS28" s="80" t="s">
        <v>136</v>
      </c>
      <c r="BT28" s="80">
        <v>0</v>
      </c>
      <c r="BU28" s="27">
        <v>0.17097467399999999</v>
      </c>
      <c r="BV28" s="27">
        <v>2.3330485000000001E-3</v>
      </c>
      <c r="BW28" s="27">
        <v>11.677134037</v>
      </c>
      <c r="BX28" s="27">
        <v>0.1011909451</v>
      </c>
      <c r="BY28" s="80" t="s">
        <v>136</v>
      </c>
      <c r="BZ28" s="80">
        <v>0</v>
      </c>
      <c r="CA28" s="80" t="s">
        <v>136</v>
      </c>
      <c r="CB28" s="80">
        <v>0</v>
      </c>
      <c r="CC28" s="27">
        <v>2.1126821774</v>
      </c>
      <c r="CD28" s="27">
        <v>2.5544116000000001E-3</v>
      </c>
      <c r="CE28" s="27">
        <v>5.2216389292000001</v>
      </c>
      <c r="CF28" s="27">
        <v>1.21179997E-2</v>
      </c>
      <c r="CG28" s="80" t="s">
        <v>136</v>
      </c>
      <c r="CH28" s="80">
        <v>0</v>
      </c>
      <c r="CI28" s="80" t="s">
        <v>136</v>
      </c>
      <c r="CJ28" s="80">
        <v>0</v>
      </c>
      <c r="CK28" s="80" t="s">
        <v>136</v>
      </c>
      <c r="CL28" s="80">
        <v>0</v>
      </c>
      <c r="CM28" s="80" t="s">
        <v>136</v>
      </c>
      <c r="CN28" s="80">
        <v>0</v>
      </c>
      <c r="CO28" s="27">
        <v>2.36817122E-2</v>
      </c>
      <c r="CP28" s="27">
        <v>2.361067E-4</v>
      </c>
      <c r="CQ28" s="27">
        <v>0.14743981380000001</v>
      </c>
      <c r="CR28" s="27">
        <v>1.5703655E-3</v>
      </c>
      <c r="CS28" s="27">
        <v>0.66796019959999997</v>
      </c>
      <c r="CT28" s="27">
        <v>6.9244876000000002E-3</v>
      </c>
      <c r="CU28" s="27">
        <v>12.878939878000001</v>
      </c>
      <c r="CV28" s="27">
        <v>0.31769312869999999</v>
      </c>
      <c r="CW28" s="80" t="s">
        <v>136</v>
      </c>
      <c r="CX28" s="80">
        <v>0</v>
      </c>
      <c r="CY28" s="80" t="s">
        <v>136</v>
      </c>
      <c r="CZ28" s="80">
        <v>0</v>
      </c>
      <c r="DA28" s="27">
        <v>9.8700519482000004</v>
      </c>
      <c r="DB28" s="27">
        <v>0.14468955359999999</v>
      </c>
      <c r="DC28" s="27">
        <v>36.663140417999998</v>
      </c>
      <c r="DD28" s="27">
        <v>1.7211331371</v>
      </c>
      <c r="DE28" s="27">
        <v>8.9840508596999999</v>
      </c>
      <c r="DF28" s="27">
        <v>0.3018965294</v>
      </c>
      <c r="DG28" s="27">
        <v>82.271344549999995</v>
      </c>
      <c r="DH28" s="92">
        <v>0.85039660439999998</v>
      </c>
      <c r="DI28" s="95">
        <v>6.9136260000000004E-4</v>
      </c>
      <c r="DJ28" s="96">
        <v>1.1386352999999999E-3</v>
      </c>
      <c r="DK28" s="96">
        <v>1.2429823E-3</v>
      </c>
      <c r="DL28" s="96">
        <v>1.2667252999999999E-3</v>
      </c>
      <c r="DM28" s="96">
        <v>1.2770919E-3</v>
      </c>
      <c r="DN28" s="96">
        <v>1.2874586E-3</v>
      </c>
      <c r="DO28" s="96">
        <v>1.2943614000000001E-3</v>
      </c>
      <c r="DP28" s="96">
        <v>1.3012640999999999E-3</v>
      </c>
      <c r="DQ28" s="96">
        <v>1.3081669E-3</v>
      </c>
      <c r="DR28" s="97">
        <v>1.3150696999999999E-3</v>
      </c>
      <c r="DS28" s="93">
        <v>54.558324429000002</v>
      </c>
      <c r="DT28" s="80">
        <v>0.38652561470000002</v>
      </c>
      <c r="DU28" s="80">
        <v>23.214385008000001</v>
      </c>
      <c r="DV28" s="80">
        <v>0.17353748569999999</v>
      </c>
      <c r="DW28" s="80">
        <v>9.8204230645999999</v>
      </c>
      <c r="DX28" s="80">
        <v>7.7299244000000003E-2</v>
      </c>
      <c r="DY28" s="80">
        <v>4.1248261685000003</v>
      </c>
      <c r="DZ28" s="80">
        <v>3.4744142800000002E-2</v>
      </c>
      <c r="EA28" s="80">
        <v>1.7640080660999999</v>
      </c>
      <c r="EB28" s="80">
        <v>1.63689157E-2</v>
      </c>
      <c r="EC28" s="80">
        <v>0.79293029510000002</v>
      </c>
      <c r="ED28" s="80">
        <v>8.4791115000000007E-3</v>
      </c>
      <c r="EE28" s="80">
        <v>0.39298919490000001</v>
      </c>
      <c r="EF28" s="80">
        <v>5.0009601999999997E-3</v>
      </c>
      <c r="EG28" s="80">
        <v>0.21029863600000001</v>
      </c>
      <c r="EH28" s="80">
        <v>3.2767480999999999E-3</v>
      </c>
      <c r="EI28" s="80">
        <v>0.1263796888</v>
      </c>
      <c r="EJ28" s="80">
        <v>2.403666E-3</v>
      </c>
      <c r="EK28" s="80">
        <v>8.8052563200000003E-2</v>
      </c>
      <c r="EL28" s="94">
        <v>1.9242630000000001E-3</v>
      </c>
    </row>
    <row r="29" spans="1:142" x14ac:dyDescent="0.2">
      <c r="A29" s="79">
        <v>2400</v>
      </c>
      <c r="B29" s="27">
        <v>3050</v>
      </c>
      <c r="C29" s="79">
        <v>1309.5442382000001</v>
      </c>
      <c r="D29" s="27">
        <v>2351.1537398</v>
      </c>
      <c r="E29" s="27">
        <v>34.191525816999999</v>
      </c>
      <c r="F29" s="27">
        <v>4.2988258500000001E-2</v>
      </c>
      <c r="G29" s="79">
        <v>1.0671199366999999</v>
      </c>
      <c r="H29" s="27">
        <v>7.7585060000000001E-4</v>
      </c>
      <c r="I29" s="27">
        <v>126.96306201</v>
      </c>
      <c r="J29" s="27">
        <v>0.83692881289999999</v>
      </c>
      <c r="K29" s="27">
        <v>52.497926835999998</v>
      </c>
      <c r="L29" s="27">
        <v>0.3226340902</v>
      </c>
      <c r="M29" s="27">
        <v>12.446159195</v>
      </c>
      <c r="N29" s="27">
        <v>0.1082605138</v>
      </c>
      <c r="O29" s="80" t="s">
        <v>136</v>
      </c>
      <c r="P29" s="80">
        <v>0</v>
      </c>
      <c r="Q29" s="27">
        <v>8.0589181298000003</v>
      </c>
      <c r="R29" s="27">
        <v>1.58304927E-2</v>
      </c>
      <c r="S29" s="80" t="s">
        <v>136</v>
      </c>
      <c r="T29" s="80">
        <v>0</v>
      </c>
      <c r="U29" s="80" t="s">
        <v>136</v>
      </c>
      <c r="V29" s="80">
        <v>0</v>
      </c>
      <c r="W29" s="27">
        <v>0.18266696269999999</v>
      </c>
      <c r="X29" s="27">
        <v>1.8931154E-3</v>
      </c>
      <c r="Y29" s="27">
        <v>14.172872437000001</v>
      </c>
      <c r="Z29" s="27">
        <v>0.33748796530000003</v>
      </c>
      <c r="AA29" s="80" t="s">
        <v>136</v>
      </c>
      <c r="AB29" s="80">
        <v>0</v>
      </c>
      <c r="AC29" s="27">
        <v>0</v>
      </c>
      <c r="AD29" s="27">
        <v>0</v>
      </c>
      <c r="AE29" s="80" t="s">
        <v>136</v>
      </c>
      <c r="AF29" s="80">
        <v>0</v>
      </c>
      <c r="AG29" s="80" t="s">
        <v>136</v>
      </c>
      <c r="AH29" s="80">
        <v>0</v>
      </c>
      <c r="AI29" s="27">
        <f t="shared" si="0"/>
        <v>0</v>
      </c>
      <c r="AJ29" s="27">
        <f t="shared" si="1"/>
        <v>0</v>
      </c>
      <c r="AK29" s="27">
        <v>83.385249446000003</v>
      </c>
      <c r="AL29" s="27">
        <v>1.3016322622000001</v>
      </c>
      <c r="AM29" s="80" t="s">
        <v>136</v>
      </c>
      <c r="AN29" s="80">
        <v>0</v>
      </c>
      <c r="AO29" s="80" t="s">
        <v>136</v>
      </c>
      <c r="AP29" s="80">
        <v>0</v>
      </c>
      <c r="AQ29" s="80" t="s">
        <v>136</v>
      </c>
      <c r="AR29" s="80">
        <v>0</v>
      </c>
      <c r="AS29" s="27">
        <v>47.997372743</v>
      </c>
      <c r="AT29" s="27">
        <v>1.9099845421999999</v>
      </c>
      <c r="AU29" s="27">
        <v>33.029196573</v>
      </c>
      <c r="AV29" s="27">
        <v>0.28923296380000002</v>
      </c>
      <c r="AW29" s="27">
        <v>16.410369759000002</v>
      </c>
      <c r="AX29" s="27">
        <v>0.18653889100000001</v>
      </c>
      <c r="AY29" s="27">
        <v>5.4419913200999996</v>
      </c>
      <c r="AZ29" s="27">
        <v>5.3679711400000003E-2</v>
      </c>
      <c r="BA29" s="80">
        <f t="shared" si="2"/>
        <v>11.176835493900001</v>
      </c>
      <c r="BB29" s="80">
        <f t="shared" si="3"/>
        <v>4.9014361400000012E-2</v>
      </c>
      <c r="BC29" s="27">
        <v>0</v>
      </c>
      <c r="BD29" s="80">
        <v>0</v>
      </c>
      <c r="BE29" s="27">
        <v>94.289298013000007</v>
      </c>
      <c r="BF29" s="27">
        <v>1.179224488</v>
      </c>
      <c r="BG29" s="79">
        <v>1.4920727999999999E-3</v>
      </c>
      <c r="BH29" s="80">
        <v>0</v>
      </c>
      <c r="BI29" s="27">
        <v>91.815624951000004</v>
      </c>
      <c r="BJ29" s="27">
        <v>3.4240249173000001</v>
      </c>
      <c r="BK29" s="27">
        <v>79.269588451000004</v>
      </c>
      <c r="BL29" s="27">
        <v>0.63663825559999998</v>
      </c>
      <c r="BM29" s="27">
        <v>22.041846304</v>
      </c>
      <c r="BN29" s="27">
        <v>0.14294293899999999</v>
      </c>
      <c r="BO29" s="27">
        <v>2.6586163999999999E-2</v>
      </c>
      <c r="BP29" s="27">
        <v>2.8519649999999999E-4</v>
      </c>
      <c r="BQ29" s="27">
        <v>0</v>
      </c>
      <c r="BR29" s="92">
        <v>0</v>
      </c>
      <c r="BS29" s="80" t="s">
        <v>136</v>
      </c>
      <c r="BT29" s="80">
        <v>0</v>
      </c>
      <c r="BU29" s="27">
        <v>0.17349657839999999</v>
      </c>
      <c r="BV29" s="27">
        <v>2.3444525000000001E-3</v>
      </c>
      <c r="BW29" s="27">
        <v>12.272662617</v>
      </c>
      <c r="BX29" s="27">
        <v>0.1059160613</v>
      </c>
      <c r="BY29" s="80" t="s">
        <v>136</v>
      </c>
      <c r="BZ29" s="80">
        <v>0</v>
      </c>
      <c r="CA29" s="80" t="s">
        <v>136</v>
      </c>
      <c r="CB29" s="80">
        <v>0</v>
      </c>
      <c r="CC29" s="27">
        <v>2.3800679129</v>
      </c>
      <c r="CD29" s="27">
        <v>2.8025805E-3</v>
      </c>
      <c r="CE29" s="27">
        <v>5.6788502169999999</v>
      </c>
      <c r="CF29" s="27">
        <v>1.30279121E-2</v>
      </c>
      <c r="CG29" s="80" t="s">
        <v>136</v>
      </c>
      <c r="CH29" s="80">
        <v>0</v>
      </c>
      <c r="CI29" s="80" t="s">
        <v>136</v>
      </c>
      <c r="CJ29" s="80">
        <v>0</v>
      </c>
      <c r="CK29" s="80" t="s">
        <v>136</v>
      </c>
      <c r="CL29" s="80">
        <v>0</v>
      </c>
      <c r="CM29" s="80" t="s">
        <v>136</v>
      </c>
      <c r="CN29" s="80">
        <v>0</v>
      </c>
      <c r="CO29" s="27">
        <v>2.5642967400000001E-2</v>
      </c>
      <c r="CP29" s="27">
        <v>2.3941420000000001E-4</v>
      </c>
      <c r="CQ29" s="27">
        <v>0.1570239953</v>
      </c>
      <c r="CR29" s="27">
        <v>1.6537011999999999E-3</v>
      </c>
      <c r="CS29" s="27">
        <v>0.70487370660000004</v>
      </c>
      <c r="CT29" s="27">
        <v>7.4515752999999999E-3</v>
      </c>
      <c r="CU29" s="27">
        <v>13.46799873</v>
      </c>
      <c r="CV29" s="27">
        <v>0.33003639010000002</v>
      </c>
      <c r="CW29" s="80" t="s">
        <v>136</v>
      </c>
      <c r="CX29" s="80">
        <v>0</v>
      </c>
      <c r="CY29" s="80" t="s">
        <v>136</v>
      </c>
      <c r="CZ29" s="80">
        <v>0</v>
      </c>
      <c r="DA29" s="27">
        <v>10.248263024</v>
      </c>
      <c r="DB29" s="27">
        <v>0.1491301122</v>
      </c>
      <c r="DC29" s="27">
        <v>37.749109719000003</v>
      </c>
      <c r="DD29" s="27">
        <v>1.7608544301</v>
      </c>
      <c r="DE29" s="27">
        <v>9.5582037227000001</v>
      </c>
      <c r="DF29" s="27">
        <v>0.3117466894</v>
      </c>
      <c r="DG29" s="27">
        <v>84.731094291000005</v>
      </c>
      <c r="DH29" s="92">
        <v>0.86747779869999997</v>
      </c>
      <c r="DI29" s="95">
        <v>7.658764E-4</v>
      </c>
      <c r="DJ29" s="96">
        <v>1.2618572E-3</v>
      </c>
      <c r="DK29" s="96">
        <v>1.3776132E-3</v>
      </c>
      <c r="DL29" s="96">
        <v>1.4009822999999999E-3</v>
      </c>
      <c r="DM29" s="96">
        <v>1.4112042E-3</v>
      </c>
      <c r="DN29" s="96">
        <v>1.4214261E-3</v>
      </c>
      <c r="DO29" s="96">
        <v>1.4282474E-3</v>
      </c>
      <c r="DP29" s="96">
        <v>1.4350687999999999E-3</v>
      </c>
      <c r="DQ29" s="96">
        <v>1.4418901E-3</v>
      </c>
      <c r="DR29" s="97">
        <v>1.4487114E-3</v>
      </c>
      <c r="DS29" s="93">
        <v>55.990121039000002</v>
      </c>
      <c r="DT29" s="80">
        <v>0.39615379830000003</v>
      </c>
      <c r="DU29" s="80">
        <v>24.074884307000001</v>
      </c>
      <c r="DV29" s="80">
        <v>0.1795487932</v>
      </c>
      <c r="DW29" s="80">
        <v>10.318703289</v>
      </c>
      <c r="DX29" s="80">
        <v>8.0917465600000002E-2</v>
      </c>
      <c r="DY29" s="80">
        <v>4.3978269047999996</v>
      </c>
      <c r="DZ29" s="80">
        <v>3.68608344E-2</v>
      </c>
      <c r="EA29" s="80">
        <v>1.9197928331</v>
      </c>
      <c r="EB29" s="80">
        <v>1.76331877E-2</v>
      </c>
      <c r="EC29" s="80">
        <v>0.87955088469999998</v>
      </c>
      <c r="ED29" s="80">
        <v>9.2115162000000004E-3</v>
      </c>
      <c r="EE29" s="80">
        <v>0.44603159149999999</v>
      </c>
      <c r="EF29" s="80">
        <v>5.4680828999999999E-3</v>
      </c>
      <c r="EG29" s="80">
        <v>0.24154032440000001</v>
      </c>
      <c r="EH29" s="80">
        <v>3.5625572000000001E-3</v>
      </c>
      <c r="EI29" s="80">
        <v>0.1441191691</v>
      </c>
      <c r="EJ29" s="80">
        <v>2.5723699E-3</v>
      </c>
      <c r="EK29" s="80">
        <v>9.7256761499999997E-2</v>
      </c>
      <c r="EL29" s="94">
        <v>2.0145361E-3</v>
      </c>
    </row>
    <row r="30" spans="1:142" x14ac:dyDescent="0.2">
      <c r="A30" s="79">
        <v>2500</v>
      </c>
      <c r="B30" s="27">
        <v>2830</v>
      </c>
      <c r="C30" s="79">
        <v>1345.9679573000001</v>
      </c>
      <c r="D30" s="27">
        <v>2449.3045836000001</v>
      </c>
      <c r="E30" s="27">
        <v>35.970151379999997</v>
      </c>
      <c r="F30" s="27">
        <v>4.4463316599999997E-2</v>
      </c>
      <c r="G30" s="79">
        <v>1.2342248702</v>
      </c>
      <c r="H30" s="27">
        <v>8.6609899999999995E-4</v>
      </c>
      <c r="I30" s="27">
        <v>128.79500583999999</v>
      </c>
      <c r="J30" s="27">
        <v>0.84897697859999999</v>
      </c>
      <c r="K30" s="27">
        <v>53.745343718000001</v>
      </c>
      <c r="L30" s="27">
        <v>0.33058946919999999</v>
      </c>
      <c r="M30" s="27">
        <v>12.992379045</v>
      </c>
      <c r="N30" s="27">
        <v>0.1127027032</v>
      </c>
      <c r="O30" s="80" t="s">
        <v>136</v>
      </c>
      <c r="P30" s="80">
        <v>0</v>
      </c>
      <c r="Q30" s="27">
        <v>8.7396122477000002</v>
      </c>
      <c r="R30" s="27">
        <v>1.69571032E-2</v>
      </c>
      <c r="S30" s="80" t="s">
        <v>136</v>
      </c>
      <c r="T30" s="80">
        <v>0</v>
      </c>
      <c r="U30" s="80" t="s">
        <v>136</v>
      </c>
      <c r="V30" s="80">
        <v>0</v>
      </c>
      <c r="W30" s="27">
        <v>0.19953863799999999</v>
      </c>
      <c r="X30" s="27">
        <v>2.0525420000000001E-3</v>
      </c>
      <c r="Y30" s="27">
        <v>14.962281576000001</v>
      </c>
      <c r="Z30" s="27">
        <v>0.35605212359999999</v>
      </c>
      <c r="AA30" s="80" t="s">
        <v>136</v>
      </c>
      <c r="AB30" s="80">
        <v>0</v>
      </c>
      <c r="AC30" s="27">
        <v>0</v>
      </c>
      <c r="AD30" s="27">
        <v>0</v>
      </c>
      <c r="AE30" s="80" t="s">
        <v>136</v>
      </c>
      <c r="AF30" s="80">
        <v>0</v>
      </c>
      <c r="AG30" s="80" t="s">
        <v>136</v>
      </c>
      <c r="AH30" s="80">
        <v>0</v>
      </c>
      <c r="AI30" s="27">
        <f t="shared" si="0"/>
        <v>0</v>
      </c>
      <c r="AJ30" s="27">
        <f t="shared" si="1"/>
        <v>0</v>
      </c>
      <c r="AK30" s="27">
        <v>85.461080052</v>
      </c>
      <c r="AL30" s="27">
        <v>1.3233539540000001</v>
      </c>
      <c r="AM30" s="80" t="s">
        <v>136</v>
      </c>
      <c r="AN30" s="80">
        <v>0</v>
      </c>
      <c r="AO30" s="80" t="s">
        <v>136</v>
      </c>
      <c r="AP30" s="80">
        <v>0</v>
      </c>
      <c r="AQ30" s="80" t="s">
        <v>136</v>
      </c>
      <c r="AR30" s="80">
        <v>0</v>
      </c>
      <c r="AS30" s="27">
        <v>49.377845323999999</v>
      </c>
      <c r="AT30" s="27">
        <v>1.9480690248999999</v>
      </c>
      <c r="AU30" s="27">
        <v>34.258413177000001</v>
      </c>
      <c r="AV30" s="27">
        <v>0.29714579130000002</v>
      </c>
      <c r="AW30" s="27">
        <v>16.994258815999999</v>
      </c>
      <c r="AX30" s="27">
        <v>0.19190220459999999</v>
      </c>
      <c r="AY30" s="27">
        <v>5.6129039924999997</v>
      </c>
      <c r="AZ30" s="27">
        <v>5.4737944099999998E-2</v>
      </c>
      <c r="BA30" s="80">
        <f t="shared" si="2"/>
        <v>11.651250368500001</v>
      </c>
      <c r="BB30" s="80">
        <f t="shared" si="3"/>
        <v>5.0505642600000039E-2</v>
      </c>
      <c r="BC30" s="27">
        <v>0</v>
      </c>
      <c r="BD30" s="80">
        <v>0</v>
      </c>
      <c r="BE30" s="27">
        <v>97.262073624999999</v>
      </c>
      <c r="BF30" s="27">
        <v>1.2073792538000001</v>
      </c>
      <c r="BG30" s="79">
        <v>1.6728114999999999E-3</v>
      </c>
      <c r="BH30" s="80">
        <v>0</v>
      </c>
      <c r="BI30" s="27">
        <v>94.339471148000001</v>
      </c>
      <c r="BJ30" s="27">
        <v>3.4893114455999998</v>
      </c>
      <c r="BK30" s="27">
        <v>83.767217892999994</v>
      </c>
      <c r="BL30" s="27">
        <v>0.66943465560000004</v>
      </c>
      <c r="BM30" s="27">
        <v>23.024887883000002</v>
      </c>
      <c r="BN30" s="27">
        <v>0.14789051919999999</v>
      </c>
      <c r="BO30" s="27">
        <v>2.62534447E-2</v>
      </c>
      <c r="BP30" s="27">
        <v>2.8065270000000002E-4</v>
      </c>
      <c r="BQ30" s="27">
        <v>0</v>
      </c>
      <c r="BR30" s="92">
        <v>0</v>
      </c>
      <c r="BS30" s="80" t="s">
        <v>136</v>
      </c>
      <c r="BT30" s="80">
        <v>0</v>
      </c>
      <c r="BU30" s="27">
        <v>0.18115480110000001</v>
      </c>
      <c r="BV30" s="27">
        <v>2.4299645999999999E-3</v>
      </c>
      <c r="BW30" s="27">
        <v>12.811224244</v>
      </c>
      <c r="BX30" s="27">
        <v>0.1102727386</v>
      </c>
      <c r="BY30" s="80" t="s">
        <v>136</v>
      </c>
      <c r="BZ30" s="80">
        <v>0</v>
      </c>
      <c r="CA30" s="80" t="s">
        <v>136</v>
      </c>
      <c r="CB30" s="80">
        <v>0</v>
      </c>
      <c r="CC30" s="27">
        <v>2.6779672100999998</v>
      </c>
      <c r="CD30" s="27">
        <v>3.0920315E-3</v>
      </c>
      <c r="CE30" s="27">
        <v>6.0616450374999999</v>
      </c>
      <c r="CF30" s="27">
        <v>1.38650717E-2</v>
      </c>
      <c r="CG30" s="80" t="s">
        <v>136</v>
      </c>
      <c r="CH30" s="80">
        <v>0</v>
      </c>
      <c r="CI30" s="80" t="s">
        <v>136</v>
      </c>
      <c r="CJ30" s="80">
        <v>0</v>
      </c>
      <c r="CK30" s="80" t="s">
        <v>136</v>
      </c>
      <c r="CL30" s="80">
        <v>0</v>
      </c>
      <c r="CM30" s="80" t="s">
        <v>136</v>
      </c>
      <c r="CN30" s="80">
        <v>0</v>
      </c>
      <c r="CO30" s="27">
        <v>2.5914574199999998E-2</v>
      </c>
      <c r="CP30" s="27">
        <v>2.4036559999999999E-4</v>
      </c>
      <c r="CQ30" s="27">
        <v>0.17362406389999999</v>
      </c>
      <c r="CR30" s="27">
        <v>1.8121763999999999E-3</v>
      </c>
      <c r="CS30" s="27">
        <v>0.73582482370000002</v>
      </c>
      <c r="CT30" s="27">
        <v>8.0122704000000003E-3</v>
      </c>
      <c r="CU30" s="27">
        <v>14.226456753000001</v>
      </c>
      <c r="CV30" s="27">
        <v>0.34803985320000003</v>
      </c>
      <c r="CW30" s="80" t="s">
        <v>136</v>
      </c>
      <c r="CX30" s="80">
        <v>0</v>
      </c>
      <c r="CY30" s="80" t="s">
        <v>136</v>
      </c>
      <c r="CZ30" s="80">
        <v>0</v>
      </c>
      <c r="DA30" s="27">
        <v>10.690575182</v>
      </c>
      <c r="DB30" s="27">
        <v>0.15406093849999999</v>
      </c>
      <c r="DC30" s="27">
        <v>38.687270142000003</v>
      </c>
      <c r="DD30" s="27">
        <v>1.7940080864000001</v>
      </c>
      <c r="DE30" s="27">
        <v>10.169088544999999</v>
      </c>
      <c r="DF30" s="27">
        <v>0.32232186029999998</v>
      </c>
      <c r="DG30" s="27">
        <v>87.092985080000005</v>
      </c>
      <c r="DH30" s="92">
        <v>0.88505739350000001</v>
      </c>
      <c r="DI30" s="95">
        <v>8.5626270000000002E-4</v>
      </c>
      <c r="DJ30" s="96">
        <v>1.4231354E-3</v>
      </c>
      <c r="DK30" s="96">
        <v>1.5596181000000001E-3</v>
      </c>
      <c r="DL30" s="96">
        <v>1.5826869999999999E-3</v>
      </c>
      <c r="DM30" s="96">
        <v>1.5927923999999999E-3</v>
      </c>
      <c r="DN30" s="96">
        <v>1.6028977000000001E-3</v>
      </c>
      <c r="DO30" s="96">
        <v>1.6096486E-3</v>
      </c>
      <c r="DP30" s="96">
        <v>1.6163994000000001E-3</v>
      </c>
      <c r="DQ30" s="96">
        <v>1.6231501999999999E-3</v>
      </c>
      <c r="DR30" s="97">
        <v>1.629901E-3</v>
      </c>
      <c r="DS30" s="93">
        <v>57.333708190999999</v>
      </c>
      <c r="DT30" s="80">
        <v>0.405268764</v>
      </c>
      <c r="DU30" s="80">
        <v>24.930218995000001</v>
      </c>
      <c r="DV30" s="80">
        <v>0.18562352879999999</v>
      </c>
      <c r="DW30" s="80">
        <v>10.82245331</v>
      </c>
      <c r="DX30" s="80">
        <v>8.4657412700000004E-2</v>
      </c>
      <c r="DY30" s="80">
        <v>4.6854446206000002</v>
      </c>
      <c r="DZ30" s="80">
        <v>3.9099852999999997E-2</v>
      </c>
      <c r="EA30" s="80">
        <v>2.0727816332</v>
      </c>
      <c r="EB30" s="80">
        <v>1.89071723E-2</v>
      </c>
      <c r="EC30" s="80">
        <v>0.96599179270000002</v>
      </c>
      <c r="ED30" s="80">
        <v>9.9661777999999999E-3</v>
      </c>
      <c r="EE30" s="80">
        <v>0.49336042530000002</v>
      </c>
      <c r="EF30" s="80">
        <v>5.9177517000000004E-3</v>
      </c>
      <c r="EG30" s="80">
        <v>0.26810487799999999</v>
      </c>
      <c r="EH30" s="80">
        <v>3.8433479999999999E-3</v>
      </c>
      <c r="EI30" s="80">
        <v>0.1567577667</v>
      </c>
      <c r="EJ30" s="80">
        <v>2.7378067E-3</v>
      </c>
      <c r="EK30" s="80">
        <v>0.1017138618</v>
      </c>
      <c r="EL30" s="94">
        <v>2.1097352999999998E-3</v>
      </c>
    </row>
    <row r="31" spans="1:142" x14ac:dyDescent="0.2">
      <c r="A31" s="79">
        <v>2600</v>
      </c>
      <c r="B31" s="27">
        <v>2685</v>
      </c>
      <c r="C31" s="79">
        <v>1381.5691009</v>
      </c>
      <c r="D31" s="27">
        <v>2549.3462218</v>
      </c>
      <c r="E31" s="27">
        <v>37.724022577</v>
      </c>
      <c r="F31" s="27">
        <v>4.5880360199999998E-2</v>
      </c>
      <c r="G31" s="79">
        <v>1.4538381079</v>
      </c>
      <c r="H31" s="27">
        <v>9.704456E-4</v>
      </c>
      <c r="I31" s="27">
        <v>130.59157232000001</v>
      </c>
      <c r="J31" s="27">
        <v>0.86101113200000001</v>
      </c>
      <c r="K31" s="27">
        <v>55.047827054000003</v>
      </c>
      <c r="L31" s="27">
        <v>0.33851299499999998</v>
      </c>
      <c r="M31" s="27">
        <v>13.543926264</v>
      </c>
      <c r="N31" s="27">
        <v>0.117213713</v>
      </c>
      <c r="O31" s="80" t="s">
        <v>136</v>
      </c>
      <c r="P31" s="80">
        <v>0</v>
      </c>
      <c r="Q31" s="27">
        <v>9.5523696372</v>
      </c>
      <c r="R31" s="27">
        <v>1.8110232699999999E-2</v>
      </c>
      <c r="S31" s="80" t="s">
        <v>136</v>
      </c>
      <c r="T31" s="80">
        <v>0</v>
      </c>
      <c r="U31" s="80" t="s">
        <v>136</v>
      </c>
      <c r="V31" s="80">
        <v>0</v>
      </c>
      <c r="W31" s="27">
        <v>0.22535112439999999</v>
      </c>
      <c r="X31" s="27">
        <v>2.2403801999999998E-3</v>
      </c>
      <c r="Y31" s="27">
        <v>15.727791128</v>
      </c>
      <c r="Z31" s="27">
        <v>0.37267977880000003</v>
      </c>
      <c r="AA31" s="80" t="s">
        <v>136</v>
      </c>
      <c r="AB31" s="80">
        <v>0</v>
      </c>
      <c r="AC31" s="27">
        <v>0</v>
      </c>
      <c r="AD31" s="27">
        <v>0</v>
      </c>
      <c r="AE31" s="80" t="s">
        <v>136</v>
      </c>
      <c r="AF31" s="80">
        <v>0</v>
      </c>
      <c r="AG31" s="80" t="s">
        <v>136</v>
      </c>
      <c r="AH31" s="80">
        <v>0</v>
      </c>
      <c r="AI31" s="27">
        <f t="shared" si="0"/>
        <v>0</v>
      </c>
      <c r="AJ31" s="27">
        <f t="shared" si="1"/>
        <v>0</v>
      </c>
      <c r="AK31" s="27">
        <v>87.368421982000001</v>
      </c>
      <c r="AL31" s="27">
        <v>1.3442028656</v>
      </c>
      <c r="AM31" s="80" t="s">
        <v>136</v>
      </c>
      <c r="AN31" s="80">
        <v>0</v>
      </c>
      <c r="AO31" s="80" t="s">
        <v>136</v>
      </c>
      <c r="AP31" s="80">
        <v>0</v>
      </c>
      <c r="AQ31" s="80" t="s">
        <v>136</v>
      </c>
      <c r="AR31" s="80">
        <v>0</v>
      </c>
      <c r="AS31" s="27">
        <v>50.729767502999998</v>
      </c>
      <c r="AT31" s="27">
        <v>1.9861673295</v>
      </c>
      <c r="AU31" s="27">
        <v>35.710209567</v>
      </c>
      <c r="AV31" s="27">
        <v>0.3060274851</v>
      </c>
      <c r="AW31" s="27">
        <v>17.726900002000001</v>
      </c>
      <c r="AX31" s="27">
        <v>0.1977490754</v>
      </c>
      <c r="AY31" s="27">
        <v>5.8060691882000004</v>
      </c>
      <c r="AZ31" s="27">
        <v>5.6172896E-2</v>
      </c>
      <c r="BA31" s="80">
        <f t="shared" si="2"/>
        <v>12.1772403768</v>
      </c>
      <c r="BB31" s="80">
        <f t="shared" si="3"/>
        <v>5.2105513699999995E-2</v>
      </c>
      <c r="BC31" s="27">
        <v>0</v>
      </c>
      <c r="BD31" s="80">
        <v>0</v>
      </c>
      <c r="BE31" s="27">
        <v>100.21435682000001</v>
      </c>
      <c r="BF31" s="27">
        <v>1.2335316139000001</v>
      </c>
      <c r="BG31" s="79">
        <v>1.8607273000000001E-3</v>
      </c>
      <c r="BH31" s="80">
        <v>0</v>
      </c>
      <c r="BI31" s="27">
        <v>96.807964154000004</v>
      </c>
      <c r="BJ31" s="27">
        <v>3.5520590687000002</v>
      </c>
      <c r="BK31" s="27">
        <v>88.020351855000001</v>
      </c>
      <c r="BL31" s="27">
        <v>0.70215115080000001</v>
      </c>
      <c r="BM31" s="27">
        <v>24.072390527</v>
      </c>
      <c r="BN31" s="27">
        <v>0.15278260639999999</v>
      </c>
      <c r="BO31" s="27">
        <v>3.37401955E-2</v>
      </c>
      <c r="BP31" s="27">
        <v>3.9180569999999997E-4</v>
      </c>
      <c r="BQ31" s="27">
        <v>0</v>
      </c>
      <c r="BR31" s="92">
        <v>0</v>
      </c>
      <c r="BS31" s="80" t="s">
        <v>136</v>
      </c>
      <c r="BT31" s="80">
        <v>0</v>
      </c>
      <c r="BU31" s="27">
        <v>0.19467269170000001</v>
      </c>
      <c r="BV31" s="27">
        <v>2.6108833000000001E-3</v>
      </c>
      <c r="BW31" s="27">
        <v>13.349253572</v>
      </c>
      <c r="BX31" s="27">
        <v>0.11460282970000001</v>
      </c>
      <c r="BY31" s="80" t="s">
        <v>136</v>
      </c>
      <c r="BZ31" s="80">
        <v>0</v>
      </c>
      <c r="CA31" s="80" t="s">
        <v>136</v>
      </c>
      <c r="CB31" s="80">
        <v>0</v>
      </c>
      <c r="CC31" s="27">
        <v>2.9882254493999998</v>
      </c>
      <c r="CD31" s="27">
        <v>3.3418231999999999E-3</v>
      </c>
      <c r="CE31" s="27">
        <v>6.5641441878000002</v>
      </c>
      <c r="CF31" s="27">
        <v>1.4768409499999999E-2</v>
      </c>
      <c r="CG31" s="80" t="s">
        <v>136</v>
      </c>
      <c r="CH31" s="80">
        <v>0</v>
      </c>
      <c r="CI31" s="80" t="s">
        <v>136</v>
      </c>
      <c r="CJ31" s="80">
        <v>0</v>
      </c>
      <c r="CK31" s="80" t="s">
        <v>136</v>
      </c>
      <c r="CL31" s="80">
        <v>0</v>
      </c>
      <c r="CM31" s="80" t="s">
        <v>136</v>
      </c>
      <c r="CN31" s="80">
        <v>0</v>
      </c>
      <c r="CO31" s="27">
        <v>2.5603278300000001E-2</v>
      </c>
      <c r="CP31" s="27">
        <v>2.3752880000000001E-4</v>
      </c>
      <c r="CQ31" s="27">
        <v>0.19974784609999999</v>
      </c>
      <c r="CR31" s="27">
        <v>2.0028514000000001E-3</v>
      </c>
      <c r="CS31" s="27">
        <v>0.77619874820000001</v>
      </c>
      <c r="CT31" s="27">
        <v>8.3017543999999999E-3</v>
      </c>
      <c r="CU31" s="27">
        <v>14.951592379999999</v>
      </c>
      <c r="CV31" s="27">
        <v>0.3643780244</v>
      </c>
      <c r="CW31" s="80" t="s">
        <v>136</v>
      </c>
      <c r="CX31" s="80">
        <v>0</v>
      </c>
      <c r="CY31" s="80" t="s">
        <v>136</v>
      </c>
      <c r="CZ31" s="80">
        <v>0</v>
      </c>
      <c r="DA31" s="27">
        <v>11.075731373</v>
      </c>
      <c r="DB31" s="27">
        <v>0.15879866349999999</v>
      </c>
      <c r="DC31" s="27">
        <v>39.654036130000001</v>
      </c>
      <c r="DD31" s="27">
        <v>1.8273686658999999</v>
      </c>
      <c r="DE31" s="27">
        <v>10.751629981000001</v>
      </c>
      <c r="DF31" s="27">
        <v>0.3309701363</v>
      </c>
      <c r="DG31" s="27">
        <v>89.462726841000006</v>
      </c>
      <c r="DH31" s="92">
        <v>0.90256147760000005</v>
      </c>
      <c r="DI31" s="95">
        <v>9.6074699999999997E-4</v>
      </c>
      <c r="DJ31" s="96">
        <v>1.5981881E-3</v>
      </c>
      <c r="DK31" s="96">
        <v>1.7487806999999999E-3</v>
      </c>
      <c r="DL31" s="96">
        <v>1.7715586999999999E-3</v>
      </c>
      <c r="DM31" s="96">
        <v>1.7815461E-3</v>
      </c>
      <c r="DN31" s="96">
        <v>1.7915336000000001E-3</v>
      </c>
      <c r="DO31" s="96">
        <v>1.7982177E-3</v>
      </c>
      <c r="DP31" s="96">
        <v>1.8049018999999999E-3</v>
      </c>
      <c r="DQ31" s="96">
        <v>1.811586E-3</v>
      </c>
      <c r="DR31" s="97">
        <v>1.8182700999999999E-3</v>
      </c>
      <c r="DS31" s="93">
        <v>58.655153728000002</v>
      </c>
      <c r="DT31" s="80">
        <v>0.4143892609</v>
      </c>
      <c r="DU31" s="80">
        <v>25.796173463999999</v>
      </c>
      <c r="DV31" s="80">
        <v>0.19181539149999999</v>
      </c>
      <c r="DW31" s="80">
        <v>11.345056258</v>
      </c>
      <c r="DX31" s="80">
        <v>8.8551378900000005E-2</v>
      </c>
      <c r="DY31" s="80">
        <v>4.9958411949999997</v>
      </c>
      <c r="DZ31" s="80">
        <v>4.1518533699999999E-2</v>
      </c>
      <c r="EA31" s="80">
        <v>2.2535213675999999</v>
      </c>
      <c r="EB31" s="80">
        <v>2.0407661399999999E-2</v>
      </c>
      <c r="EC31" s="80">
        <v>1.0759439524000001</v>
      </c>
      <c r="ED31" s="80">
        <v>1.0904558599999999E-2</v>
      </c>
      <c r="EE31" s="80">
        <v>0.5580161938</v>
      </c>
      <c r="EF31" s="80">
        <v>6.4951695E-3</v>
      </c>
      <c r="EG31" s="80">
        <v>0.3051783864</v>
      </c>
      <c r="EH31" s="80">
        <v>4.1910701999999999E-3</v>
      </c>
      <c r="EI31" s="80">
        <v>0.1787775761</v>
      </c>
      <c r="EJ31" s="80">
        <v>2.9615808E-3</v>
      </c>
      <c r="EK31" s="80">
        <v>0.1140791075</v>
      </c>
      <c r="EL31" s="94">
        <v>2.2454229999999999E-3</v>
      </c>
    </row>
    <row r="32" spans="1:142" x14ac:dyDescent="0.2">
      <c r="A32" s="79">
        <v>2700</v>
      </c>
      <c r="B32" s="27">
        <v>2584</v>
      </c>
      <c r="C32" s="79">
        <v>1416.4950394</v>
      </c>
      <c r="D32" s="27">
        <v>2648.8978960999998</v>
      </c>
      <c r="E32" s="27">
        <v>39.592214650000003</v>
      </c>
      <c r="F32" s="27">
        <v>4.7202312199999999E-2</v>
      </c>
      <c r="G32" s="79">
        <v>1.6107832803</v>
      </c>
      <c r="H32" s="27">
        <v>1.0562859E-3</v>
      </c>
      <c r="I32" s="27">
        <v>132.39899374000001</v>
      </c>
      <c r="J32" s="27">
        <v>0.87228386339999997</v>
      </c>
      <c r="K32" s="27">
        <v>56.363999075000002</v>
      </c>
      <c r="L32" s="27">
        <v>0.34652398960000003</v>
      </c>
      <c r="M32" s="27">
        <v>13.9948146</v>
      </c>
      <c r="N32" s="27">
        <v>0.1210057978</v>
      </c>
      <c r="O32" s="80" t="s">
        <v>136</v>
      </c>
      <c r="P32" s="80">
        <v>0</v>
      </c>
      <c r="Q32" s="27">
        <v>10.527136396</v>
      </c>
      <c r="R32" s="27">
        <v>1.9591335200000001E-2</v>
      </c>
      <c r="S32" s="80" t="s">
        <v>136</v>
      </c>
      <c r="T32" s="80">
        <v>0</v>
      </c>
      <c r="U32" s="80" t="s">
        <v>136</v>
      </c>
      <c r="V32" s="80">
        <v>0</v>
      </c>
      <c r="W32" s="27">
        <v>0.23282520370000001</v>
      </c>
      <c r="X32" s="27">
        <v>2.3049377999999998E-3</v>
      </c>
      <c r="Y32" s="27">
        <v>16.399254335999998</v>
      </c>
      <c r="Z32" s="27">
        <v>0.3861428978</v>
      </c>
      <c r="AA32" s="80" t="s">
        <v>136</v>
      </c>
      <c r="AB32" s="80">
        <v>0</v>
      </c>
      <c r="AC32" s="27">
        <v>0</v>
      </c>
      <c r="AD32" s="27">
        <v>0</v>
      </c>
      <c r="AE32" s="80" t="s">
        <v>136</v>
      </c>
      <c r="AF32" s="80">
        <v>0</v>
      </c>
      <c r="AG32" s="80" t="s">
        <v>136</v>
      </c>
      <c r="AH32" s="80">
        <v>0</v>
      </c>
      <c r="AI32" s="27">
        <f t="shared" si="0"/>
        <v>0</v>
      </c>
      <c r="AJ32" s="27">
        <f t="shared" si="1"/>
        <v>0</v>
      </c>
      <c r="AK32" s="27">
        <v>89.558290120999999</v>
      </c>
      <c r="AL32" s="27">
        <v>1.3650067426000001</v>
      </c>
      <c r="AM32" s="80" t="s">
        <v>136</v>
      </c>
      <c r="AN32" s="80">
        <v>0</v>
      </c>
      <c r="AO32" s="80" t="s">
        <v>136</v>
      </c>
      <c r="AP32" s="80">
        <v>0</v>
      </c>
      <c r="AQ32" s="80" t="s">
        <v>136</v>
      </c>
      <c r="AR32" s="80">
        <v>0</v>
      </c>
      <c r="AS32" s="27">
        <v>52.040838469999997</v>
      </c>
      <c r="AT32" s="27">
        <v>2.0229357943999999</v>
      </c>
      <c r="AU32" s="27">
        <v>36.992719823000002</v>
      </c>
      <c r="AV32" s="27">
        <v>0.31478696029999997</v>
      </c>
      <c r="AW32" s="27">
        <v>18.358620427999998</v>
      </c>
      <c r="AX32" s="27">
        <v>0.20356375069999999</v>
      </c>
      <c r="AY32" s="27">
        <v>5.9720564316000004</v>
      </c>
      <c r="AZ32" s="27">
        <v>5.7290725600000002E-2</v>
      </c>
      <c r="BA32" s="80">
        <f t="shared" si="2"/>
        <v>12.662042963400005</v>
      </c>
      <c r="BB32" s="80">
        <f t="shared" si="3"/>
        <v>5.3932484000000003E-2</v>
      </c>
      <c r="BC32" s="27">
        <v>0</v>
      </c>
      <c r="BD32" s="80">
        <v>0</v>
      </c>
      <c r="BE32" s="27">
        <v>103.01099943</v>
      </c>
      <c r="BF32" s="27">
        <v>1.2597787024</v>
      </c>
      <c r="BG32" s="79">
        <v>2.0177480000000002E-3</v>
      </c>
      <c r="BH32" s="80">
        <v>0</v>
      </c>
      <c r="BI32" s="27">
        <v>99.041945799999993</v>
      </c>
      <c r="BJ32" s="27">
        <v>3.6074192960000002</v>
      </c>
      <c r="BK32" s="27">
        <v>92.649998154000002</v>
      </c>
      <c r="BL32" s="27">
        <v>0.73734552789999996</v>
      </c>
      <c r="BM32" s="27">
        <v>24.976678200999999</v>
      </c>
      <c r="BN32" s="27">
        <v>0.15729843139999999</v>
      </c>
      <c r="BO32" s="27">
        <v>3.4708161199999997E-2</v>
      </c>
      <c r="BP32" s="27">
        <v>3.966482E-4</v>
      </c>
      <c r="BQ32" s="27">
        <v>0</v>
      </c>
      <c r="BR32" s="92">
        <v>0</v>
      </c>
      <c r="BS32" s="80" t="s">
        <v>136</v>
      </c>
      <c r="BT32" s="80">
        <v>0</v>
      </c>
      <c r="BU32" s="27">
        <v>0.21544700889999999</v>
      </c>
      <c r="BV32" s="27">
        <v>2.8895637000000002E-3</v>
      </c>
      <c r="BW32" s="27">
        <v>13.779367591</v>
      </c>
      <c r="BX32" s="27">
        <v>0.11811623409999999</v>
      </c>
      <c r="BY32" s="80" t="s">
        <v>136</v>
      </c>
      <c r="BZ32" s="80">
        <v>0</v>
      </c>
      <c r="CA32" s="80" t="s">
        <v>136</v>
      </c>
      <c r="CB32" s="80">
        <v>0</v>
      </c>
      <c r="CC32" s="27">
        <v>3.3558585067000002</v>
      </c>
      <c r="CD32" s="27">
        <v>3.6358750999999998E-3</v>
      </c>
      <c r="CE32" s="27">
        <v>7.1712778896999998</v>
      </c>
      <c r="CF32" s="27">
        <v>1.5955460099999999E-2</v>
      </c>
      <c r="CG32" s="80" t="s">
        <v>136</v>
      </c>
      <c r="CH32" s="80">
        <v>0</v>
      </c>
      <c r="CI32" s="80" t="s">
        <v>136</v>
      </c>
      <c r="CJ32" s="80">
        <v>0</v>
      </c>
      <c r="CK32" s="80" t="s">
        <v>136</v>
      </c>
      <c r="CL32" s="80">
        <v>0</v>
      </c>
      <c r="CM32" s="80" t="s">
        <v>136</v>
      </c>
      <c r="CN32" s="80">
        <v>0</v>
      </c>
      <c r="CO32" s="27">
        <v>3.2163105400000003E-2</v>
      </c>
      <c r="CP32" s="27">
        <v>2.9301739999999999E-4</v>
      </c>
      <c r="CQ32" s="27">
        <v>0.20066209830000001</v>
      </c>
      <c r="CR32" s="27">
        <v>2.0119204000000001E-3</v>
      </c>
      <c r="CS32" s="27">
        <v>0.84791076529999998</v>
      </c>
      <c r="CT32" s="27">
        <v>8.7752707000000006E-3</v>
      </c>
      <c r="CU32" s="27">
        <v>15.55134357</v>
      </c>
      <c r="CV32" s="27">
        <v>0.37736762709999999</v>
      </c>
      <c r="CW32" s="80" t="s">
        <v>136</v>
      </c>
      <c r="CX32" s="80">
        <v>0</v>
      </c>
      <c r="CY32" s="80" t="s">
        <v>136</v>
      </c>
      <c r="CZ32" s="80">
        <v>0</v>
      </c>
      <c r="DA32" s="27">
        <v>11.491647531</v>
      </c>
      <c r="DB32" s="27">
        <v>0.16430276460000001</v>
      </c>
      <c r="DC32" s="27">
        <v>40.549190938000002</v>
      </c>
      <c r="DD32" s="27">
        <v>1.8586330297</v>
      </c>
      <c r="DE32" s="27">
        <v>11.215103018000001</v>
      </c>
      <c r="DF32" s="27">
        <v>0.34007077610000003</v>
      </c>
      <c r="DG32" s="27">
        <v>91.795896409999997</v>
      </c>
      <c r="DH32" s="92">
        <v>0.91970792629999998</v>
      </c>
      <c r="DI32" s="95">
        <v>1.0467085999999999E-3</v>
      </c>
      <c r="DJ32" s="96">
        <v>1.7428328E-3</v>
      </c>
      <c r="DK32" s="96">
        <v>1.9039594999999999E-3</v>
      </c>
      <c r="DL32" s="96">
        <v>1.9295217E-3</v>
      </c>
      <c r="DM32" s="96">
        <v>1.9394019E-3</v>
      </c>
      <c r="DN32" s="96">
        <v>1.9492820999999999E-3</v>
      </c>
      <c r="DO32" s="96">
        <v>1.9558997999999999E-3</v>
      </c>
      <c r="DP32" s="96">
        <v>1.9625176000000002E-3</v>
      </c>
      <c r="DQ32" s="96">
        <v>1.9691353E-3</v>
      </c>
      <c r="DR32" s="97">
        <v>1.9757529999999998E-3</v>
      </c>
      <c r="DS32" s="93">
        <v>59.914978366</v>
      </c>
      <c r="DT32" s="80">
        <v>0.42260440030000002</v>
      </c>
      <c r="DU32" s="80">
        <v>26.58928706</v>
      </c>
      <c r="DV32" s="80">
        <v>0.1971941663</v>
      </c>
      <c r="DW32" s="80">
        <v>11.809527381000001</v>
      </c>
      <c r="DX32" s="80">
        <v>9.1826526300000003E-2</v>
      </c>
      <c r="DY32" s="80">
        <v>5.2508490506000003</v>
      </c>
      <c r="DZ32" s="80">
        <v>4.3421939800000003E-2</v>
      </c>
      <c r="EA32" s="80">
        <v>2.3865714094000001</v>
      </c>
      <c r="EB32" s="80">
        <v>2.1463953000000001E-2</v>
      </c>
      <c r="EC32" s="80">
        <v>1.1504990868</v>
      </c>
      <c r="ED32" s="80">
        <v>1.1528520299999999E-2</v>
      </c>
      <c r="EE32" s="80">
        <v>0.60128236950000002</v>
      </c>
      <c r="EF32" s="80">
        <v>6.8781783999999997E-3</v>
      </c>
      <c r="EG32" s="80">
        <v>0.33251000580000001</v>
      </c>
      <c r="EH32" s="80">
        <v>4.4470207000000001E-3</v>
      </c>
      <c r="EI32" s="80">
        <v>0.19535053459999999</v>
      </c>
      <c r="EJ32" s="80">
        <v>3.1294700000000001E-3</v>
      </c>
      <c r="EK32" s="80">
        <v>0.12246463489999999</v>
      </c>
      <c r="EL32" s="94">
        <v>2.3423948000000001E-3</v>
      </c>
    </row>
    <row r="33" spans="1:142" x14ac:dyDescent="0.2">
      <c r="A33" s="79">
        <v>2800</v>
      </c>
      <c r="B33" s="27">
        <v>2500</v>
      </c>
      <c r="C33" s="79">
        <v>1450.7558547000001</v>
      </c>
      <c r="D33" s="27">
        <v>2748.8338594000002</v>
      </c>
      <c r="E33" s="27">
        <v>41.549992492000001</v>
      </c>
      <c r="F33" s="27">
        <v>4.8636187300000001E-2</v>
      </c>
      <c r="G33" s="79">
        <v>1.9059905366000001</v>
      </c>
      <c r="H33" s="27">
        <v>1.2032964999999999E-3</v>
      </c>
      <c r="I33" s="27">
        <v>134.00302846</v>
      </c>
      <c r="J33" s="27">
        <v>0.88295350419999996</v>
      </c>
      <c r="K33" s="27">
        <v>57.669081038000002</v>
      </c>
      <c r="L33" s="27">
        <v>0.3540631119</v>
      </c>
      <c r="M33" s="27">
        <v>14.406932413</v>
      </c>
      <c r="N33" s="27">
        <v>0.12407344939999999</v>
      </c>
      <c r="O33" s="80" t="s">
        <v>136</v>
      </c>
      <c r="P33" s="80">
        <v>0</v>
      </c>
      <c r="Q33" s="27">
        <v>11.393327825</v>
      </c>
      <c r="R33" s="27">
        <v>2.0868143299999999E-2</v>
      </c>
      <c r="S33" s="80" t="s">
        <v>136</v>
      </c>
      <c r="T33" s="80">
        <v>0</v>
      </c>
      <c r="U33" s="80" t="s">
        <v>136</v>
      </c>
      <c r="V33" s="80">
        <v>0</v>
      </c>
      <c r="W33" s="27">
        <v>0.26219318200000002</v>
      </c>
      <c r="X33" s="27">
        <v>2.5644089000000001E-3</v>
      </c>
      <c r="Y33" s="27">
        <v>16.939749002999999</v>
      </c>
      <c r="Z33" s="27">
        <v>0.39736283999999999</v>
      </c>
      <c r="AA33" s="80" t="s">
        <v>136</v>
      </c>
      <c r="AB33" s="80">
        <v>0</v>
      </c>
      <c r="AC33" s="27">
        <v>0</v>
      </c>
      <c r="AD33" s="27">
        <v>0</v>
      </c>
      <c r="AE33" s="80" t="s">
        <v>136</v>
      </c>
      <c r="AF33" s="80">
        <v>0</v>
      </c>
      <c r="AG33" s="80" t="s">
        <v>136</v>
      </c>
      <c r="AH33" s="80">
        <v>0</v>
      </c>
      <c r="AI33" s="27">
        <f t="shared" si="0"/>
        <v>0</v>
      </c>
      <c r="AJ33" s="27">
        <f t="shared" si="1"/>
        <v>0</v>
      </c>
      <c r="AK33" s="27">
        <v>91.414715168000001</v>
      </c>
      <c r="AL33" s="27">
        <v>1.3843268141</v>
      </c>
      <c r="AM33" s="80" t="s">
        <v>136</v>
      </c>
      <c r="AN33" s="80">
        <v>0</v>
      </c>
      <c r="AO33" s="80" t="s">
        <v>136</v>
      </c>
      <c r="AP33" s="80">
        <v>0</v>
      </c>
      <c r="AQ33" s="80" t="s">
        <v>136</v>
      </c>
      <c r="AR33" s="80">
        <v>0</v>
      </c>
      <c r="AS33" s="27">
        <v>53.376205738000003</v>
      </c>
      <c r="AT33" s="27">
        <v>2.0586001449000002</v>
      </c>
      <c r="AU33" s="27">
        <v>38.346102961</v>
      </c>
      <c r="AV33" s="27">
        <v>0.32278398850000001</v>
      </c>
      <c r="AW33" s="27">
        <v>19.036933019999999</v>
      </c>
      <c r="AX33" s="27">
        <v>0.20882441069999999</v>
      </c>
      <c r="AY33" s="27">
        <v>6.0906964698000001</v>
      </c>
      <c r="AZ33" s="27">
        <v>5.8168330999999997E-2</v>
      </c>
      <c r="BA33" s="80">
        <f t="shared" si="2"/>
        <v>13.218473471199999</v>
      </c>
      <c r="BB33" s="80">
        <f t="shared" si="3"/>
        <v>5.5791246800000027E-2</v>
      </c>
      <c r="BC33" s="27">
        <v>0</v>
      </c>
      <c r="BD33" s="80">
        <v>0</v>
      </c>
      <c r="BE33" s="27">
        <v>106.04230034</v>
      </c>
      <c r="BF33" s="27">
        <v>1.2855608268000001</v>
      </c>
      <c r="BG33" s="79">
        <v>2.3252008000000002E-3</v>
      </c>
      <c r="BH33" s="80">
        <v>0</v>
      </c>
      <c r="BI33" s="27">
        <v>101.40039942999999</v>
      </c>
      <c r="BJ33" s="27">
        <v>3.6639634441000002</v>
      </c>
      <c r="BK33" s="27">
        <v>97.173422720999994</v>
      </c>
      <c r="BL33" s="27">
        <v>0.77103598620000002</v>
      </c>
      <c r="BM33" s="27">
        <v>25.827389947</v>
      </c>
      <c r="BN33" s="27">
        <v>0.1612222059</v>
      </c>
      <c r="BO33" s="27">
        <v>3.91680217E-2</v>
      </c>
      <c r="BP33" s="27">
        <v>3.9503550000000002E-4</v>
      </c>
      <c r="BQ33" s="27">
        <v>0</v>
      </c>
      <c r="BR33" s="92">
        <v>0</v>
      </c>
      <c r="BS33" s="80" t="s">
        <v>136</v>
      </c>
      <c r="BT33" s="80">
        <v>0</v>
      </c>
      <c r="BU33" s="27">
        <v>0.22901319040000001</v>
      </c>
      <c r="BV33" s="27">
        <v>2.9463813999999998E-3</v>
      </c>
      <c r="BW33" s="27">
        <v>14.177919223</v>
      </c>
      <c r="BX33" s="27">
        <v>0.1211270679</v>
      </c>
      <c r="BY33" s="80" t="s">
        <v>136</v>
      </c>
      <c r="BZ33" s="80">
        <v>0</v>
      </c>
      <c r="CA33" s="80" t="s">
        <v>136</v>
      </c>
      <c r="CB33" s="80">
        <v>0</v>
      </c>
      <c r="CC33" s="27">
        <v>3.7090256613000001</v>
      </c>
      <c r="CD33" s="27">
        <v>3.9032149999999998E-3</v>
      </c>
      <c r="CE33" s="27">
        <v>7.684302164</v>
      </c>
      <c r="CF33" s="27">
        <v>1.6964928399999999E-2</v>
      </c>
      <c r="CG33" s="80" t="s">
        <v>136</v>
      </c>
      <c r="CH33" s="80">
        <v>0</v>
      </c>
      <c r="CI33" s="80" t="s">
        <v>136</v>
      </c>
      <c r="CJ33" s="80">
        <v>0</v>
      </c>
      <c r="CK33" s="80" t="s">
        <v>136</v>
      </c>
      <c r="CL33" s="80">
        <v>0</v>
      </c>
      <c r="CM33" s="80" t="s">
        <v>136</v>
      </c>
      <c r="CN33" s="80">
        <v>0</v>
      </c>
      <c r="CO33" s="27">
        <v>3.6557583099999999E-2</v>
      </c>
      <c r="CP33" s="27">
        <v>3.455744E-4</v>
      </c>
      <c r="CQ33" s="27">
        <v>0.22563559890000001</v>
      </c>
      <c r="CR33" s="27">
        <v>2.2188345E-3</v>
      </c>
      <c r="CS33" s="27">
        <v>0.92489056120000002</v>
      </c>
      <c r="CT33" s="27">
        <v>9.5962427999999999E-3</v>
      </c>
      <c r="CU33" s="27">
        <v>16.014858442000001</v>
      </c>
      <c r="CV33" s="27">
        <v>0.3877665971</v>
      </c>
      <c r="CW33" s="80" t="s">
        <v>136</v>
      </c>
      <c r="CX33" s="80">
        <v>0</v>
      </c>
      <c r="CY33" s="80" t="s">
        <v>136</v>
      </c>
      <c r="CZ33" s="80">
        <v>0</v>
      </c>
      <c r="DA33" s="27">
        <v>11.881557792000001</v>
      </c>
      <c r="DB33" s="27">
        <v>0.16865829469999999</v>
      </c>
      <c r="DC33" s="27">
        <v>41.494647944999997</v>
      </c>
      <c r="DD33" s="27">
        <v>1.8899418502000001</v>
      </c>
      <c r="DE33" s="27">
        <v>11.855086158000001</v>
      </c>
      <c r="DF33" s="27">
        <v>0.34927743680000001</v>
      </c>
      <c r="DG33" s="27">
        <v>94.187214186000006</v>
      </c>
      <c r="DH33" s="92">
        <v>0.93628339009999995</v>
      </c>
      <c r="DI33" s="95">
        <v>1.1873991E-3</v>
      </c>
      <c r="DJ33" s="96">
        <v>1.9931736999999998E-3</v>
      </c>
      <c r="DK33" s="96">
        <v>2.1997057E-3</v>
      </c>
      <c r="DL33" s="96">
        <v>2.2314029999999999E-3</v>
      </c>
      <c r="DM33" s="96">
        <v>2.2444017999999999E-3</v>
      </c>
      <c r="DN33" s="96">
        <v>2.2574004999999999E-3</v>
      </c>
      <c r="DO33" s="96">
        <v>2.2639562000000002E-3</v>
      </c>
      <c r="DP33" s="96">
        <v>2.2705119000000001E-3</v>
      </c>
      <c r="DQ33" s="96">
        <v>2.2770677E-3</v>
      </c>
      <c r="DR33" s="97">
        <v>2.2836234E-3</v>
      </c>
      <c r="DS33" s="93">
        <v>61.107848994999998</v>
      </c>
      <c r="DT33" s="80">
        <v>0.43062620210000002</v>
      </c>
      <c r="DU33" s="80">
        <v>27.371846949999998</v>
      </c>
      <c r="DV33" s="80">
        <v>0.20261176710000001</v>
      </c>
      <c r="DW33" s="80">
        <v>12.269778422</v>
      </c>
      <c r="DX33" s="80">
        <v>9.5167364399999996E-2</v>
      </c>
      <c r="DY33" s="80">
        <v>5.5116271886000003</v>
      </c>
      <c r="DZ33" s="80">
        <v>4.5442947499999997E-2</v>
      </c>
      <c r="EA33" s="80">
        <v>2.5382687881999999</v>
      </c>
      <c r="EB33" s="80">
        <v>2.27284658E-2</v>
      </c>
      <c r="EC33" s="80">
        <v>1.2351094198999999</v>
      </c>
      <c r="ED33" s="80">
        <v>1.2313006899999999E-2</v>
      </c>
      <c r="EE33" s="80">
        <v>0.64283688370000003</v>
      </c>
      <c r="EF33" s="80">
        <v>7.3518384000000004E-3</v>
      </c>
      <c r="EG33" s="80">
        <v>0.3568758937</v>
      </c>
      <c r="EH33" s="80">
        <v>4.7765784999999998E-3</v>
      </c>
      <c r="EI33" s="80">
        <v>0.208439438</v>
      </c>
      <c r="EJ33" s="80">
        <v>3.3661648999999999E-3</v>
      </c>
      <c r="EK33" s="80">
        <v>0.13098786170000001</v>
      </c>
      <c r="EL33" s="94">
        <v>2.5335405000000001E-3</v>
      </c>
    </row>
    <row r="34" spans="1:142" x14ac:dyDescent="0.2">
      <c r="A34" s="79">
        <v>2900</v>
      </c>
      <c r="B34" s="27">
        <v>2375</v>
      </c>
      <c r="C34" s="79">
        <v>1484.4363249</v>
      </c>
      <c r="D34" s="27">
        <v>2849.8492124999998</v>
      </c>
      <c r="E34" s="27">
        <v>43.650616153999998</v>
      </c>
      <c r="F34" s="27">
        <v>4.9972582000000002E-2</v>
      </c>
      <c r="G34" s="79">
        <v>2.1284085465999998</v>
      </c>
      <c r="H34" s="27">
        <v>1.3134901999999999E-3</v>
      </c>
      <c r="I34" s="27">
        <v>135.60657570999999</v>
      </c>
      <c r="J34" s="27">
        <v>0.8935779022</v>
      </c>
      <c r="K34" s="27">
        <v>58.807919665999997</v>
      </c>
      <c r="L34" s="27">
        <v>0.36109761639999999</v>
      </c>
      <c r="M34" s="27">
        <v>14.865618197</v>
      </c>
      <c r="N34" s="27">
        <v>0.1275744946</v>
      </c>
      <c r="O34" s="80" t="s">
        <v>136</v>
      </c>
      <c r="P34" s="80">
        <v>0</v>
      </c>
      <c r="Q34" s="27">
        <v>12.214439838000001</v>
      </c>
      <c r="R34" s="27">
        <v>2.20569049E-2</v>
      </c>
      <c r="S34" s="80" t="s">
        <v>136</v>
      </c>
      <c r="T34" s="80">
        <v>0</v>
      </c>
      <c r="U34" s="80" t="s">
        <v>136</v>
      </c>
      <c r="V34" s="80">
        <v>0</v>
      </c>
      <c r="W34" s="27">
        <v>0.28197174809999997</v>
      </c>
      <c r="X34" s="27">
        <v>2.7624033000000002E-3</v>
      </c>
      <c r="Y34" s="27">
        <v>17.603612678000001</v>
      </c>
      <c r="Z34" s="27">
        <v>0.41098173560000001</v>
      </c>
      <c r="AA34" s="80" t="s">
        <v>136</v>
      </c>
      <c r="AB34" s="80">
        <v>0</v>
      </c>
      <c r="AC34" s="27">
        <v>0</v>
      </c>
      <c r="AD34" s="27">
        <v>0</v>
      </c>
      <c r="AE34" s="80" t="s">
        <v>136</v>
      </c>
      <c r="AF34" s="80">
        <v>0</v>
      </c>
      <c r="AG34" s="80" t="s">
        <v>136</v>
      </c>
      <c r="AH34" s="80">
        <v>0</v>
      </c>
      <c r="AI34" s="27">
        <f t="shared" si="0"/>
        <v>0</v>
      </c>
      <c r="AJ34" s="27">
        <f t="shared" si="1"/>
        <v>0</v>
      </c>
      <c r="AK34" s="27">
        <v>93.470799290000002</v>
      </c>
      <c r="AL34" s="27">
        <v>1.4030335875</v>
      </c>
      <c r="AM34" s="80" t="s">
        <v>136</v>
      </c>
      <c r="AN34" s="80">
        <v>0</v>
      </c>
      <c r="AO34" s="80" t="s">
        <v>136</v>
      </c>
      <c r="AP34" s="80">
        <v>0</v>
      </c>
      <c r="AQ34" s="80" t="s">
        <v>136</v>
      </c>
      <c r="AR34" s="80">
        <v>0</v>
      </c>
      <c r="AS34" s="27">
        <v>54.519779686</v>
      </c>
      <c r="AT34" s="27">
        <v>2.0908906744000002</v>
      </c>
      <c r="AU34" s="27">
        <v>39.559941395999999</v>
      </c>
      <c r="AV34" s="27">
        <v>0.33000045859999999</v>
      </c>
      <c r="AW34" s="27">
        <v>19.620703883000001</v>
      </c>
      <c r="AX34" s="27">
        <v>0.21362194270000001</v>
      </c>
      <c r="AY34" s="27">
        <v>6.2551273430999998</v>
      </c>
      <c r="AZ34" s="27">
        <v>5.9175736499999999E-2</v>
      </c>
      <c r="BA34" s="80">
        <f t="shared" si="2"/>
        <v>13.684110169899999</v>
      </c>
      <c r="BB34" s="80">
        <f t="shared" si="3"/>
        <v>5.7202779399999959E-2</v>
      </c>
      <c r="BC34" s="27">
        <v>0</v>
      </c>
      <c r="BD34" s="80">
        <v>0</v>
      </c>
      <c r="BE34" s="27">
        <v>108.79998267000001</v>
      </c>
      <c r="BF34" s="27">
        <v>1.3092454663999999</v>
      </c>
      <c r="BG34" s="79">
        <v>2.5502006000000001E-3</v>
      </c>
      <c r="BH34" s="80">
        <v>0</v>
      </c>
      <c r="BI34" s="27">
        <v>103.63531381</v>
      </c>
      <c r="BJ34" s="27">
        <v>3.7138787636999999</v>
      </c>
      <c r="BK34" s="27">
        <v>101.72590594</v>
      </c>
      <c r="BL34" s="27">
        <v>0.80519193860000005</v>
      </c>
      <c r="BM34" s="27">
        <v>26.791190124</v>
      </c>
      <c r="BN34" s="27">
        <v>0.16591377630000001</v>
      </c>
      <c r="BO34" s="27">
        <v>3.8725098200000002E-2</v>
      </c>
      <c r="BP34" s="27">
        <v>3.890562E-4</v>
      </c>
      <c r="BQ34" s="27">
        <v>0</v>
      </c>
      <c r="BR34" s="92">
        <v>0</v>
      </c>
      <c r="BS34" s="80" t="s">
        <v>136</v>
      </c>
      <c r="BT34" s="80">
        <v>0</v>
      </c>
      <c r="BU34" s="27">
        <v>0.22855092290000001</v>
      </c>
      <c r="BV34" s="27">
        <v>2.9478399000000001E-3</v>
      </c>
      <c r="BW34" s="27">
        <v>14.637067274</v>
      </c>
      <c r="BX34" s="27">
        <v>0.1246266548</v>
      </c>
      <c r="BY34" s="80" t="s">
        <v>136</v>
      </c>
      <c r="BZ34" s="80">
        <v>0</v>
      </c>
      <c r="CA34" s="80" t="s">
        <v>136</v>
      </c>
      <c r="CB34" s="80">
        <v>0</v>
      </c>
      <c r="CC34" s="27">
        <v>4.0960208501000004</v>
      </c>
      <c r="CD34" s="27">
        <v>4.2212880999999997E-3</v>
      </c>
      <c r="CE34" s="27">
        <v>8.1184189875000001</v>
      </c>
      <c r="CF34" s="27">
        <v>1.7835616700000001E-2</v>
      </c>
      <c r="CG34" s="80" t="s">
        <v>136</v>
      </c>
      <c r="CH34" s="80">
        <v>0</v>
      </c>
      <c r="CI34" s="80" t="s">
        <v>136</v>
      </c>
      <c r="CJ34" s="80">
        <v>0</v>
      </c>
      <c r="CK34" s="80" t="s">
        <v>136</v>
      </c>
      <c r="CL34" s="80">
        <v>0</v>
      </c>
      <c r="CM34" s="80" t="s">
        <v>136</v>
      </c>
      <c r="CN34" s="80">
        <v>0</v>
      </c>
      <c r="CO34" s="27">
        <v>3.6186967899999999E-2</v>
      </c>
      <c r="CP34" s="27">
        <v>3.4197209999999999E-4</v>
      </c>
      <c r="CQ34" s="27">
        <v>0.2457847802</v>
      </c>
      <c r="CR34" s="27">
        <v>2.4204311999999999E-3</v>
      </c>
      <c r="CS34" s="27">
        <v>0.99692634609999997</v>
      </c>
      <c r="CT34" s="27">
        <v>1.0480764199999999E-2</v>
      </c>
      <c r="CU34" s="27">
        <v>16.606686331999999</v>
      </c>
      <c r="CV34" s="27">
        <v>0.40050097140000002</v>
      </c>
      <c r="CW34" s="80" t="s">
        <v>136</v>
      </c>
      <c r="CX34" s="80">
        <v>0</v>
      </c>
      <c r="CY34" s="80" t="s">
        <v>136</v>
      </c>
      <c r="CZ34" s="80">
        <v>0</v>
      </c>
      <c r="DA34" s="27">
        <v>12.263214602</v>
      </c>
      <c r="DB34" s="27">
        <v>0.17289715759999999</v>
      </c>
      <c r="DC34" s="27">
        <v>42.256565084000002</v>
      </c>
      <c r="DD34" s="27">
        <v>1.9179935168</v>
      </c>
      <c r="DE34" s="27">
        <v>12.400340484999999</v>
      </c>
      <c r="DF34" s="27">
        <v>0.35747439939999998</v>
      </c>
      <c r="DG34" s="27">
        <v>96.399642185999994</v>
      </c>
      <c r="DH34" s="92">
        <v>0.95177106700000003</v>
      </c>
      <c r="DI34" s="95">
        <v>1.2977999E-3</v>
      </c>
      <c r="DJ34" s="96">
        <v>2.1941588000000001E-3</v>
      </c>
      <c r="DK34" s="96">
        <v>2.4259685999999999E-3</v>
      </c>
      <c r="DL34" s="96">
        <v>2.4572858999999999E-3</v>
      </c>
      <c r="DM34" s="96">
        <v>2.4701444000000002E-3</v>
      </c>
      <c r="DN34" s="96">
        <v>2.4830029000000001E-3</v>
      </c>
      <c r="DO34" s="96">
        <v>2.4895031000000001E-3</v>
      </c>
      <c r="DP34" s="96">
        <v>2.4960033999999998E-3</v>
      </c>
      <c r="DQ34" s="96">
        <v>2.5025035999999999E-3</v>
      </c>
      <c r="DR34" s="97">
        <v>2.5090037999999999E-3</v>
      </c>
      <c r="DS34" s="93">
        <v>62.304587024</v>
      </c>
      <c r="DT34" s="80">
        <v>0.43872660099999999</v>
      </c>
      <c r="DU34" s="80">
        <v>28.135224272999999</v>
      </c>
      <c r="DV34" s="80">
        <v>0.20793146809999999</v>
      </c>
      <c r="DW34" s="80">
        <v>12.727594336999999</v>
      </c>
      <c r="DX34" s="80">
        <v>9.8440114400000001E-2</v>
      </c>
      <c r="DY34" s="80">
        <v>5.7673383236999998</v>
      </c>
      <c r="DZ34" s="80">
        <v>4.7347224899999998E-2</v>
      </c>
      <c r="EA34" s="80">
        <v>2.6736105653000002</v>
      </c>
      <c r="EB34" s="80">
        <v>2.38176311E-2</v>
      </c>
      <c r="EC34" s="80">
        <v>1.3075609956000001</v>
      </c>
      <c r="ED34" s="80">
        <v>1.2959057899999999E-2</v>
      </c>
      <c r="EE34" s="80">
        <v>0.67998345869999999</v>
      </c>
      <c r="EF34" s="80">
        <v>7.7517934E-3</v>
      </c>
      <c r="EG34" s="80">
        <v>0.3776291913</v>
      </c>
      <c r="EH34" s="80">
        <v>5.0541012999999997E-3</v>
      </c>
      <c r="EI34" s="80">
        <v>0.22330499710000001</v>
      </c>
      <c r="EJ34" s="80">
        <v>3.5883233000000001E-3</v>
      </c>
      <c r="EK34" s="80">
        <v>0.14262140540000001</v>
      </c>
      <c r="EL34" s="94">
        <v>2.7205608000000002E-3</v>
      </c>
    </row>
    <row r="35" spans="1:142" x14ac:dyDescent="0.2">
      <c r="A35" s="79">
        <v>3000</v>
      </c>
      <c r="B35" s="27">
        <v>2311</v>
      </c>
      <c r="C35" s="79">
        <v>1517.3387809000001</v>
      </c>
      <c r="D35" s="27">
        <v>2949.4399377999998</v>
      </c>
      <c r="E35" s="27">
        <v>45.660917345999998</v>
      </c>
      <c r="F35" s="27">
        <v>5.1339758999999999E-2</v>
      </c>
      <c r="G35" s="79">
        <v>2.3952468444999999</v>
      </c>
      <c r="H35" s="27">
        <v>1.4460574999999999E-3</v>
      </c>
      <c r="I35" s="27">
        <v>137.28072746999999</v>
      </c>
      <c r="J35" s="27">
        <v>0.90391773340000003</v>
      </c>
      <c r="K35" s="27">
        <v>59.902930845999997</v>
      </c>
      <c r="L35" s="27">
        <v>0.36753492319999997</v>
      </c>
      <c r="M35" s="27">
        <v>15.402361883999999</v>
      </c>
      <c r="N35" s="27">
        <v>0.13166622650000001</v>
      </c>
      <c r="O35" s="80" t="s">
        <v>136</v>
      </c>
      <c r="P35" s="80">
        <v>0</v>
      </c>
      <c r="Q35" s="27">
        <v>13.00143372</v>
      </c>
      <c r="R35" s="27">
        <v>2.31445526E-2</v>
      </c>
      <c r="S35" s="80" t="s">
        <v>136</v>
      </c>
      <c r="T35" s="80">
        <v>0</v>
      </c>
      <c r="U35" s="80" t="s">
        <v>136</v>
      </c>
      <c r="V35" s="80">
        <v>0</v>
      </c>
      <c r="W35" s="27">
        <v>0.3102483707</v>
      </c>
      <c r="X35" s="27">
        <v>3.0392593E-3</v>
      </c>
      <c r="Y35" s="27">
        <v>18.293723276000001</v>
      </c>
      <c r="Z35" s="27">
        <v>0.42533667009999998</v>
      </c>
      <c r="AA35" s="80" t="s">
        <v>136</v>
      </c>
      <c r="AB35" s="80">
        <v>0</v>
      </c>
      <c r="AC35" s="27">
        <v>0</v>
      </c>
      <c r="AD35" s="27">
        <v>0</v>
      </c>
      <c r="AE35" s="80" t="s">
        <v>136</v>
      </c>
      <c r="AF35" s="80">
        <v>0</v>
      </c>
      <c r="AG35" s="80" t="s">
        <v>136</v>
      </c>
      <c r="AH35" s="80">
        <v>0</v>
      </c>
      <c r="AI35" s="27">
        <f t="shared" si="0"/>
        <v>0</v>
      </c>
      <c r="AJ35" s="27">
        <f t="shared" si="1"/>
        <v>0</v>
      </c>
      <c r="AK35" s="27">
        <v>95.461077442999994</v>
      </c>
      <c r="AL35" s="27">
        <v>1.4213070795</v>
      </c>
      <c r="AM35" s="80" t="s">
        <v>136</v>
      </c>
      <c r="AN35" s="80">
        <v>0</v>
      </c>
      <c r="AO35" s="80" t="s">
        <v>136</v>
      </c>
      <c r="AP35" s="80">
        <v>0</v>
      </c>
      <c r="AQ35" s="80" t="s">
        <v>136</v>
      </c>
      <c r="AR35" s="80">
        <v>0</v>
      </c>
      <c r="AS35" s="27">
        <v>55.621947083999999</v>
      </c>
      <c r="AT35" s="27">
        <v>2.1239464576999998</v>
      </c>
      <c r="AU35" s="27">
        <v>40.727954867999998</v>
      </c>
      <c r="AV35" s="27">
        <v>0.33694878119999999</v>
      </c>
      <c r="AW35" s="27">
        <v>20.173822581</v>
      </c>
      <c r="AX35" s="27">
        <v>0.21815976940000001</v>
      </c>
      <c r="AY35" s="27">
        <v>6.4295002239999999</v>
      </c>
      <c r="AZ35" s="27">
        <v>6.0354319599999998E-2</v>
      </c>
      <c r="BA35" s="80">
        <f t="shared" si="2"/>
        <v>14.124632063</v>
      </c>
      <c r="BB35" s="80">
        <f t="shared" si="3"/>
        <v>5.8434692199999971E-2</v>
      </c>
      <c r="BC35" s="27">
        <v>0</v>
      </c>
      <c r="BD35" s="80">
        <v>0</v>
      </c>
      <c r="BE35" s="27">
        <v>111.53839508999999</v>
      </c>
      <c r="BF35" s="27">
        <v>1.3334467748000001</v>
      </c>
      <c r="BG35" s="79">
        <v>2.8038719999999998E-3</v>
      </c>
      <c r="BH35" s="80">
        <v>0</v>
      </c>
      <c r="BI35" s="27">
        <v>105.66680965</v>
      </c>
      <c r="BJ35" s="27">
        <v>3.7631017989000002</v>
      </c>
      <c r="BK35" s="27">
        <v>106.39946639</v>
      </c>
      <c r="BL35" s="27">
        <v>0.83943425670000005</v>
      </c>
      <c r="BM35" s="27">
        <v>27.796617867999998</v>
      </c>
      <c r="BN35" s="27">
        <v>0.1704772188</v>
      </c>
      <c r="BO35" s="27">
        <v>3.8304944399999999E-2</v>
      </c>
      <c r="BP35" s="27">
        <v>3.834671E-4</v>
      </c>
      <c r="BQ35" s="27">
        <v>0</v>
      </c>
      <c r="BR35" s="92">
        <v>0</v>
      </c>
      <c r="BS35" s="80" t="s">
        <v>136</v>
      </c>
      <c r="BT35" s="80">
        <v>0</v>
      </c>
      <c r="BU35" s="27">
        <v>0.25465837549999998</v>
      </c>
      <c r="BV35" s="27">
        <v>3.1563448E-3</v>
      </c>
      <c r="BW35" s="27">
        <v>15.147703507999999</v>
      </c>
      <c r="BX35" s="27">
        <v>0.12850988169999999</v>
      </c>
      <c r="BY35" s="80" t="s">
        <v>136</v>
      </c>
      <c r="BZ35" s="80">
        <v>0</v>
      </c>
      <c r="CA35" s="80" t="s">
        <v>136</v>
      </c>
      <c r="CB35" s="80">
        <v>0</v>
      </c>
      <c r="CC35" s="27">
        <v>4.4617689647000001</v>
      </c>
      <c r="CD35" s="27">
        <v>4.5114016999999998E-3</v>
      </c>
      <c r="CE35" s="27">
        <v>8.5396647549000004</v>
      </c>
      <c r="CF35" s="27">
        <v>1.8633151000000001E-2</v>
      </c>
      <c r="CG35" s="80" t="s">
        <v>136</v>
      </c>
      <c r="CH35" s="80">
        <v>0</v>
      </c>
      <c r="CI35" s="80" t="s">
        <v>136</v>
      </c>
      <c r="CJ35" s="80">
        <v>0</v>
      </c>
      <c r="CK35" s="80" t="s">
        <v>136</v>
      </c>
      <c r="CL35" s="80">
        <v>0</v>
      </c>
      <c r="CM35" s="80" t="s">
        <v>136</v>
      </c>
      <c r="CN35" s="80">
        <v>0</v>
      </c>
      <c r="CO35" s="27">
        <v>4.5235473200000001E-2</v>
      </c>
      <c r="CP35" s="27">
        <v>4.2071589999999998E-4</v>
      </c>
      <c r="CQ35" s="27">
        <v>0.26501289750000001</v>
      </c>
      <c r="CR35" s="27">
        <v>2.6185433999999998E-3</v>
      </c>
      <c r="CS35" s="27">
        <v>1.0473046020000001</v>
      </c>
      <c r="CT35" s="27">
        <v>1.0766179000000001E-2</v>
      </c>
      <c r="CU35" s="27">
        <v>17.246418674000001</v>
      </c>
      <c r="CV35" s="27">
        <v>0.41457049109999999</v>
      </c>
      <c r="CW35" s="80" t="s">
        <v>136</v>
      </c>
      <c r="CX35" s="80">
        <v>0</v>
      </c>
      <c r="CY35" s="80" t="s">
        <v>136</v>
      </c>
      <c r="CZ35" s="80">
        <v>0</v>
      </c>
      <c r="DA35" s="27">
        <v>12.573354670000001</v>
      </c>
      <c r="DB35" s="27">
        <v>0.17657699569999999</v>
      </c>
      <c r="DC35" s="27">
        <v>43.048592413999998</v>
      </c>
      <c r="DD35" s="27">
        <v>1.9473694619999999</v>
      </c>
      <c r="DE35" s="27">
        <v>13.049441311000001</v>
      </c>
      <c r="DF35" s="27">
        <v>0.36642135840000001</v>
      </c>
      <c r="DG35" s="27">
        <v>98.488953776000002</v>
      </c>
      <c r="DH35" s="92">
        <v>0.96702541639999995</v>
      </c>
      <c r="DI35" s="95">
        <v>1.4305298999999999E-3</v>
      </c>
      <c r="DJ35" s="96">
        <v>2.4154611999999999E-3</v>
      </c>
      <c r="DK35" s="96">
        <v>2.6748556000000001E-3</v>
      </c>
      <c r="DL35" s="96">
        <v>2.7117424000000002E-3</v>
      </c>
      <c r="DM35" s="96">
        <v>2.7244847999999999E-3</v>
      </c>
      <c r="DN35" s="96">
        <v>2.7372273000000002E-3</v>
      </c>
      <c r="DO35" s="96">
        <v>2.7436763000000001E-3</v>
      </c>
      <c r="DP35" s="96">
        <v>2.7501254000000001E-3</v>
      </c>
      <c r="DQ35" s="96">
        <v>2.7565744000000001E-3</v>
      </c>
      <c r="DR35" s="97">
        <v>2.7630234E-3</v>
      </c>
      <c r="DS35" s="93">
        <v>63.514317378999998</v>
      </c>
      <c r="DT35" s="80">
        <v>0.44643274970000002</v>
      </c>
      <c r="DU35" s="80">
        <v>28.911198016</v>
      </c>
      <c r="DV35" s="80">
        <v>0.2130609678</v>
      </c>
      <c r="DW35" s="80">
        <v>13.188792416</v>
      </c>
      <c r="DX35" s="80">
        <v>0.1015820011</v>
      </c>
      <c r="DY35" s="80">
        <v>6.037295973</v>
      </c>
      <c r="DZ35" s="80">
        <v>4.9253141899999998E-2</v>
      </c>
      <c r="EA35" s="80">
        <v>2.8268384357</v>
      </c>
      <c r="EB35" s="80">
        <v>2.494358E-2</v>
      </c>
      <c r="EC35" s="80">
        <v>1.3932318621999999</v>
      </c>
      <c r="ED35" s="80">
        <v>1.36087746E-2</v>
      </c>
      <c r="EE35" s="80">
        <v>0.73154334899999995</v>
      </c>
      <c r="EF35" s="80">
        <v>8.1527548999999998E-3</v>
      </c>
      <c r="EG35" s="80">
        <v>0.40883023159999998</v>
      </c>
      <c r="EH35" s="80">
        <v>5.2977101999999998E-3</v>
      </c>
      <c r="EI35" s="80">
        <v>0.2415625844</v>
      </c>
      <c r="EJ35" s="80">
        <v>3.7275335000000001E-3</v>
      </c>
      <c r="EK35" s="80">
        <v>0.153790699</v>
      </c>
      <c r="EL35" s="94">
        <v>2.8013547000000001E-3</v>
      </c>
    </row>
    <row r="36" spans="1:142" x14ac:dyDescent="0.2">
      <c r="A36" s="79">
        <v>3100</v>
      </c>
      <c r="B36" s="27">
        <v>2111</v>
      </c>
      <c r="C36" s="79">
        <v>1549.5084300000001</v>
      </c>
      <c r="D36" s="27">
        <v>3049.4674565</v>
      </c>
      <c r="E36" s="27">
        <v>47.578846405</v>
      </c>
      <c r="F36" s="27">
        <v>5.2654591000000001E-2</v>
      </c>
      <c r="G36" s="79">
        <v>2.5897516221000001</v>
      </c>
      <c r="H36" s="27">
        <v>1.5317093999999999E-3</v>
      </c>
      <c r="I36" s="27">
        <v>138.7095884</v>
      </c>
      <c r="J36" s="27">
        <v>0.91327481450000003</v>
      </c>
      <c r="K36" s="27">
        <v>60.942788442999998</v>
      </c>
      <c r="L36" s="27">
        <v>0.37334809920000001</v>
      </c>
      <c r="M36" s="27">
        <v>15.903161234000001</v>
      </c>
      <c r="N36" s="27">
        <v>0.1356084545</v>
      </c>
      <c r="O36" s="80" t="s">
        <v>136</v>
      </c>
      <c r="P36" s="80">
        <v>0</v>
      </c>
      <c r="Q36" s="27">
        <v>13.949369687000001</v>
      </c>
      <c r="R36" s="27">
        <v>2.4606403499999999E-2</v>
      </c>
      <c r="S36" s="80" t="s">
        <v>136</v>
      </c>
      <c r="T36" s="80">
        <v>0</v>
      </c>
      <c r="U36" s="80" t="s">
        <v>136</v>
      </c>
      <c r="V36" s="80">
        <v>0</v>
      </c>
      <c r="W36" s="27">
        <v>0.31881151699999999</v>
      </c>
      <c r="X36" s="27">
        <v>3.1274275000000001E-3</v>
      </c>
      <c r="Y36" s="27">
        <v>18.984778168999998</v>
      </c>
      <c r="Z36" s="27">
        <v>0.44110782929999998</v>
      </c>
      <c r="AA36" s="80" t="s">
        <v>136</v>
      </c>
      <c r="AB36" s="80">
        <v>0</v>
      </c>
      <c r="AC36" s="27">
        <v>0</v>
      </c>
      <c r="AD36" s="27">
        <v>0</v>
      </c>
      <c r="AE36" s="80" t="s">
        <v>136</v>
      </c>
      <c r="AF36" s="80">
        <v>0</v>
      </c>
      <c r="AG36" s="80" t="s">
        <v>136</v>
      </c>
      <c r="AH36" s="80">
        <v>0</v>
      </c>
      <c r="AI36" s="27">
        <f t="shared" si="0"/>
        <v>0</v>
      </c>
      <c r="AJ36" s="27">
        <f t="shared" si="1"/>
        <v>0</v>
      </c>
      <c r="AK36" s="27">
        <v>97.287857505000005</v>
      </c>
      <c r="AL36" s="27">
        <v>1.4376185342000001</v>
      </c>
      <c r="AM36" s="80" t="s">
        <v>136</v>
      </c>
      <c r="AN36" s="80">
        <v>0</v>
      </c>
      <c r="AO36" s="80" t="s">
        <v>136</v>
      </c>
      <c r="AP36" s="80">
        <v>0</v>
      </c>
      <c r="AQ36" s="80" t="s">
        <v>136</v>
      </c>
      <c r="AR36" s="80">
        <v>0</v>
      </c>
      <c r="AS36" s="27">
        <v>56.689846133000003</v>
      </c>
      <c r="AT36" s="27">
        <v>2.1537876305000001</v>
      </c>
      <c r="AU36" s="27">
        <v>41.824312182</v>
      </c>
      <c r="AV36" s="27">
        <v>0.34347540329999998</v>
      </c>
      <c r="AW36" s="27">
        <v>20.640788596</v>
      </c>
      <c r="AX36" s="27">
        <v>0.22228666790000001</v>
      </c>
      <c r="AY36" s="27">
        <v>6.5563706676000004</v>
      </c>
      <c r="AZ36" s="27">
        <v>6.1341269900000002E-2</v>
      </c>
      <c r="BA36" s="80">
        <f t="shared" si="2"/>
        <v>14.6271529184</v>
      </c>
      <c r="BB36" s="80">
        <f t="shared" si="3"/>
        <v>5.9847465499999974E-2</v>
      </c>
      <c r="BC36" s="27">
        <v>0</v>
      </c>
      <c r="BD36" s="80">
        <v>0</v>
      </c>
      <c r="BE36" s="27">
        <v>114.10202807</v>
      </c>
      <c r="BF36" s="27">
        <v>1.3561369907</v>
      </c>
      <c r="BG36" s="79">
        <v>2.9792085999999999E-3</v>
      </c>
      <c r="BH36" s="80">
        <v>0</v>
      </c>
      <c r="BI36" s="27">
        <v>107.60977724</v>
      </c>
      <c r="BJ36" s="27">
        <v>3.8092724117999999</v>
      </c>
      <c r="BK36" s="27">
        <v>110.64464685999999</v>
      </c>
      <c r="BL36" s="27">
        <v>0.86983392370000001</v>
      </c>
      <c r="BM36" s="27">
        <v>28.696650599000002</v>
      </c>
      <c r="BN36" s="27">
        <v>0.17488153519999999</v>
      </c>
      <c r="BO36" s="27">
        <v>3.91121886E-2</v>
      </c>
      <c r="BP36" s="27">
        <v>3.9133229999999998E-4</v>
      </c>
      <c r="BQ36" s="27">
        <v>0</v>
      </c>
      <c r="BR36" s="92">
        <v>0</v>
      </c>
      <c r="BS36" s="80" t="s">
        <v>136</v>
      </c>
      <c r="BT36" s="80">
        <v>0</v>
      </c>
      <c r="BU36" s="27">
        <v>0.26501517949999998</v>
      </c>
      <c r="BV36" s="27">
        <v>3.3490799999999999E-3</v>
      </c>
      <c r="BW36" s="27">
        <v>15.638146054</v>
      </c>
      <c r="BX36" s="27">
        <v>0.1322593745</v>
      </c>
      <c r="BY36" s="80" t="s">
        <v>136</v>
      </c>
      <c r="BZ36" s="80">
        <v>0</v>
      </c>
      <c r="CA36" s="80" t="s">
        <v>136</v>
      </c>
      <c r="CB36" s="80">
        <v>0</v>
      </c>
      <c r="CC36" s="27">
        <v>4.9521335847000003</v>
      </c>
      <c r="CD36" s="27">
        <v>4.8924559999999999E-3</v>
      </c>
      <c r="CE36" s="27">
        <v>8.9972361020000005</v>
      </c>
      <c r="CF36" s="27">
        <v>1.9713947499999999E-2</v>
      </c>
      <c r="CG36" s="80" t="s">
        <v>136</v>
      </c>
      <c r="CH36" s="80">
        <v>0</v>
      </c>
      <c r="CI36" s="80" t="s">
        <v>136</v>
      </c>
      <c r="CJ36" s="80">
        <v>0</v>
      </c>
      <c r="CK36" s="80" t="s">
        <v>136</v>
      </c>
      <c r="CL36" s="80">
        <v>0</v>
      </c>
      <c r="CM36" s="80" t="s">
        <v>136</v>
      </c>
      <c r="CN36" s="80">
        <v>0</v>
      </c>
      <c r="CO36" s="27">
        <v>4.61464652E-2</v>
      </c>
      <c r="CP36" s="27">
        <v>4.2672599999999999E-4</v>
      </c>
      <c r="CQ36" s="27">
        <v>0.2726650518</v>
      </c>
      <c r="CR36" s="27">
        <v>2.7007015E-3</v>
      </c>
      <c r="CS36" s="27">
        <v>1.1007697433999999</v>
      </c>
      <c r="CT36" s="27">
        <v>1.14330596E-2</v>
      </c>
      <c r="CU36" s="27">
        <v>17.884008425000001</v>
      </c>
      <c r="CV36" s="27">
        <v>0.42967476970000001</v>
      </c>
      <c r="CW36" s="80" t="s">
        <v>136</v>
      </c>
      <c r="CX36" s="80">
        <v>0</v>
      </c>
      <c r="CY36" s="80" t="s">
        <v>136</v>
      </c>
      <c r="CZ36" s="80">
        <v>0</v>
      </c>
      <c r="DA36" s="27">
        <v>12.915833746000001</v>
      </c>
      <c r="DB36" s="27">
        <v>0.18080720880000001</v>
      </c>
      <c r="DC36" s="27">
        <v>43.774012386999999</v>
      </c>
      <c r="DD36" s="27">
        <v>1.9729804217</v>
      </c>
      <c r="DE36" s="27">
        <v>13.645612769</v>
      </c>
      <c r="DF36" s="27">
        <v>0.37552958759999999</v>
      </c>
      <c r="DG36" s="27">
        <v>100.4564153</v>
      </c>
      <c r="DH36" s="92">
        <v>0.98060740310000005</v>
      </c>
      <c r="DI36" s="95">
        <v>1.5163424999999999E-3</v>
      </c>
      <c r="DJ36" s="96">
        <v>2.5732186000000002E-3</v>
      </c>
      <c r="DK36" s="96">
        <v>2.8483572000000002E-3</v>
      </c>
      <c r="DL36" s="96">
        <v>2.8878090999999999E-3</v>
      </c>
      <c r="DM36" s="96">
        <v>2.9004384000000001E-3</v>
      </c>
      <c r="DN36" s="96">
        <v>2.9130676999999999E-3</v>
      </c>
      <c r="DO36" s="96">
        <v>2.9194704000000001E-3</v>
      </c>
      <c r="DP36" s="96">
        <v>2.9258731999999999E-3</v>
      </c>
      <c r="DQ36" s="96">
        <v>2.9322759000000001E-3</v>
      </c>
      <c r="DR36" s="97">
        <v>2.9386786999999999E-3</v>
      </c>
      <c r="DS36" s="93">
        <v>64.575367579000002</v>
      </c>
      <c r="DT36" s="80">
        <v>0.45358578059999999</v>
      </c>
      <c r="DU36" s="80">
        <v>29.629054669999999</v>
      </c>
      <c r="DV36" s="80">
        <v>0.21802498410000001</v>
      </c>
      <c r="DW36" s="80">
        <v>13.625622979999999</v>
      </c>
      <c r="DX36" s="80">
        <v>0.10471225739999999</v>
      </c>
      <c r="DY36" s="80">
        <v>6.2999681037000004</v>
      </c>
      <c r="DZ36" s="80">
        <v>5.1197276100000001E-2</v>
      </c>
      <c r="EA36" s="80">
        <v>2.9845265871</v>
      </c>
      <c r="EB36" s="80">
        <v>2.61590009E-2</v>
      </c>
      <c r="EC36" s="80">
        <v>1.4913125578999999</v>
      </c>
      <c r="ED36" s="80">
        <v>1.4392855499999999E-2</v>
      </c>
      <c r="EE36" s="80">
        <v>0.79855742760000004</v>
      </c>
      <c r="EF36" s="80">
        <v>8.7003520999999993E-3</v>
      </c>
      <c r="EG36" s="80">
        <v>0.45418908130000002</v>
      </c>
      <c r="EH36" s="80">
        <v>5.6768401999999999E-3</v>
      </c>
      <c r="EI36" s="80">
        <v>0.27460947190000001</v>
      </c>
      <c r="EJ36" s="80">
        <v>4.0070649999999998E-3</v>
      </c>
      <c r="EK36" s="80">
        <v>0.17950530009999999</v>
      </c>
      <c r="EL36" s="94">
        <v>3.0202565E-3</v>
      </c>
    </row>
    <row r="37" spans="1:142" x14ac:dyDescent="0.2">
      <c r="A37" s="79">
        <v>3200</v>
      </c>
      <c r="B37" s="27">
        <v>2069</v>
      </c>
      <c r="C37" s="79">
        <v>1581.0354267</v>
      </c>
      <c r="D37" s="27">
        <v>3150.7328518999998</v>
      </c>
      <c r="E37" s="27">
        <v>49.460017718000003</v>
      </c>
      <c r="F37" s="27">
        <v>5.3860899800000001E-2</v>
      </c>
      <c r="G37" s="79">
        <v>2.8520229694000001</v>
      </c>
      <c r="H37" s="27">
        <v>1.657111E-3</v>
      </c>
      <c r="I37" s="27">
        <v>140.16186447999999</v>
      </c>
      <c r="J37" s="27">
        <v>0.92245593280000004</v>
      </c>
      <c r="K37" s="27">
        <v>62.008225015999997</v>
      </c>
      <c r="L37" s="27">
        <v>0.3801325055</v>
      </c>
      <c r="M37" s="27">
        <v>16.350546959999999</v>
      </c>
      <c r="N37" s="27">
        <v>0.13896880549999999</v>
      </c>
      <c r="O37" s="80" t="s">
        <v>136</v>
      </c>
      <c r="P37" s="80">
        <v>0</v>
      </c>
      <c r="Q37" s="27">
        <v>14.880642822</v>
      </c>
      <c r="R37" s="27">
        <v>2.59997743E-2</v>
      </c>
      <c r="S37" s="80" t="s">
        <v>136</v>
      </c>
      <c r="T37" s="80">
        <v>0</v>
      </c>
      <c r="U37" s="80" t="s">
        <v>136</v>
      </c>
      <c r="V37" s="80">
        <v>0</v>
      </c>
      <c r="W37" s="27">
        <v>0.33680496910000002</v>
      </c>
      <c r="X37" s="27">
        <v>3.2980465E-3</v>
      </c>
      <c r="Y37" s="27">
        <v>19.551636189</v>
      </c>
      <c r="Z37" s="27">
        <v>0.4524060862</v>
      </c>
      <c r="AA37" s="80" t="s">
        <v>136</v>
      </c>
      <c r="AB37" s="80">
        <v>0</v>
      </c>
      <c r="AC37" s="27">
        <v>0</v>
      </c>
      <c r="AD37" s="27">
        <v>0</v>
      </c>
      <c r="AE37" s="80" t="s">
        <v>136</v>
      </c>
      <c r="AF37" s="80">
        <v>0</v>
      </c>
      <c r="AG37" s="80" t="s">
        <v>136</v>
      </c>
      <c r="AH37" s="80">
        <v>0</v>
      </c>
      <c r="AI37" s="27">
        <f t="shared" ref="AI37:AI68" si="4">AC37</f>
        <v>0</v>
      </c>
      <c r="AJ37" s="27">
        <f t="shared" ref="AJ37:AJ68" si="5">AD37</f>
        <v>0</v>
      </c>
      <c r="AK37" s="27">
        <v>99.133898900999995</v>
      </c>
      <c r="AL37" s="27">
        <v>1.4545669024000001</v>
      </c>
      <c r="AM37" s="80" t="s">
        <v>136</v>
      </c>
      <c r="AN37" s="80">
        <v>0</v>
      </c>
      <c r="AO37" s="80" t="s">
        <v>136</v>
      </c>
      <c r="AP37" s="80">
        <v>0</v>
      </c>
      <c r="AQ37" s="80" t="s">
        <v>136</v>
      </c>
      <c r="AR37" s="80">
        <v>0</v>
      </c>
      <c r="AS37" s="27">
        <v>57.792051012000002</v>
      </c>
      <c r="AT37" s="27">
        <v>2.1866506509999999</v>
      </c>
      <c r="AU37" s="27">
        <v>43.180543384000003</v>
      </c>
      <c r="AV37" s="27">
        <v>0.35068640270000001</v>
      </c>
      <c r="AW37" s="27">
        <v>21.231772139</v>
      </c>
      <c r="AX37" s="27">
        <v>0.2270266946</v>
      </c>
      <c r="AY37" s="27">
        <v>6.7320141949999996</v>
      </c>
      <c r="AZ37" s="27">
        <v>6.2236167100000003E-2</v>
      </c>
      <c r="BA37" s="80">
        <f t="shared" si="2"/>
        <v>15.216757050000005</v>
      </c>
      <c r="BB37" s="80">
        <f t="shared" si="3"/>
        <v>6.1423541000000026E-2</v>
      </c>
      <c r="BC37" s="27">
        <v>0</v>
      </c>
      <c r="BD37" s="80">
        <v>0</v>
      </c>
      <c r="BE37" s="27">
        <v>116.63214261</v>
      </c>
      <c r="BF37" s="27">
        <v>1.3770102525000001</v>
      </c>
      <c r="BG37" s="79">
        <v>3.2369421000000001E-3</v>
      </c>
      <c r="BH37" s="80">
        <v>0</v>
      </c>
      <c r="BI37" s="27">
        <v>109.44072941</v>
      </c>
      <c r="BJ37" s="27">
        <v>3.85034418</v>
      </c>
      <c r="BK37" s="27">
        <v>115.14108756</v>
      </c>
      <c r="BL37" s="27">
        <v>0.90388325329999997</v>
      </c>
      <c r="BM37" s="27">
        <v>29.495415957999999</v>
      </c>
      <c r="BN37" s="27">
        <v>0.1790028988</v>
      </c>
      <c r="BO37" s="27">
        <v>3.9174540600000002E-2</v>
      </c>
      <c r="BP37" s="27">
        <v>3.9526550000000001E-4</v>
      </c>
      <c r="BQ37" s="27">
        <v>0</v>
      </c>
      <c r="BR37" s="92">
        <v>0</v>
      </c>
      <c r="BS37" s="80" t="s">
        <v>136</v>
      </c>
      <c r="BT37" s="80">
        <v>0</v>
      </c>
      <c r="BU37" s="27">
        <v>0.27358829359999998</v>
      </c>
      <c r="BV37" s="27">
        <v>3.3767744000000001E-3</v>
      </c>
      <c r="BW37" s="27">
        <v>16.076958665999999</v>
      </c>
      <c r="BX37" s="27">
        <v>0.135592031</v>
      </c>
      <c r="BY37" s="80" t="s">
        <v>136</v>
      </c>
      <c r="BZ37" s="80">
        <v>0</v>
      </c>
      <c r="CA37" s="80" t="s">
        <v>136</v>
      </c>
      <c r="CB37" s="80">
        <v>0</v>
      </c>
      <c r="CC37" s="27">
        <v>5.4386126185999997</v>
      </c>
      <c r="CD37" s="27">
        <v>5.2779771000000001E-3</v>
      </c>
      <c r="CE37" s="27">
        <v>9.4420302030999999</v>
      </c>
      <c r="CF37" s="27">
        <v>2.0721797199999999E-2</v>
      </c>
      <c r="CG37" s="80" t="s">
        <v>136</v>
      </c>
      <c r="CH37" s="80">
        <v>0</v>
      </c>
      <c r="CI37" s="80" t="s">
        <v>136</v>
      </c>
      <c r="CJ37" s="80">
        <v>0</v>
      </c>
      <c r="CK37" s="80" t="s">
        <v>136</v>
      </c>
      <c r="CL37" s="80">
        <v>0</v>
      </c>
      <c r="CM37" s="80" t="s">
        <v>136</v>
      </c>
      <c r="CN37" s="80">
        <v>0</v>
      </c>
      <c r="CO37" s="27">
        <v>5.12113753E-2</v>
      </c>
      <c r="CP37" s="27">
        <v>4.78047E-4</v>
      </c>
      <c r="CQ37" s="27">
        <v>0.28559359369999998</v>
      </c>
      <c r="CR37" s="27">
        <v>2.8199993999999998E-3</v>
      </c>
      <c r="CS37" s="27">
        <v>1.1421973791</v>
      </c>
      <c r="CT37" s="27">
        <v>1.1685051700000001E-2</v>
      </c>
      <c r="CU37" s="27">
        <v>18.409438810000001</v>
      </c>
      <c r="CV37" s="27">
        <v>0.4407210345</v>
      </c>
      <c r="CW37" s="80" t="s">
        <v>136</v>
      </c>
      <c r="CX37" s="80">
        <v>0</v>
      </c>
      <c r="CY37" s="80" t="s">
        <v>136</v>
      </c>
      <c r="CZ37" s="80">
        <v>0</v>
      </c>
      <c r="DA37" s="27">
        <v>13.216932960999999</v>
      </c>
      <c r="DB37" s="27">
        <v>0.1843649752</v>
      </c>
      <c r="DC37" s="27">
        <v>44.575118050999997</v>
      </c>
      <c r="DD37" s="27">
        <v>2.0022856758000001</v>
      </c>
      <c r="DE37" s="27">
        <v>14.281477710000001</v>
      </c>
      <c r="DF37" s="27">
        <v>0.3841440398</v>
      </c>
      <c r="DG37" s="27">
        <v>102.3506649</v>
      </c>
      <c r="DH37" s="92">
        <v>0.99286621259999996</v>
      </c>
      <c r="DI37" s="95">
        <v>1.6388054E-3</v>
      </c>
      <c r="DJ37" s="96">
        <v>2.7983912E-3</v>
      </c>
      <c r="DK37" s="96">
        <v>3.0981341999999999E-3</v>
      </c>
      <c r="DL37" s="96">
        <v>3.1462814E-3</v>
      </c>
      <c r="DM37" s="96">
        <v>3.1588032E-3</v>
      </c>
      <c r="DN37" s="96">
        <v>3.1713249E-3</v>
      </c>
      <c r="DO37" s="96">
        <v>3.1776790000000001E-3</v>
      </c>
      <c r="DP37" s="96">
        <v>3.1840331999999998E-3</v>
      </c>
      <c r="DQ37" s="96">
        <v>3.1903872999999999E-3</v>
      </c>
      <c r="DR37" s="97">
        <v>3.1967414E-3</v>
      </c>
      <c r="DS37" s="93">
        <v>65.681537617000004</v>
      </c>
      <c r="DT37" s="80">
        <v>0.4606008318</v>
      </c>
      <c r="DU37" s="80">
        <v>30.329293292999999</v>
      </c>
      <c r="DV37" s="80">
        <v>0.22259406509999999</v>
      </c>
      <c r="DW37" s="80">
        <v>14.038054559000001</v>
      </c>
      <c r="DX37" s="80">
        <v>0.1074737471</v>
      </c>
      <c r="DY37" s="80">
        <v>6.5453097094999997</v>
      </c>
      <c r="DZ37" s="80">
        <v>5.2865356799999999E-2</v>
      </c>
      <c r="EA37" s="80">
        <v>3.1280321622999998</v>
      </c>
      <c r="EB37" s="80">
        <v>2.71457617E-2</v>
      </c>
      <c r="EC37" s="80">
        <v>1.5760786064000001</v>
      </c>
      <c r="ED37" s="80">
        <v>1.49904164E-2</v>
      </c>
      <c r="EE37" s="80">
        <v>0.8522654355</v>
      </c>
      <c r="EF37" s="80">
        <v>9.0788592000000008E-3</v>
      </c>
      <c r="EG37" s="80">
        <v>0.49174967510000001</v>
      </c>
      <c r="EH37" s="80">
        <v>5.9348906999999998E-3</v>
      </c>
      <c r="EI37" s="80">
        <v>0.29982720260000001</v>
      </c>
      <c r="EJ37" s="80">
        <v>4.1728770000000002E-3</v>
      </c>
      <c r="EK37" s="80">
        <v>0.19656165349999999</v>
      </c>
      <c r="EL37" s="94">
        <v>3.1249276000000002E-3</v>
      </c>
    </row>
    <row r="38" spans="1:142" x14ac:dyDescent="0.2">
      <c r="A38" s="79">
        <v>3300</v>
      </c>
      <c r="B38" s="27">
        <v>2023</v>
      </c>
      <c r="C38" s="79">
        <v>1611.9395606999999</v>
      </c>
      <c r="D38" s="27">
        <v>3249.9592287999999</v>
      </c>
      <c r="E38" s="27">
        <v>51.329391299999997</v>
      </c>
      <c r="F38" s="27">
        <v>5.5095490499999997E-2</v>
      </c>
      <c r="G38" s="79">
        <v>2.9977453610999998</v>
      </c>
      <c r="H38" s="27">
        <v>1.7325759E-3</v>
      </c>
      <c r="I38" s="27">
        <v>141.53490833000001</v>
      </c>
      <c r="J38" s="27">
        <v>0.93144869880000003</v>
      </c>
      <c r="K38" s="27">
        <v>63.185609724000003</v>
      </c>
      <c r="L38" s="27">
        <v>0.38778540239999998</v>
      </c>
      <c r="M38" s="27">
        <v>16.829571609999999</v>
      </c>
      <c r="N38" s="27">
        <v>0.1426315933</v>
      </c>
      <c r="O38" s="80" t="s">
        <v>136</v>
      </c>
      <c r="P38" s="80">
        <v>0</v>
      </c>
      <c r="Q38" s="27">
        <v>15.713944304</v>
      </c>
      <c r="R38" s="27">
        <v>2.7279436300000001E-2</v>
      </c>
      <c r="S38" s="80" t="s">
        <v>136</v>
      </c>
      <c r="T38" s="80">
        <v>0</v>
      </c>
      <c r="U38" s="80" t="s">
        <v>136</v>
      </c>
      <c r="V38" s="80">
        <v>0</v>
      </c>
      <c r="W38" s="27">
        <v>0.3565730332</v>
      </c>
      <c r="X38" s="27">
        <v>3.4421258000000001E-3</v>
      </c>
      <c r="Y38" s="27">
        <v>20.22031818</v>
      </c>
      <c r="Z38" s="27">
        <v>0.46670810060000001</v>
      </c>
      <c r="AA38" s="80" t="s">
        <v>136</v>
      </c>
      <c r="AB38" s="80">
        <v>0</v>
      </c>
      <c r="AC38" s="27">
        <v>0</v>
      </c>
      <c r="AD38" s="27">
        <v>0</v>
      </c>
      <c r="AE38" s="80" t="s">
        <v>136</v>
      </c>
      <c r="AF38" s="80">
        <v>0</v>
      </c>
      <c r="AG38" s="80" t="s">
        <v>136</v>
      </c>
      <c r="AH38" s="80">
        <v>0</v>
      </c>
      <c r="AI38" s="27">
        <f t="shared" si="4"/>
        <v>0</v>
      </c>
      <c r="AJ38" s="27">
        <f t="shared" si="5"/>
        <v>0</v>
      </c>
      <c r="AK38" s="27">
        <v>100.77192353</v>
      </c>
      <c r="AL38" s="27">
        <v>1.4695632238</v>
      </c>
      <c r="AM38" s="80" t="s">
        <v>136</v>
      </c>
      <c r="AN38" s="80">
        <v>0</v>
      </c>
      <c r="AO38" s="80" t="s">
        <v>136</v>
      </c>
      <c r="AP38" s="80">
        <v>0</v>
      </c>
      <c r="AQ38" s="80" t="s">
        <v>136</v>
      </c>
      <c r="AR38" s="80">
        <v>0</v>
      </c>
      <c r="AS38" s="27">
        <v>58.930424594000002</v>
      </c>
      <c r="AT38" s="27">
        <v>2.2185408187000002</v>
      </c>
      <c r="AU38" s="27">
        <v>44.283867182000002</v>
      </c>
      <c r="AV38" s="27">
        <v>0.35730306160000003</v>
      </c>
      <c r="AW38" s="27">
        <v>21.737704957999998</v>
      </c>
      <c r="AX38" s="27">
        <v>0.23126663859999999</v>
      </c>
      <c r="AY38" s="27">
        <v>6.8155340987999997</v>
      </c>
      <c r="AZ38" s="27">
        <v>6.3089914400000002E-2</v>
      </c>
      <c r="BA38" s="80">
        <f t="shared" ref="BA38:BA69" si="6">AU38-(AW38+AY38)</f>
        <v>15.730628125200003</v>
      </c>
      <c r="BB38" s="80">
        <f t="shared" ref="BB38:BB69" si="7">AV38-(AX38+AZ38)</f>
        <v>6.2946508600000062E-2</v>
      </c>
      <c r="BC38" s="27">
        <v>0</v>
      </c>
      <c r="BD38" s="80">
        <v>0</v>
      </c>
      <c r="BE38" s="27">
        <v>119.63233039000001</v>
      </c>
      <c r="BF38" s="27">
        <v>1.4007972799999999</v>
      </c>
      <c r="BG38" s="79">
        <v>3.3938764999999998E-3</v>
      </c>
      <c r="BH38" s="80">
        <v>0</v>
      </c>
      <c r="BI38" s="27">
        <v>111.44378079000001</v>
      </c>
      <c r="BJ38" s="27">
        <v>3.8981251496999998</v>
      </c>
      <c r="BK38" s="27">
        <v>119.52912037</v>
      </c>
      <c r="BL38" s="27">
        <v>0.93667984169999996</v>
      </c>
      <c r="BM38" s="27">
        <v>30.622910710999999</v>
      </c>
      <c r="BN38" s="27">
        <v>0.18440989320000001</v>
      </c>
      <c r="BO38" s="27">
        <v>3.8808692700000001E-2</v>
      </c>
      <c r="BP38" s="27">
        <v>3.9016220000000001E-4</v>
      </c>
      <c r="BQ38" s="27">
        <v>0</v>
      </c>
      <c r="BR38" s="92">
        <v>0</v>
      </c>
      <c r="BS38" s="80" t="s">
        <v>136</v>
      </c>
      <c r="BT38" s="80">
        <v>0</v>
      </c>
      <c r="BU38" s="27">
        <v>0.27768415699999999</v>
      </c>
      <c r="BV38" s="27">
        <v>3.4088960999999998E-3</v>
      </c>
      <c r="BW38" s="27">
        <v>16.551887452999999</v>
      </c>
      <c r="BX38" s="27">
        <v>0.13922269709999999</v>
      </c>
      <c r="BY38" s="80" t="s">
        <v>136</v>
      </c>
      <c r="BZ38" s="80">
        <v>0</v>
      </c>
      <c r="CA38" s="80" t="s">
        <v>136</v>
      </c>
      <c r="CB38" s="80">
        <v>0</v>
      </c>
      <c r="CC38" s="27">
        <v>5.9003046254999996</v>
      </c>
      <c r="CD38" s="27">
        <v>5.7219237000000001E-3</v>
      </c>
      <c r="CE38" s="27">
        <v>9.8136396785999995</v>
      </c>
      <c r="CF38" s="27">
        <v>2.1557512599999998E-2</v>
      </c>
      <c r="CG38" s="80" t="s">
        <v>136</v>
      </c>
      <c r="CH38" s="80">
        <v>0</v>
      </c>
      <c r="CI38" s="80" t="s">
        <v>136</v>
      </c>
      <c r="CJ38" s="80">
        <v>0</v>
      </c>
      <c r="CK38" s="80" t="s">
        <v>136</v>
      </c>
      <c r="CL38" s="80">
        <v>0</v>
      </c>
      <c r="CM38" s="80" t="s">
        <v>136</v>
      </c>
      <c r="CN38" s="80">
        <v>0</v>
      </c>
      <c r="CO38" s="27">
        <v>5.3165668999999999E-2</v>
      </c>
      <c r="CP38" s="27">
        <v>5.0197329999999995E-4</v>
      </c>
      <c r="CQ38" s="27">
        <v>0.30340736419999997</v>
      </c>
      <c r="CR38" s="27">
        <v>2.9401524999999999E-3</v>
      </c>
      <c r="CS38" s="27">
        <v>1.2350366954000001</v>
      </c>
      <c r="CT38" s="27">
        <v>1.2685323300000001E-2</v>
      </c>
      <c r="CU38" s="27">
        <v>18.985281484000001</v>
      </c>
      <c r="CV38" s="27">
        <v>0.45402277730000001</v>
      </c>
      <c r="CW38" s="80" t="s">
        <v>136</v>
      </c>
      <c r="CX38" s="80">
        <v>0</v>
      </c>
      <c r="CY38" s="80" t="s">
        <v>136</v>
      </c>
      <c r="CZ38" s="80">
        <v>0</v>
      </c>
      <c r="DA38" s="27">
        <v>13.523768325000001</v>
      </c>
      <c r="DB38" s="27">
        <v>0.1875582496</v>
      </c>
      <c r="DC38" s="27">
        <v>45.406656269000003</v>
      </c>
      <c r="DD38" s="27">
        <v>2.0309825690999999</v>
      </c>
      <c r="DE38" s="27">
        <v>14.971708541</v>
      </c>
      <c r="DF38" s="27">
        <v>0.39232126099999998</v>
      </c>
      <c r="DG38" s="27">
        <v>104.66062185</v>
      </c>
      <c r="DH38" s="92">
        <v>1.0084760189999999</v>
      </c>
      <c r="DI38" s="95">
        <v>1.7144421999999999E-3</v>
      </c>
      <c r="DJ38" s="96">
        <v>2.9416303999999999E-3</v>
      </c>
      <c r="DK38" s="96">
        <v>3.2533318000000002E-3</v>
      </c>
      <c r="DL38" s="96">
        <v>3.3039099000000001E-3</v>
      </c>
      <c r="DM38" s="96">
        <v>3.3163276999999998E-3</v>
      </c>
      <c r="DN38" s="96">
        <v>3.3287455999999999E-3</v>
      </c>
      <c r="DO38" s="96">
        <v>3.3350544000000002E-3</v>
      </c>
      <c r="DP38" s="96">
        <v>3.3413631E-3</v>
      </c>
      <c r="DQ38" s="96">
        <v>3.3476718999999999E-3</v>
      </c>
      <c r="DR38" s="97">
        <v>3.3539806000000001E-3</v>
      </c>
      <c r="DS38" s="93">
        <v>66.730318556</v>
      </c>
      <c r="DT38" s="80">
        <v>0.46761067160000003</v>
      </c>
      <c r="DU38" s="80">
        <v>31.045227212</v>
      </c>
      <c r="DV38" s="80">
        <v>0.22751267250000001</v>
      </c>
      <c r="DW38" s="80">
        <v>14.491734263</v>
      </c>
      <c r="DX38" s="80">
        <v>0.1106760945</v>
      </c>
      <c r="DY38" s="80">
        <v>6.8192151624999999</v>
      </c>
      <c r="DZ38" s="80">
        <v>5.4888086500000002E-2</v>
      </c>
      <c r="EA38" s="80">
        <v>3.2910234050999998</v>
      </c>
      <c r="EB38" s="80">
        <v>2.8431707000000001E-2</v>
      </c>
      <c r="EC38" s="80">
        <v>1.6741452495</v>
      </c>
      <c r="ED38" s="80">
        <v>1.5829535700000001E-2</v>
      </c>
      <c r="EE38" s="80">
        <v>0.91379460899999998</v>
      </c>
      <c r="EF38" s="80">
        <v>9.6521456999999998E-3</v>
      </c>
      <c r="EG38" s="80">
        <v>0.5306860336</v>
      </c>
      <c r="EH38" s="80">
        <v>6.3377156E-3</v>
      </c>
      <c r="EI38" s="80">
        <v>0.3261017477</v>
      </c>
      <c r="EJ38" s="80">
        <v>4.4707781000000004E-3</v>
      </c>
      <c r="EK38" s="80">
        <v>0.21580546619999999</v>
      </c>
      <c r="EL38" s="94">
        <v>3.3616488999999999E-3</v>
      </c>
    </row>
    <row r="39" spans="1:142" x14ac:dyDescent="0.2">
      <c r="A39" s="79">
        <v>3400</v>
      </c>
      <c r="B39" s="27">
        <v>1894</v>
      </c>
      <c r="C39" s="79">
        <v>1641.9663863999999</v>
      </c>
      <c r="D39" s="27">
        <v>3351.3813180000002</v>
      </c>
      <c r="E39" s="27">
        <v>52.872184171999997</v>
      </c>
      <c r="F39" s="27">
        <v>5.6078497200000001E-2</v>
      </c>
      <c r="G39" s="79">
        <v>3.1739910168000001</v>
      </c>
      <c r="H39" s="27">
        <v>1.8144696E-3</v>
      </c>
      <c r="I39" s="27">
        <v>142.84560565000001</v>
      </c>
      <c r="J39" s="27">
        <v>0.940354515</v>
      </c>
      <c r="K39" s="27">
        <v>64.322783444999999</v>
      </c>
      <c r="L39" s="27">
        <v>0.39476046329999998</v>
      </c>
      <c r="M39" s="27">
        <v>17.309280144999999</v>
      </c>
      <c r="N39" s="27">
        <v>0.14645695850000001</v>
      </c>
      <c r="O39" s="80" t="s">
        <v>136</v>
      </c>
      <c r="P39" s="80">
        <v>0</v>
      </c>
      <c r="Q39" s="27">
        <v>16.634580380999999</v>
      </c>
      <c r="R39" s="27">
        <v>2.84615844E-2</v>
      </c>
      <c r="S39" s="80" t="s">
        <v>136</v>
      </c>
      <c r="T39" s="80">
        <v>0</v>
      </c>
      <c r="U39" s="80" t="s">
        <v>136</v>
      </c>
      <c r="V39" s="80">
        <v>0</v>
      </c>
      <c r="W39" s="27">
        <v>0.3821496935</v>
      </c>
      <c r="X39" s="27">
        <v>3.706076E-3</v>
      </c>
      <c r="Y39" s="27">
        <v>20.928810089999999</v>
      </c>
      <c r="Z39" s="27">
        <v>0.48132548609999998</v>
      </c>
      <c r="AA39" s="80" t="s">
        <v>136</v>
      </c>
      <c r="AB39" s="80">
        <v>0</v>
      </c>
      <c r="AC39" s="27">
        <v>0</v>
      </c>
      <c r="AD39" s="27">
        <v>0</v>
      </c>
      <c r="AE39" s="80" t="s">
        <v>136</v>
      </c>
      <c r="AF39" s="80">
        <v>0</v>
      </c>
      <c r="AG39" s="80" t="s">
        <v>136</v>
      </c>
      <c r="AH39" s="80">
        <v>0</v>
      </c>
      <c r="AI39" s="27">
        <f t="shared" si="4"/>
        <v>0</v>
      </c>
      <c r="AJ39" s="27">
        <f t="shared" si="5"/>
        <v>0</v>
      </c>
      <c r="AK39" s="27">
        <v>102.48008729</v>
      </c>
      <c r="AL39" s="27">
        <v>1.4844852275</v>
      </c>
      <c r="AM39" s="80" t="s">
        <v>136</v>
      </c>
      <c r="AN39" s="80">
        <v>0</v>
      </c>
      <c r="AO39" s="80" t="s">
        <v>136</v>
      </c>
      <c r="AP39" s="80">
        <v>0</v>
      </c>
      <c r="AQ39" s="80" t="s">
        <v>136</v>
      </c>
      <c r="AR39" s="80">
        <v>0</v>
      </c>
      <c r="AS39" s="27">
        <v>60.096077463999997</v>
      </c>
      <c r="AT39" s="27">
        <v>2.2488398420000002</v>
      </c>
      <c r="AU39" s="27">
        <v>45.472221009000002</v>
      </c>
      <c r="AV39" s="27">
        <v>0.3645087957</v>
      </c>
      <c r="AW39" s="27">
        <v>22.258880516000001</v>
      </c>
      <c r="AX39" s="27">
        <v>0.23591503859999999</v>
      </c>
      <c r="AY39" s="27">
        <v>6.9532211058</v>
      </c>
      <c r="AZ39" s="27">
        <v>6.40136709E-2</v>
      </c>
      <c r="BA39" s="80">
        <f t="shared" si="6"/>
        <v>16.2601193872</v>
      </c>
      <c r="BB39" s="80">
        <f t="shared" si="7"/>
        <v>6.4580086199999998E-2</v>
      </c>
      <c r="BC39" s="27">
        <v>0</v>
      </c>
      <c r="BD39" s="80">
        <v>0</v>
      </c>
      <c r="BE39" s="27">
        <v>122.47096331</v>
      </c>
      <c r="BF39" s="27">
        <v>1.4236108110000001</v>
      </c>
      <c r="BG39" s="79">
        <v>3.5685007999999999E-3</v>
      </c>
      <c r="BH39" s="80">
        <v>0</v>
      </c>
      <c r="BI39" s="27">
        <v>113.09831973999999</v>
      </c>
      <c r="BJ39" s="27">
        <v>3.9378074376000001</v>
      </c>
      <c r="BK39" s="27">
        <v>123.85768456</v>
      </c>
      <c r="BL39" s="27">
        <v>0.96753367130000001</v>
      </c>
      <c r="BM39" s="27">
        <v>31.669132565999998</v>
      </c>
      <c r="BN39" s="27">
        <v>0.18922150260000001</v>
      </c>
      <c r="BO39" s="27">
        <v>4.3660319199999999E-2</v>
      </c>
      <c r="BP39" s="27">
        <v>4.0945119999999998E-4</v>
      </c>
      <c r="BQ39" s="27">
        <v>0</v>
      </c>
      <c r="BR39" s="92">
        <v>0</v>
      </c>
      <c r="BS39" s="80" t="s">
        <v>136</v>
      </c>
      <c r="BT39" s="80">
        <v>0</v>
      </c>
      <c r="BU39" s="27">
        <v>0.29391413259999999</v>
      </c>
      <c r="BV39" s="27">
        <v>3.6224611E-3</v>
      </c>
      <c r="BW39" s="27">
        <v>17.015366013000001</v>
      </c>
      <c r="BX39" s="27">
        <v>0.14283449740000001</v>
      </c>
      <c r="BY39" s="80" t="s">
        <v>136</v>
      </c>
      <c r="BZ39" s="80">
        <v>0</v>
      </c>
      <c r="CA39" s="80" t="s">
        <v>136</v>
      </c>
      <c r="CB39" s="80">
        <v>0</v>
      </c>
      <c r="CC39" s="27">
        <v>6.4135580559000003</v>
      </c>
      <c r="CD39" s="27">
        <v>6.0633212000000001E-3</v>
      </c>
      <c r="CE39" s="27">
        <v>10.221022325</v>
      </c>
      <c r="CF39" s="27">
        <v>2.2398263200000001E-2</v>
      </c>
      <c r="CG39" s="80" t="s">
        <v>136</v>
      </c>
      <c r="CH39" s="80">
        <v>0</v>
      </c>
      <c r="CI39" s="80" t="s">
        <v>136</v>
      </c>
      <c r="CJ39" s="80">
        <v>0</v>
      </c>
      <c r="CK39" s="80" t="s">
        <v>136</v>
      </c>
      <c r="CL39" s="80">
        <v>0</v>
      </c>
      <c r="CM39" s="80" t="s">
        <v>136</v>
      </c>
      <c r="CN39" s="80">
        <v>0</v>
      </c>
      <c r="CO39" s="27">
        <v>6.3281296799999998E-2</v>
      </c>
      <c r="CP39" s="27">
        <v>5.4340900000000001E-4</v>
      </c>
      <c r="CQ39" s="27">
        <v>0.3188683967</v>
      </c>
      <c r="CR39" s="27">
        <v>3.1626670000000001E-3</v>
      </c>
      <c r="CS39" s="27">
        <v>1.3549529955999999</v>
      </c>
      <c r="CT39" s="27">
        <v>1.3706410299999999E-2</v>
      </c>
      <c r="CU39" s="27">
        <v>19.573857094000001</v>
      </c>
      <c r="CV39" s="27">
        <v>0.46761907580000001</v>
      </c>
      <c r="CW39" s="80" t="s">
        <v>136</v>
      </c>
      <c r="CX39" s="80">
        <v>0</v>
      </c>
      <c r="CY39" s="80" t="s">
        <v>136</v>
      </c>
      <c r="CZ39" s="80">
        <v>0</v>
      </c>
      <c r="DA39" s="27">
        <v>13.872896363000001</v>
      </c>
      <c r="DB39" s="27">
        <v>0.19176429179999999</v>
      </c>
      <c r="DC39" s="27">
        <v>46.223181099999998</v>
      </c>
      <c r="DD39" s="27">
        <v>2.0570755502</v>
      </c>
      <c r="DE39" s="27">
        <v>15.678630847999999</v>
      </c>
      <c r="DF39" s="27">
        <v>0.40119628149999997</v>
      </c>
      <c r="DG39" s="27">
        <v>106.79233247000001</v>
      </c>
      <c r="DH39" s="92">
        <v>1.0224145295</v>
      </c>
      <c r="DI39" s="95">
        <v>1.7964907E-3</v>
      </c>
      <c r="DJ39" s="96">
        <v>3.1034029000000002E-3</v>
      </c>
      <c r="DK39" s="96">
        <v>3.4290360999999999E-3</v>
      </c>
      <c r="DL39" s="96">
        <v>3.4792153E-3</v>
      </c>
      <c r="DM39" s="96">
        <v>3.4915357999999999E-3</v>
      </c>
      <c r="DN39" s="96">
        <v>3.5038564000000002E-3</v>
      </c>
      <c r="DO39" s="96">
        <v>3.5101213999999999E-3</v>
      </c>
      <c r="DP39" s="96">
        <v>3.5163864E-3</v>
      </c>
      <c r="DQ39" s="96">
        <v>3.5226514E-3</v>
      </c>
      <c r="DR39" s="97">
        <v>3.5289164000000001E-3</v>
      </c>
      <c r="DS39" s="93">
        <v>67.728426565000007</v>
      </c>
      <c r="DT39" s="80">
        <v>0.47456083069999999</v>
      </c>
      <c r="DU39" s="80">
        <v>31.704637773000002</v>
      </c>
      <c r="DV39" s="80">
        <v>0.23227297329999999</v>
      </c>
      <c r="DW39" s="80">
        <v>14.888075094</v>
      </c>
      <c r="DX39" s="80">
        <v>0.1137011332</v>
      </c>
      <c r="DY39" s="80">
        <v>7.0741787846999999</v>
      </c>
      <c r="DZ39" s="80">
        <v>5.6927862599999997E-2</v>
      </c>
      <c r="EA39" s="80">
        <v>3.4526883550999998</v>
      </c>
      <c r="EB39" s="80">
        <v>2.9810068200000001E-2</v>
      </c>
      <c r="EC39" s="80">
        <v>1.7788201466</v>
      </c>
      <c r="ED39" s="80">
        <v>1.68052372E-2</v>
      </c>
      <c r="EE39" s="80">
        <v>0.98153025329999999</v>
      </c>
      <c r="EF39" s="80">
        <v>1.03540813E-2</v>
      </c>
      <c r="EG39" s="80">
        <v>0.5735391661</v>
      </c>
      <c r="EH39" s="80">
        <v>6.8473312999999996E-3</v>
      </c>
      <c r="EI39" s="80">
        <v>0.3539642106</v>
      </c>
      <c r="EJ39" s="80">
        <v>4.8556136000000001E-3</v>
      </c>
      <c r="EK39" s="80">
        <v>0.2338593102</v>
      </c>
      <c r="EL39" s="94">
        <v>3.6603921000000002E-3</v>
      </c>
    </row>
    <row r="40" spans="1:142" x14ac:dyDescent="0.2">
      <c r="A40" s="79">
        <v>3500</v>
      </c>
      <c r="B40" s="27">
        <v>1765</v>
      </c>
      <c r="C40" s="79">
        <v>1671.5473818</v>
      </c>
      <c r="D40" s="27">
        <v>3450.8216425999999</v>
      </c>
      <c r="E40" s="27">
        <v>54.535558463000001</v>
      </c>
      <c r="F40" s="27">
        <v>5.7131013600000002E-2</v>
      </c>
      <c r="G40" s="79">
        <v>3.3767222214000001</v>
      </c>
      <c r="H40" s="27">
        <v>1.9068471E-3</v>
      </c>
      <c r="I40" s="27">
        <v>143.97316848</v>
      </c>
      <c r="J40" s="27">
        <v>0.94807911639999998</v>
      </c>
      <c r="K40" s="27">
        <v>65.333256040999999</v>
      </c>
      <c r="L40" s="27">
        <v>0.40106852370000001</v>
      </c>
      <c r="M40" s="27">
        <v>17.765455692</v>
      </c>
      <c r="N40" s="27">
        <v>0.14996117959999999</v>
      </c>
      <c r="O40" s="80" t="s">
        <v>136</v>
      </c>
      <c r="P40" s="80">
        <v>0</v>
      </c>
      <c r="Q40" s="27">
        <v>17.512736988</v>
      </c>
      <c r="R40" s="27">
        <v>2.9633577099999999E-2</v>
      </c>
      <c r="S40" s="80" t="s">
        <v>136</v>
      </c>
      <c r="T40" s="80">
        <v>0</v>
      </c>
      <c r="U40" s="80" t="s">
        <v>136</v>
      </c>
      <c r="V40" s="80">
        <v>0</v>
      </c>
      <c r="W40" s="27">
        <v>0.40084166059999998</v>
      </c>
      <c r="X40" s="27">
        <v>3.9188603999999998E-3</v>
      </c>
      <c r="Y40" s="27">
        <v>21.657292763000001</v>
      </c>
      <c r="Z40" s="27">
        <v>0.49677638429999998</v>
      </c>
      <c r="AA40" s="80" t="s">
        <v>136</v>
      </c>
      <c r="AB40" s="80">
        <v>0</v>
      </c>
      <c r="AC40" s="27">
        <v>0</v>
      </c>
      <c r="AD40" s="27">
        <v>0</v>
      </c>
      <c r="AE40" s="80" t="s">
        <v>136</v>
      </c>
      <c r="AF40" s="80">
        <v>0</v>
      </c>
      <c r="AG40" s="80" t="s">
        <v>136</v>
      </c>
      <c r="AH40" s="80">
        <v>0</v>
      </c>
      <c r="AI40" s="27">
        <f t="shared" si="4"/>
        <v>0</v>
      </c>
      <c r="AJ40" s="27">
        <f t="shared" si="5"/>
        <v>0</v>
      </c>
      <c r="AK40" s="27">
        <v>104.16301194</v>
      </c>
      <c r="AL40" s="27">
        <v>1.4984853493000001</v>
      </c>
      <c r="AM40" s="80" t="s">
        <v>136</v>
      </c>
      <c r="AN40" s="80">
        <v>0</v>
      </c>
      <c r="AO40" s="80" t="s">
        <v>136</v>
      </c>
      <c r="AP40" s="80">
        <v>0</v>
      </c>
      <c r="AQ40" s="80" t="s">
        <v>136</v>
      </c>
      <c r="AR40" s="80">
        <v>0</v>
      </c>
      <c r="AS40" s="27">
        <v>61.037289942999998</v>
      </c>
      <c r="AT40" s="27">
        <v>2.2743246532999999</v>
      </c>
      <c r="AU40" s="27">
        <v>46.594534863</v>
      </c>
      <c r="AV40" s="27">
        <v>0.37087084879999999</v>
      </c>
      <c r="AW40" s="27">
        <v>22.769990128</v>
      </c>
      <c r="AX40" s="27">
        <v>0.24005417570000001</v>
      </c>
      <c r="AY40" s="27">
        <v>7.0501384591000003</v>
      </c>
      <c r="AZ40" s="27">
        <v>6.47393889E-2</v>
      </c>
      <c r="BA40" s="80">
        <f t="shared" si="6"/>
        <v>16.774406275899999</v>
      </c>
      <c r="BB40" s="80">
        <f t="shared" si="7"/>
        <v>6.6077284199999975E-2</v>
      </c>
      <c r="BC40" s="27">
        <v>0</v>
      </c>
      <c r="BD40" s="80">
        <v>0</v>
      </c>
      <c r="BE40" s="27">
        <v>124.96326422</v>
      </c>
      <c r="BF40" s="27">
        <v>1.4424200316</v>
      </c>
      <c r="BG40" s="79">
        <v>3.7476269999999999E-3</v>
      </c>
      <c r="BH40" s="80">
        <v>0</v>
      </c>
      <c r="BI40" s="27">
        <v>114.79673267</v>
      </c>
      <c r="BJ40" s="27">
        <v>3.9724521635999999</v>
      </c>
      <c r="BK40" s="27">
        <v>128.2048604</v>
      </c>
      <c r="BL40" s="27">
        <v>0.99852754079999995</v>
      </c>
      <c r="BM40" s="27">
        <v>32.687424313999998</v>
      </c>
      <c r="BN40" s="27">
        <v>0.19396512029999999</v>
      </c>
      <c r="BO40" s="27">
        <v>4.3721676100000002E-2</v>
      </c>
      <c r="BP40" s="27">
        <v>4.1171339999999999E-4</v>
      </c>
      <c r="BQ40" s="27">
        <v>0</v>
      </c>
      <c r="BR40" s="92">
        <v>0</v>
      </c>
      <c r="BS40" s="80" t="s">
        <v>136</v>
      </c>
      <c r="BT40" s="80">
        <v>0</v>
      </c>
      <c r="BU40" s="27">
        <v>0.30115755750000001</v>
      </c>
      <c r="BV40" s="27">
        <v>3.7101425999999998E-3</v>
      </c>
      <c r="BW40" s="27">
        <v>17.464298134</v>
      </c>
      <c r="BX40" s="27">
        <v>0.146251037</v>
      </c>
      <c r="BY40" s="80" t="s">
        <v>136</v>
      </c>
      <c r="BZ40" s="80">
        <v>0</v>
      </c>
      <c r="CA40" s="80" t="s">
        <v>136</v>
      </c>
      <c r="CB40" s="80">
        <v>0</v>
      </c>
      <c r="CC40" s="27">
        <v>6.8714025983000004</v>
      </c>
      <c r="CD40" s="27">
        <v>6.3922950999999997E-3</v>
      </c>
      <c r="CE40" s="27">
        <v>10.641334390000001</v>
      </c>
      <c r="CF40" s="27">
        <v>2.3241281999999999E-2</v>
      </c>
      <c r="CG40" s="80" t="s">
        <v>136</v>
      </c>
      <c r="CH40" s="80">
        <v>0</v>
      </c>
      <c r="CI40" s="80" t="s">
        <v>136</v>
      </c>
      <c r="CJ40" s="80">
        <v>0</v>
      </c>
      <c r="CK40" s="80" t="s">
        <v>136</v>
      </c>
      <c r="CL40" s="80">
        <v>0</v>
      </c>
      <c r="CM40" s="80" t="s">
        <v>136</v>
      </c>
      <c r="CN40" s="80">
        <v>0</v>
      </c>
      <c r="CO40" s="27">
        <v>6.4225234500000006E-2</v>
      </c>
      <c r="CP40" s="27">
        <v>5.4921340000000003E-4</v>
      </c>
      <c r="CQ40" s="27">
        <v>0.33661642609999998</v>
      </c>
      <c r="CR40" s="27">
        <v>3.3696468999999999E-3</v>
      </c>
      <c r="CS40" s="27">
        <v>1.4160799662000001</v>
      </c>
      <c r="CT40" s="27">
        <v>1.4062357399999999E-2</v>
      </c>
      <c r="CU40" s="27">
        <v>20.241212796999999</v>
      </c>
      <c r="CV40" s="27">
        <v>0.48271402679999997</v>
      </c>
      <c r="CW40" s="80" t="s">
        <v>136</v>
      </c>
      <c r="CX40" s="80">
        <v>0</v>
      </c>
      <c r="CY40" s="80" t="s">
        <v>136</v>
      </c>
      <c r="CZ40" s="80">
        <v>0</v>
      </c>
      <c r="DA40" s="27">
        <v>14.134008983999999</v>
      </c>
      <c r="DB40" s="27">
        <v>0.19501656789999999</v>
      </c>
      <c r="DC40" s="27">
        <v>46.903280959</v>
      </c>
      <c r="DD40" s="27">
        <v>2.0793080854000001</v>
      </c>
      <c r="DE40" s="27">
        <v>16.417889266</v>
      </c>
      <c r="DF40" s="27">
        <v>0.4091146913</v>
      </c>
      <c r="DG40" s="27">
        <v>108.54537496</v>
      </c>
      <c r="DH40" s="92">
        <v>1.0333053404000001</v>
      </c>
      <c r="DI40" s="95">
        <v>1.8890106E-3</v>
      </c>
      <c r="DJ40" s="96">
        <v>3.2652584000000002E-3</v>
      </c>
      <c r="DK40" s="96">
        <v>3.6063197E-3</v>
      </c>
      <c r="DL40" s="96">
        <v>3.6589487000000002E-3</v>
      </c>
      <c r="DM40" s="96">
        <v>3.6711816000000001E-3</v>
      </c>
      <c r="DN40" s="96">
        <v>3.6834145E-3</v>
      </c>
      <c r="DO40" s="96">
        <v>3.6896406999999999E-3</v>
      </c>
      <c r="DP40" s="96">
        <v>3.6958669000000002E-3</v>
      </c>
      <c r="DQ40" s="96">
        <v>3.7020932000000001E-3</v>
      </c>
      <c r="DR40" s="97">
        <v>3.7083194E-3</v>
      </c>
      <c r="DS40" s="93">
        <v>68.525661463999995</v>
      </c>
      <c r="DT40" s="80">
        <v>0.48034208309999998</v>
      </c>
      <c r="DU40" s="80">
        <v>32.213417219</v>
      </c>
      <c r="DV40" s="80">
        <v>0.2361992617</v>
      </c>
      <c r="DW40" s="80">
        <v>15.203748561999999</v>
      </c>
      <c r="DX40" s="80">
        <v>0.1163590696</v>
      </c>
      <c r="DY40" s="80">
        <v>7.2759900829999999</v>
      </c>
      <c r="DZ40" s="80">
        <v>5.8796576000000003E-2</v>
      </c>
      <c r="EA40" s="80">
        <v>3.5762913238</v>
      </c>
      <c r="EB40" s="80">
        <v>3.1139131899999999E-2</v>
      </c>
      <c r="EC40" s="80">
        <v>1.8533416507</v>
      </c>
      <c r="ED40" s="80">
        <v>1.7792142399999999E-2</v>
      </c>
      <c r="EE40" s="80">
        <v>1.0322877082999999</v>
      </c>
      <c r="EF40" s="80">
        <v>1.11599608E-2</v>
      </c>
      <c r="EG40" s="80">
        <v>0.61224702630000005</v>
      </c>
      <c r="EH40" s="80">
        <v>7.5530361000000004E-3</v>
      </c>
      <c r="EI40" s="80">
        <v>0.38457884669999998</v>
      </c>
      <c r="EJ40" s="80">
        <v>5.4863452999999998E-3</v>
      </c>
      <c r="EK40" s="80">
        <v>0.25895743729999998</v>
      </c>
      <c r="EL40" s="94">
        <v>4.2384639000000003E-3</v>
      </c>
    </row>
    <row r="41" spans="1:142" x14ac:dyDescent="0.2">
      <c r="A41" s="79">
        <v>3600</v>
      </c>
      <c r="B41" s="27">
        <v>1716</v>
      </c>
      <c r="C41" s="79">
        <v>1700.7090169000001</v>
      </c>
      <c r="D41" s="27">
        <v>3549.7987773999998</v>
      </c>
      <c r="E41" s="27">
        <v>56.320940907999997</v>
      </c>
      <c r="F41" s="27">
        <v>5.8251375699999997E-2</v>
      </c>
      <c r="G41" s="79">
        <v>3.5979062684000001</v>
      </c>
      <c r="H41" s="27">
        <v>1.9993277000000002E-3</v>
      </c>
      <c r="I41" s="27">
        <v>145.14790099000001</v>
      </c>
      <c r="J41" s="27">
        <v>0.95617387720000002</v>
      </c>
      <c r="K41" s="27">
        <v>66.274978722</v>
      </c>
      <c r="L41" s="27">
        <v>0.40726842520000001</v>
      </c>
      <c r="M41" s="27">
        <v>18.184708092000001</v>
      </c>
      <c r="N41" s="27">
        <v>0.1533360208</v>
      </c>
      <c r="O41" s="80" t="s">
        <v>136</v>
      </c>
      <c r="P41" s="80">
        <v>0</v>
      </c>
      <c r="Q41" s="27">
        <v>18.438416816</v>
      </c>
      <c r="R41" s="27">
        <v>3.0915839899999999E-2</v>
      </c>
      <c r="S41" s="80" t="s">
        <v>136</v>
      </c>
      <c r="T41" s="80">
        <v>0</v>
      </c>
      <c r="U41" s="80" t="s">
        <v>136</v>
      </c>
      <c r="V41" s="80">
        <v>0</v>
      </c>
      <c r="W41" s="27">
        <v>0.4378302442</v>
      </c>
      <c r="X41" s="27">
        <v>4.4653543E-3</v>
      </c>
      <c r="Y41" s="27">
        <v>22.368425483999999</v>
      </c>
      <c r="Z41" s="27">
        <v>0.51060664909999998</v>
      </c>
      <c r="AA41" s="80" t="s">
        <v>136</v>
      </c>
      <c r="AB41" s="80">
        <v>0</v>
      </c>
      <c r="AC41" s="27">
        <v>0</v>
      </c>
      <c r="AD41" s="27">
        <v>0</v>
      </c>
      <c r="AE41" s="80" t="s">
        <v>136</v>
      </c>
      <c r="AF41" s="80">
        <v>0</v>
      </c>
      <c r="AG41" s="80" t="s">
        <v>136</v>
      </c>
      <c r="AH41" s="80">
        <v>0</v>
      </c>
      <c r="AI41" s="27">
        <f t="shared" si="4"/>
        <v>0</v>
      </c>
      <c r="AJ41" s="27">
        <f t="shared" si="5"/>
        <v>0</v>
      </c>
      <c r="AK41" s="27">
        <v>105.79906422000001</v>
      </c>
      <c r="AL41" s="27">
        <v>1.5133201140000001</v>
      </c>
      <c r="AM41" s="80" t="s">
        <v>136</v>
      </c>
      <c r="AN41" s="80">
        <v>0</v>
      </c>
      <c r="AO41" s="80" t="s">
        <v>136</v>
      </c>
      <c r="AP41" s="80">
        <v>0</v>
      </c>
      <c r="AQ41" s="80" t="s">
        <v>136</v>
      </c>
      <c r="AR41" s="80">
        <v>0</v>
      </c>
      <c r="AS41" s="27">
        <v>62.110735626</v>
      </c>
      <c r="AT41" s="27">
        <v>2.3010458886</v>
      </c>
      <c r="AU41" s="27">
        <v>47.533116931999999</v>
      </c>
      <c r="AV41" s="27">
        <v>0.37662223700000003</v>
      </c>
      <c r="AW41" s="27">
        <v>23.194218805999999</v>
      </c>
      <c r="AX41" s="27">
        <v>0.2437991551</v>
      </c>
      <c r="AY41" s="27">
        <v>7.1491469166000003</v>
      </c>
      <c r="AZ41" s="27">
        <v>6.5476123400000003E-2</v>
      </c>
      <c r="BA41" s="80">
        <f t="shared" si="6"/>
        <v>17.189751209400001</v>
      </c>
      <c r="BB41" s="80">
        <f t="shared" si="7"/>
        <v>6.7346958499999998E-2</v>
      </c>
      <c r="BC41" s="27">
        <v>0</v>
      </c>
      <c r="BD41" s="80">
        <v>0</v>
      </c>
      <c r="BE41" s="27">
        <v>127.66648474</v>
      </c>
      <c r="BF41" s="27">
        <v>1.4626433446</v>
      </c>
      <c r="BG41" s="79">
        <v>3.9218915E-3</v>
      </c>
      <c r="BH41" s="80">
        <v>0</v>
      </c>
      <c r="BI41" s="27">
        <v>116.13558349</v>
      </c>
      <c r="BJ41" s="27">
        <v>4.005260346</v>
      </c>
      <c r="BK41" s="27">
        <v>132.53066387999999</v>
      </c>
      <c r="BL41" s="27">
        <v>1.0308270230000001</v>
      </c>
      <c r="BM41" s="27">
        <v>33.547353295999997</v>
      </c>
      <c r="BN41" s="27">
        <v>0.1978068996</v>
      </c>
      <c r="BO41" s="27">
        <v>5.0785081400000001E-2</v>
      </c>
      <c r="BP41" s="27">
        <v>4.1268259999999998E-4</v>
      </c>
      <c r="BQ41" s="27">
        <v>0</v>
      </c>
      <c r="BR41" s="92">
        <v>0</v>
      </c>
      <c r="BS41" s="80" t="s">
        <v>136</v>
      </c>
      <c r="BT41" s="80">
        <v>0</v>
      </c>
      <c r="BU41" s="27">
        <v>0.30297004449999998</v>
      </c>
      <c r="BV41" s="27">
        <v>3.7147564000000002E-3</v>
      </c>
      <c r="BW41" s="27">
        <v>17.881738046999999</v>
      </c>
      <c r="BX41" s="27">
        <v>0.14962126440000001</v>
      </c>
      <c r="BY41" s="80" t="s">
        <v>136</v>
      </c>
      <c r="BZ41" s="80">
        <v>0</v>
      </c>
      <c r="CA41" s="80" t="s">
        <v>136</v>
      </c>
      <c r="CB41" s="80">
        <v>0</v>
      </c>
      <c r="CC41" s="27">
        <v>7.3353300725999997</v>
      </c>
      <c r="CD41" s="27">
        <v>6.7374217000000002E-3</v>
      </c>
      <c r="CE41" s="27">
        <v>11.103086744000001</v>
      </c>
      <c r="CF41" s="27">
        <v>2.4178418300000001E-2</v>
      </c>
      <c r="CG41" s="80" t="s">
        <v>136</v>
      </c>
      <c r="CH41" s="80">
        <v>0</v>
      </c>
      <c r="CI41" s="80" t="s">
        <v>136</v>
      </c>
      <c r="CJ41" s="80">
        <v>0</v>
      </c>
      <c r="CK41" s="80" t="s">
        <v>136</v>
      </c>
      <c r="CL41" s="80">
        <v>0</v>
      </c>
      <c r="CM41" s="80" t="s">
        <v>136</v>
      </c>
      <c r="CN41" s="80">
        <v>0</v>
      </c>
      <c r="CO41" s="27">
        <v>8.0815008100000002E-2</v>
      </c>
      <c r="CP41" s="27">
        <v>8.6230219999999997E-4</v>
      </c>
      <c r="CQ41" s="27">
        <v>0.35701523610000002</v>
      </c>
      <c r="CR41" s="27">
        <v>3.6030520999999999E-3</v>
      </c>
      <c r="CS41" s="27">
        <v>1.5151581504</v>
      </c>
      <c r="CT41" s="27">
        <v>1.5174625000000001E-2</v>
      </c>
      <c r="CU41" s="27">
        <v>20.853267333000002</v>
      </c>
      <c r="CV41" s="27">
        <v>0.49543202409999998</v>
      </c>
      <c r="CW41" s="80" t="s">
        <v>136</v>
      </c>
      <c r="CX41" s="80">
        <v>0</v>
      </c>
      <c r="CY41" s="80" t="s">
        <v>136</v>
      </c>
      <c r="CZ41" s="80">
        <v>0</v>
      </c>
      <c r="DA41" s="27">
        <v>14.508925147999999</v>
      </c>
      <c r="DB41" s="27">
        <v>0.19936522009999999</v>
      </c>
      <c r="DC41" s="27">
        <v>47.601810477999997</v>
      </c>
      <c r="DD41" s="27">
        <v>2.1016806683999998</v>
      </c>
      <c r="DE41" s="27">
        <v>17.130127380000001</v>
      </c>
      <c r="DF41" s="27">
        <v>0.41744977890000001</v>
      </c>
      <c r="DG41" s="27">
        <v>110.53635736</v>
      </c>
      <c r="DH41" s="92">
        <v>1.0451935657</v>
      </c>
      <c r="DI41" s="95">
        <v>1.9816242E-3</v>
      </c>
      <c r="DJ41" s="96">
        <v>3.4228154999999998E-3</v>
      </c>
      <c r="DK41" s="96">
        <v>3.7815662000000002E-3</v>
      </c>
      <c r="DL41" s="96">
        <v>3.8338156000000002E-3</v>
      </c>
      <c r="DM41" s="96">
        <v>3.8459645000000001E-3</v>
      </c>
      <c r="DN41" s="96">
        <v>3.8581135E-3</v>
      </c>
      <c r="DO41" s="96">
        <v>3.8643009000000001E-3</v>
      </c>
      <c r="DP41" s="96">
        <v>3.8704883000000002E-3</v>
      </c>
      <c r="DQ41" s="96">
        <v>3.8766756999999998E-3</v>
      </c>
      <c r="DR41" s="97">
        <v>3.8828630999999999E-3</v>
      </c>
      <c r="DS41" s="93">
        <v>69.415100550999995</v>
      </c>
      <c r="DT41" s="80">
        <v>0.48667447429999999</v>
      </c>
      <c r="DU41" s="80">
        <v>32.813313242</v>
      </c>
      <c r="DV41" s="80">
        <v>0.24067915649999999</v>
      </c>
      <c r="DW41" s="80">
        <v>15.582629043000001</v>
      </c>
      <c r="DX41" s="80">
        <v>0.1193714864</v>
      </c>
      <c r="DY41" s="80">
        <v>7.5072022575000004</v>
      </c>
      <c r="DZ41" s="80">
        <v>6.0743690900000001E-2</v>
      </c>
      <c r="EA41" s="80">
        <v>3.7185366402</v>
      </c>
      <c r="EB41" s="80">
        <v>3.2433285499999999E-2</v>
      </c>
      <c r="EC41" s="80">
        <v>1.9475256885000001</v>
      </c>
      <c r="ED41" s="80">
        <v>1.8716106600000001E-2</v>
      </c>
      <c r="EE41" s="80">
        <v>1.0952824210000001</v>
      </c>
      <c r="EF41" s="80">
        <v>1.18321581E-2</v>
      </c>
      <c r="EG41" s="80">
        <v>0.65591399179999998</v>
      </c>
      <c r="EH41" s="80">
        <v>8.0602617999999994E-3</v>
      </c>
      <c r="EI41" s="80">
        <v>0.41498224109999998</v>
      </c>
      <c r="EJ41" s="80">
        <v>5.8722007E-3</v>
      </c>
      <c r="EK41" s="80">
        <v>0.27988365630000001</v>
      </c>
      <c r="EL41" s="94">
        <v>4.5375336999999996E-3</v>
      </c>
    </row>
    <row r="42" spans="1:142" x14ac:dyDescent="0.2">
      <c r="A42" s="79">
        <v>3700</v>
      </c>
      <c r="B42" s="27">
        <v>1756</v>
      </c>
      <c r="C42" s="79">
        <v>1729.3884379000001</v>
      </c>
      <c r="D42" s="27">
        <v>3649.8917603999998</v>
      </c>
      <c r="E42" s="27">
        <v>58.151402124999997</v>
      </c>
      <c r="F42" s="27">
        <v>5.9296285300000001E-2</v>
      </c>
      <c r="G42" s="79">
        <v>3.8402838432999999</v>
      </c>
      <c r="H42" s="27">
        <v>2.1040786999999999E-3</v>
      </c>
      <c r="I42" s="27">
        <v>146.40113919000001</v>
      </c>
      <c r="J42" s="27">
        <v>0.96437676370000003</v>
      </c>
      <c r="K42" s="27">
        <v>67.239549491000005</v>
      </c>
      <c r="L42" s="27">
        <v>0.41349745380000003</v>
      </c>
      <c r="M42" s="27">
        <v>18.626346059999999</v>
      </c>
      <c r="N42" s="27">
        <v>0.15687483999999999</v>
      </c>
      <c r="O42" s="80" t="s">
        <v>136</v>
      </c>
      <c r="P42" s="80">
        <v>0</v>
      </c>
      <c r="Q42" s="27">
        <v>19.493565336</v>
      </c>
      <c r="R42" s="27">
        <v>3.23162819E-2</v>
      </c>
      <c r="S42" s="80" t="s">
        <v>136</v>
      </c>
      <c r="T42" s="80">
        <v>0</v>
      </c>
      <c r="U42" s="80" t="s">
        <v>136</v>
      </c>
      <c r="V42" s="80">
        <v>0</v>
      </c>
      <c r="W42" s="27">
        <v>0.46364552669999998</v>
      </c>
      <c r="X42" s="27">
        <v>4.7355701999999998E-3</v>
      </c>
      <c r="Y42" s="27">
        <v>23.038642271000001</v>
      </c>
      <c r="Z42" s="27">
        <v>0.5254993993</v>
      </c>
      <c r="AA42" s="80" t="s">
        <v>136</v>
      </c>
      <c r="AB42" s="80">
        <v>0</v>
      </c>
      <c r="AC42" s="27">
        <v>0</v>
      </c>
      <c r="AD42" s="27">
        <v>0</v>
      </c>
      <c r="AE42" s="80" t="s">
        <v>136</v>
      </c>
      <c r="AF42" s="80">
        <v>0</v>
      </c>
      <c r="AG42" s="80" t="s">
        <v>136</v>
      </c>
      <c r="AH42" s="80">
        <v>0</v>
      </c>
      <c r="AI42" s="27">
        <f t="shared" si="4"/>
        <v>0</v>
      </c>
      <c r="AJ42" s="27">
        <f t="shared" si="5"/>
        <v>0</v>
      </c>
      <c r="AK42" s="27">
        <v>107.41829427</v>
      </c>
      <c r="AL42" s="27">
        <v>1.5267759842999999</v>
      </c>
      <c r="AM42" s="80" t="s">
        <v>136</v>
      </c>
      <c r="AN42" s="80">
        <v>0</v>
      </c>
      <c r="AO42" s="80" t="s">
        <v>136</v>
      </c>
      <c r="AP42" s="80">
        <v>0</v>
      </c>
      <c r="AQ42" s="80" t="s">
        <v>136</v>
      </c>
      <c r="AR42" s="80">
        <v>0</v>
      </c>
      <c r="AS42" s="27">
        <v>63.268916418000003</v>
      </c>
      <c r="AT42" s="27">
        <v>2.3277814433000001</v>
      </c>
      <c r="AU42" s="27">
        <v>48.654766739000003</v>
      </c>
      <c r="AV42" s="27">
        <v>0.38303244110000001</v>
      </c>
      <c r="AW42" s="27">
        <v>23.728227410999999</v>
      </c>
      <c r="AX42" s="27">
        <v>0.2480885394</v>
      </c>
      <c r="AY42" s="27">
        <v>7.2614019247000003</v>
      </c>
      <c r="AZ42" s="27">
        <v>6.6241633699999997E-2</v>
      </c>
      <c r="BA42" s="80">
        <f t="shared" si="6"/>
        <v>17.665137403300005</v>
      </c>
      <c r="BB42" s="80">
        <f t="shared" si="7"/>
        <v>6.8702268000000011E-2</v>
      </c>
      <c r="BC42" s="27">
        <v>0</v>
      </c>
      <c r="BD42" s="80">
        <v>0</v>
      </c>
      <c r="BE42" s="27">
        <v>130.72826849</v>
      </c>
      <c r="BF42" s="27">
        <v>1.4841148865</v>
      </c>
      <c r="BG42" s="79">
        <v>4.1239084000000001E-3</v>
      </c>
      <c r="BH42" s="80">
        <v>0</v>
      </c>
      <c r="BI42" s="27">
        <v>117.59367392</v>
      </c>
      <c r="BJ42" s="27">
        <v>4.0396756368000002</v>
      </c>
      <c r="BK42" s="27">
        <v>137.0483859</v>
      </c>
      <c r="BL42" s="27">
        <v>1.0649301654000001</v>
      </c>
      <c r="BM42" s="27">
        <v>34.432799146000001</v>
      </c>
      <c r="BN42" s="27">
        <v>0.20179207539999999</v>
      </c>
      <c r="BO42" s="27">
        <v>5.0392086500000002E-2</v>
      </c>
      <c r="BP42" s="27">
        <v>4.081887E-4</v>
      </c>
      <c r="BQ42" s="27">
        <v>0</v>
      </c>
      <c r="BR42" s="92">
        <v>0</v>
      </c>
      <c r="BS42" s="80" t="s">
        <v>136</v>
      </c>
      <c r="BT42" s="80">
        <v>0</v>
      </c>
      <c r="BU42" s="27">
        <v>0.3070493929</v>
      </c>
      <c r="BV42" s="27">
        <v>3.7531724000000001E-3</v>
      </c>
      <c r="BW42" s="27">
        <v>18.319296668</v>
      </c>
      <c r="BX42" s="27">
        <v>0.15312166760000001</v>
      </c>
      <c r="BY42" s="80" t="s">
        <v>136</v>
      </c>
      <c r="BZ42" s="80">
        <v>0</v>
      </c>
      <c r="CA42" s="80" t="s">
        <v>136</v>
      </c>
      <c r="CB42" s="80">
        <v>0</v>
      </c>
      <c r="CC42" s="27">
        <v>7.9452851422000004</v>
      </c>
      <c r="CD42" s="27">
        <v>7.1757846000000004E-3</v>
      </c>
      <c r="CE42" s="27">
        <v>11.548280194</v>
      </c>
      <c r="CF42" s="27">
        <v>2.5140497299999998E-2</v>
      </c>
      <c r="CG42" s="80" t="s">
        <v>136</v>
      </c>
      <c r="CH42" s="80">
        <v>0</v>
      </c>
      <c r="CI42" s="80" t="s">
        <v>136</v>
      </c>
      <c r="CJ42" s="80">
        <v>0</v>
      </c>
      <c r="CK42" s="80" t="s">
        <v>136</v>
      </c>
      <c r="CL42" s="80">
        <v>0</v>
      </c>
      <c r="CM42" s="80" t="s">
        <v>136</v>
      </c>
      <c r="CN42" s="80">
        <v>0</v>
      </c>
      <c r="CO42" s="27">
        <v>8.3119647699999993E-2</v>
      </c>
      <c r="CP42" s="27">
        <v>9.0463130000000003E-4</v>
      </c>
      <c r="CQ42" s="27">
        <v>0.38052587900000001</v>
      </c>
      <c r="CR42" s="27">
        <v>3.8309389000000002E-3</v>
      </c>
      <c r="CS42" s="27">
        <v>1.5672124216000001</v>
      </c>
      <c r="CT42" s="27">
        <v>1.5832414400000001E-2</v>
      </c>
      <c r="CU42" s="27">
        <v>21.471429849</v>
      </c>
      <c r="CV42" s="27">
        <v>0.50966698499999996</v>
      </c>
      <c r="CW42" s="80" t="s">
        <v>136</v>
      </c>
      <c r="CX42" s="80">
        <v>0</v>
      </c>
      <c r="CY42" s="80" t="s">
        <v>136</v>
      </c>
      <c r="CZ42" s="80">
        <v>0</v>
      </c>
      <c r="DA42" s="27">
        <v>14.915575721</v>
      </c>
      <c r="DB42" s="27">
        <v>0.20379552849999999</v>
      </c>
      <c r="DC42" s="27">
        <v>48.353340697999997</v>
      </c>
      <c r="DD42" s="27">
        <v>2.1239859148</v>
      </c>
      <c r="DE42" s="27">
        <v>18.012314485000001</v>
      </c>
      <c r="DF42" s="27">
        <v>0.42641474769999999</v>
      </c>
      <c r="DG42" s="27">
        <v>112.715954</v>
      </c>
      <c r="DH42" s="92">
        <v>1.0577001388</v>
      </c>
      <c r="DI42" s="95">
        <v>2.0865001999999999E-3</v>
      </c>
      <c r="DJ42" s="96">
        <v>3.6079880999999999E-3</v>
      </c>
      <c r="DK42" s="96">
        <v>3.9785688999999999E-3</v>
      </c>
      <c r="DL42" s="96">
        <v>4.0334252000000003E-3</v>
      </c>
      <c r="DM42" s="96">
        <v>4.0484546999999997E-3</v>
      </c>
      <c r="DN42" s="96">
        <v>4.0605247000000001E-3</v>
      </c>
      <c r="DO42" s="96">
        <v>4.0666757000000003E-3</v>
      </c>
      <c r="DP42" s="96">
        <v>4.0728266999999997E-3</v>
      </c>
      <c r="DQ42" s="96">
        <v>4.0789776999999999E-3</v>
      </c>
      <c r="DR42" s="97">
        <v>4.0851287000000002E-3</v>
      </c>
      <c r="DS42" s="93">
        <v>70.364154252000006</v>
      </c>
      <c r="DT42" s="80">
        <v>0.49302057510000002</v>
      </c>
      <c r="DU42" s="80">
        <v>33.440732130000001</v>
      </c>
      <c r="DV42" s="80">
        <v>0.24501005009999999</v>
      </c>
      <c r="DW42" s="80">
        <v>15.968693549999999</v>
      </c>
      <c r="DX42" s="80">
        <v>0.1221216411</v>
      </c>
      <c r="DY42" s="80">
        <v>7.7306822078000001</v>
      </c>
      <c r="DZ42" s="80">
        <v>6.2390527100000003E-2</v>
      </c>
      <c r="EA42" s="80">
        <v>3.8431640702999998</v>
      </c>
      <c r="EB42" s="80">
        <v>3.3387734500000002E-2</v>
      </c>
      <c r="EC42" s="80">
        <v>2.0158002990999999</v>
      </c>
      <c r="ED42" s="80">
        <v>1.9271923600000001E-2</v>
      </c>
      <c r="EE42" s="80">
        <v>1.1320760567999999</v>
      </c>
      <c r="EF42" s="80">
        <v>1.21629979E-2</v>
      </c>
      <c r="EG42" s="80">
        <v>0.68024942600000005</v>
      </c>
      <c r="EH42" s="80">
        <v>8.2930565999999994E-3</v>
      </c>
      <c r="EI42" s="80">
        <v>0.42882199459999998</v>
      </c>
      <c r="EJ42" s="80">
        <v>6.0220982000000001E-3</v>
      </c>
      <c r="EK42" s="80">
        <v>0.28684528269999998</v>
      </c>
      <c r="EL42" s="94">
        <v>4.6323885E-3</v>
      </c>
    </row>
    <row r="43" spans="1:142" x14ac:dyDescent="0.2">
      <c r="A43" s="79">
        <v>3800</v>
      </c>
      <c r="B43" s="27">
        <v>1583</v>
      </c>
      <c r="C43" s="79">
        <v>1757.5917558000001</v>
      </c>
      <c r="D43" s="27">
        <v>3750.4634409</v>
      </c>
      <c r="E43" s="27">
        <v>60.010687246000003</v>
      </c>
      <c r="F43" s="27">
        <v>6.0459895499999999E-2</v>
      </c>
      <c r="G43" s="79">
        <v>4.1417940416999999</v>
      </c>
      <c r="H43" s="27">
        <v>2.2220581999999999E-3</v>
      </c>
      <c r="I43" s="27">
        <v>147.50644274000001</v>
      </c>
      <c r="J43" s="27">
        <v>0.97167968930000004</v>
      </c>
      <c r="K43" s="27">
        <v>68.118677120000001</v>
      </c>
      <c r="L43" s="27">
        <v>0.41911326170000002</v>
      </c>
      <c r="M43" s="27">
        <v>19.006310450000001</v>
      </c>
      <c r="N43" s="27">
        <v>0.15984322009999999</v>
      </c>
      <c r="O43" s="80" t="s">
        <v>136</v>
      </c>
      <c r="P43" s="80">
        <v>0</v>
      </c>
      <c r="Q43" s="27">
        <v>20.474412062999999</v>
      </c>
      <c r="R43" s="27">
        <v>3.3752119099999998E-2</v>
      </c>
      <c r="S43" s="80" t="s">
        <v>136</v>
      </c>
      <c r="T43" s="80">
        <v>0</v>
      </c>
      <c r="U43" s="80" t="s">
        <v>136</v>
      </c>
      <c r="V43" s="80">
        <v>0</v>
      </c>
      <c r="W43" s="27">
        <v>0.46811970339999998</v>
      </c>
      <c r="X43" s="27">
        <v>4.7763218999999999E-3</v>
      </c>
      <c r="Y43" s="27">
        <v>23.617585332000001</v>
      </c>
      <c r="Z43" s="27">
        <v>0.53634515670000005</v>
      </c>
      <c r="AA43" s="80" t="s">
        <v>136</v>
      </c>
      <c r="AB43" s="80">
        <v>0</v>
      </c>
      <c r="AC43" s="27">
        <v>9.9745049999999994E-4</v>
      </c>
      <c r="AD43" s="27">
        <v>2.7656632E-6</v>
      </c>
      <c r="AE43" s="80" t="s">
        <v>136</v>
      </c>
      <c r="AF43" s="80">
        <v>0</v>
      </c>
      <c r="AG43" s="80" t="s">
        <v>136</v>
      </c>
      <c r="AH43" s="80">
        <v>0</v>
      </c>
      <c r="AI43" s="27">
        <f t="shared" si="4"/>
        <v>9.9745049999999994E-4</v>
      </c>
      <c r="AJ43" s="27">
        <f t="shared" si="5"/>
        <v>2.7656632E-6</v>
      </c>
      <c r="AK43" s="27">
        <v>108.87909241</v>
      </c>
      <c r="AL43" s="27">
        <v>1.5390238449</v>
      </c>
      <c r="AM43" s="80" t="s">
        <v>136</v>
      </c>
      <c r="AN43" s="80">
        <v>0</v>
      </c>
      <c r="AO43" s="80" t="s">
        <v>136</v>
      </c>
      <c r="AP43" s="80">
        <v>0</v>
      </c>
      <c r="AQ43" s="80" t="s">
        <v>136</v>
      </c>
      <c r="AR43" s="80">
        <v>0</v>
      </c>
      <c r="AS43" s="27">
        <v>64.247671792000006</v>
      </c>
      <c r="AT43" s="27">
        <v>2.3521629859000002</v>
      </c>
      <c r="AU43" s="27">
        <v>49.586729206000001</v>
      </c>
      <c r="AV43" s="27">
        <v>0.3887594016</v>
      </c>
      <c r="AW43" s="27">
        <v>24.160041250999999</v>
      </c>
      <c r="AX43" s="27">
        <v>0.25193040189999999</v>
      </c>
      <c r="AY43" s="27">
        <v>7.3856721346</v>
      </c>
      <c r="AZ43" s="27">
        <v>6.6957095199999997E-2</v>
      </c>
      <c r="BA43" s="80">
        <f t="shared" si="6"/>
        <v>18.041015820400002</v>
      </c>
      <c r="BB43" s="80">
        <f t="shared" si="7"/>
        <v>6.9871904500000026E-2</v>
      </c>
      <c r="BC43" s="27">
        <v>0</v>
      </c>
      <c r="BD43" s="80">
        <v>0</v>
      </c>
      <c r="BE43" s="27">
        <v>133.34294055000001</v>
      </c>
      <c r="BF43" s="27">
        <v>1.5037753749</v>
      </c>
      <c r="BG43" s="79">
        <v>4.3797905999999999E-3</v>
      </c>
      <c r="BH43" s="80">
        <v>0</v>
      </c>
      <c r="BI43" s="27">
        <v>118.99867073999999</v>
      </c>
      <c r="BJ43" s="27">
        <v>4.0720314749000002</v>
      </c>
      <c r="BK43" s="27">
        <v>141.14369715999999</v>
      </c>
      <c r="BL43" s="27">
        <v>1.0947428993999999</v>
      </c>
      <c r="BM43" s="27">
        <v>35.260369032</v>
      </c>
      <c r="BN43" s="27">
        <v>0.2055548703</v>
      </c>
      <c r="BO43" s="27">
        <v>6.3401311500000002E-2</v>
      </c>
      <c r="BP43" s="27">
        <v>4.2046690000000002E-4</v>
      </c>
      <c r="BQ43" s="27">
        <v>0</v>
      </c>
      <c r="BR43" s="92">
        <v>0</v>
      </c>
      <c r="BS43" s="80" t="s">
        <v>136</v>
      </c>
      <c r="BT43" s="80">
        <v>0</v>
      </c>
      <c r="BU43" s="27">
        <v>0.30829348490000003</v>
      </c>
      <c r="BV43" s="27">
        <v>3.7805186999999999E-3</v>
      </c>
      <c r="BW43" s="27">
        <v>18.698016965000001</v>
      </c>
      <c r="BX43" s="27">
        <v>0.1560627014</v>
      </c>
      <c r="BY43" s="80" t="s">
        <v>136</v>
      </c>
      <c r="BZ43" s="80">
        <v>0</v>
      </c>
      <c r="CA43" s="80" t="s">
        <v>136</v>
      </c>
      <c r="CB43" s="80">
        <v>0</v>
      </c>
      <c r="CC43" s="27">
        <v>8.4642601127999999</v>
      </c>
      <c r="CD43" s="27">
        <v>7.6052445999999999E-3</v>
      </c>
      <c r="CE43" s="27">
        <v>12.010151949999999</v>
      </c>
      <c r="CF43" s="27">
        <v>2.61468745E-2</v>
      </c>
      <c r="CG43" s="80" t="s">
        <v>136</v>
      </c>
      <c r="CH43" s="80">
        <v>0</v>
      </c>
      <c r="CI43" s="80" t="s">
        <v>136</v>
      </c>
      <c r="CJ43" s="80">
        <v>0</v>
      </c>
      <c r="CK43" s="80" t="s">
        <v>136</v>
      </c>
      <c r="CL43" s="80">
        <v>0</v>
      </c>
      <c r="CM43" s="80" t="s">
        <v>136</v>
      </c>
      <c r="CN43" s="80">
        <v>0</v>
      </c>
      <c r="CO43" s="27">
        <v>8.2626876000000002E-2</v>
      </c>
      <c r="CP43" s="27">
        <v>8.9874340000000005E-4</v>
      </c>
      <c r="CQ43" s="27">
        <v>0.38549282740000002</v>
      </c>
      <c r="CR43" s="27">
        <v>3.8775785000000002E-3</v>
      </c>
      <c r="CS43" s="27">
        <v>1.6974073073</v>
      </c>
      <c r="CT43" s="27">
        <v>1.73346734E-2</v>
      </c>
      <c r="CU43" s="27">
        <v>21.920178023999998</v>
      </c>
      <c r="CV43" s="27">
        <v>0.51901048329999999</v>
      </c>
      <c r="CW43" s="80" t="s">
        <v>136</v>
      </c>
      <c r="CX43" s="80">
        <v>0</v>
      </c>
      <c r="CY43" s="80" t="s">
        <v>136</v>
      </c>
      <c r="CZ43" s="80">
        <v>0</v>
      </c>
      <c r="DA43" s="27">
        <v>15.216057713</v>
      </c>
      <c r="DB43" s="27">
        <v>0.20786253230000001</v>
      </c>
      <c r="DC43" s="27">
        <v>49.031614079000001</v>
      </c>
      <c r="DD43" s="27">
        <v>2.1443004536000001</v>
      </c>
      <c r="DE43" s="27">
        <v>18.720887677</v>
      </c>
      <c r="DF43" s="27">
        <v>0.4342748776</v>
      </c>
      <c r="DG43" s="27">
        <v>114.62205287</v>
      </c>
      <c r="DH43" s="92">
        <v>1.0695004973</v>
      </c>
      <c r="DI43" s="95">
        <v>2.2046208999999999E-3</v>
      </c>
      <c r="DJ43" s="96">
        <v>3.8229268999999998E-3</v>
      </c>
      <c r="DK43" s="96">
        <v>4.2295479E-3</v>
      </c>
      <c r="DL43" s="96">
        <v>4.2898972999999996E-3</v>
      </c>
      <c r="DM43" s="96">
        <v>4.3048154000000002E-3</v>
      </c>
      <c r="DN43" s="96">
        <v>4.3167993000000002E-3</v>
      </c>
      <c r="DO43" s="96">
        <v>4.3229143999999999E-3</v>
      </c>
      <c r="DP43" s="96">
        <v>4.3290294999999996E-3</v>
      </c>
      <c r="DQ43" s="96">
        <v>4.3351446999999998E-3</v>
      </c>
      <c r="DR43" s="97">
        <v>4.3412598000000004E-3</v>
      </c>
      <c r="DS43" s="93">
        <v>71.209428657000004</v>
      </c>
      <c r="DT43" s="80">
        <v>0.49872897049999998</v>
      </c>
      <c r="DU43" s="80">
        <v>34.01908109</v>
      </c>
      <c r="DV43" s="80">
        <v>0.24906934829999999</v>
      </c>
      <c r="DW43" s="80">
        <v>16.325268942000001</v>
      </c>
      <c r="DX43" s="80">
        <v>0.1247653962</v>
      </c>
      <c r="DY43" s="80">
        <v>7.9555349897000003</v>
      </c>
      <c r="DZ43" s="80">
        <v>6.41508997E-2</v>
      </c>
      <c r="EA43" s="80">
        <v>3.9846457312000001</v>
      </c>
      <c r="EB43" s="80">
        <v>3.45637533E-2</v>
      </c>
      <c r="EC43" s="80">
        <v>2.1009175397000002</v>
      </c>
      <c r="ED43" s="80">
        <v>2.00464094E-2</v>
      </c>
      <c r="EE43" s="80">
        <v>1.1807578577</v>
      </c>
      <c r="EF43" s="80">
        <v>1.26646407E-2</v>
      </c>
      <c r="EG43" s="80">
        <v>0.71034363420000002</v>
      </c>
      <c r="EH43" s="80">
        <v>8.6519325000000008E-3</v>
      </c>
      <c r="EI43" s="80">
        <v>0.44818593239999999</v>
      </c>
      <c r="EJ43" s="80">
        <v>6.2890775999999999E-3</v>
      </c>
      <c r="EK43" s="80">
        <v>0.30056542359999999</v>
      </c>
      <c r="EL43" s="94">
        <v>4.8442878999999999E-3</v>
      </c>
    </row>
    <row r="44" spans="1:142" x14ac:dyDescent="0.2">
      <c r="A44" s="79">
        <v>3900</v>
      </c>
      <c r="B44" s="27">
        <v>1597</v>
      </c>
      <c r="C44" s="79">
        <v>1785.2933083</v>
      </c>
      <c r="D44" s="27">
        <v>3850.9541377999999</v>
      </c>
      <c r="E44" s="27">
        <v>61.841132528000003</v>
      </c>
      <c r="F44" s="27">
        <v>6.1563591199999997E-2</v>
      </c>
      <c r="G44" s="79">
        <v>4.3647374970000001</v>
      </c>
      <c r="H44" s="27">
        <v>2.3213789000000001E-3</v>
      </c>
      <c r="I44" s="27">
        <v>148.50703544999999</v>
      </c>
      <c r="J44" s="27">
        <v>0.9783207209</v>
      </c>
      <c r="K44" s="27">
        <v>68.996352076999997</v>
      </c>
      <c r="L44" s="27">
        <v>0.42471265029999999</v>
      </c>
      <c r="M44" s="27">
        <v>19.399043082999999</v>
      </c>
      <c r="N44" s="27">
        <v>0.16350891040000001</v>
      </c>
      <c r="O44" s="80" t="s">
        <v>136</v>
      </c>
      <c r="P44" s="80">
        <v>0</v>
      </c>
      <c r="Q44" s="27">
        <v>21.268463437000001</v>
      </c>
      <c r="R44" s="27">
        <v>3.4918157399999997E-2</v>
      </c>
      <c r="S44" s="80" t="s">
        <v>136</v>
      </c>
      <c r="T44" s="80">
        <v>0</v>
      </c>
      <c r="U44" s="80" t="s">
        <v>136</v>
      </c>
      <c r="V44" s="80">
        <v>0</v>
      </c>
      <c r="W44" s="27">
        <v>0.47726572090000002</v>
      </c>
      <c r="X44" s="27">
        <v>4.8399517999999997E-3</v>
      </c>
      <c r="Y44" s="27">
        <v>24.365311974000001</v>
      </c>
      <c r="Z44" s="27">
        <v>0.55005092509999998</v>
      </c>
      <c r="AA44" s="80" t="s">
        <v>136</v>
      </c>
      <c r="AB44" s="80">
        <v>0</v>
      </c>
      <c r="AC44" s="27">
        <v>9.9060129999999991E-4</v>
      </c>
      <c r="AD44" s="27">
        <v>2.7466723000000002E-6</v>
      </c>
      <c r="AE44" s="80" t="s">
        <v>136</v>
      </c>
      <c r="AF44" s="80">
        <v>0</v>
      </c>
      <c r="AG44" s="80" t="s">
        <v>136</v>
      </c>
      <c r="AH44" s="80">
        <v>0</v>
      </c>
      <c r="AI44" s="27">
        <f t="shared" si="4"/>
        <v>9.9060129999999991E-4</v>
      </c>
      <c r="AJ44" s="27">
        <f t="shared" si="5"/>
        <v>2.7466723000000002E-6</v>
      </c>
      <c r="AK44" s="27">
        <v>110.28763077000001</v>
      </c>
      <c r="AL44" s="27">
        <v>1.5507236281000001</v>
      </c>
      <c r="AM44" s="80" t="s">
        <v>136</v>
      </c>
      <c r="AN44" s="80">
        <v>0</v>
      </c>
      <c r="AO44" s="80" t="s">
        <v>136</v>
      </c>
      <c r="AP44" s="80">
        <v>0</v>
      </c>
      <c r="AQ44" s="80" t="s">
        <v>136</v>
      </c>
      <c r="AR44" s="80">
        <v>0</v>
      </c>
      <c r="AS44" s="27">
        <v>65.106460569999996</v>
      </c>
      <c r="AT44" s="27">
        <v>2.3764190122</v>
      </c>
      <c r="AU44" s="27">
        <v>50.502002318000002</v>
      </c>
      <c r="AV44" s="27">
        <v>0.3939505787</v>
      </c>
      <c r="AW44" s="27">
        <v>24.565133339999999</v>
      </c>
      <c r="AX44" s="27">
        <v>0.2553257887</v>
      </c>
      <c r="AY44" s="27">
        <v>7.4793765288999996</v>
      </c>
      <c r="AZ44" s="27">
        <v>6.7637593100000004E-2</v>
      </c>
      <c r="BA44" s="80">
        <f t="shared" si="6"/>
        <v>18.457492449100002</v>
      </c>
      <c r="BB44" s="80">
        <f t="shared" si="7"/>
        <v>7.0987196899999994E-2</v>
      </c>
      <c r="BC44" s="27">
        <v>0</v>
      </c>
      <c r="BD44" s="80">
        <v>0</v>
      </c>
      <c r="BE44" s="27">
        <v>136.29637326</v>
      </c>
      <c r="BF44" s="27">
        <v>1.5232113495999999</v>
      </c>
      <c r="BG44" s="79">
        <v>4.5512796999999999E-3</v>
      </c>
      <c r="BH44" s="80">
        <v>0</v>
      </c>
      <c r="BI44" s="27">
        <v>120.30430443</v>
      </c>
      <c r="BJ44" s="27">
        <v>4.0996691053000003</v>
      </c>
      <c r="BK44" s="27">
        <v>145.50868914</v>
      </c>
      <c r="BL44" s="27">
        <v>1.1242241723999999</v>
      </c>
      <c r="BM44" s="27">
        <v>36.586975549000002</v>
      </c>
      <c r="BN44" s="27">
        <v>0.21092243259999999</v>
      </c>
      <c r="BO44" s="27">
        <v>6.2937891600000004E-2</v>
      </c>
      <c r="BP44" s="27">
        <v>4.1664840000000001E-4</v>
      </c>
      <c r="BQ44" s="27">
        <v>0</v>
      </c>
      <c r="BR44" s="92">
        <v>0</v>
      </c>
      <c r="BS44" s="80" t="s">
        <v>136</v>
      </c>
      <c r="BT44" s="80">
        <v>0</v>
      </c>
      <c r="BU44" s="27">
        <v>0.31496233530000001</v>
      </c>
      <c r="BV44" s="27">
        <v>3.8992138000000002E-3</v>
      </c>
      <c r="BW44" s="27">
        <v>19.084080747000002</v>
      </c>
      <c r="BX44" s="27">
        <v>0.15960969650000001</v>
      </c>
      <c r="BY44" s="80" t="s">
        <v>136</v>
      </c>
      <c r="BZ44" s="80">
        <v>0</v>
      </c>
      <c r="CA44" s="80" t="s">
        <v>136</v>
      </c>
      <c r="CB44" s="80">
        <v>0</v>
      </c>
      <c r="CC44" s="27">
        <v>8.8107533472000004</v>
      </c>
      <c r="CD44" s="27">
        <v>7.8590073999999996E-3</v>
      </c>
      <c r="CE44" s="27">
        <v>12.457710089000001</v>
      </c>
      <c r="CF44" s="27">
        <v>2.7059149899999999E-2</v>
      </c>
      <c r="CG44" s="80" t="s">
        <v>136</v>
      </c>
      <c r="CH44" s="80">
        <v>0</v>
      </c>
      <c r="CI44" s="80" t="s">
        <v>136</v>
      </c>
      <c r="CJ44" s="80">
        <v>0</v>
      </c>
      <c r="CK44" s="80" t="s">
        <v>136</v>
      </c>
      <c r="CL44" s="80">
        <v>0</v>
      </c>
      <c r="CM44" s="80" t="s">
        <v>136</v>
      </c>
      <c r="CN44" s="80">
        <v>0</v>
      </c>
      <c r="CO44" s="27">
        <v>8.2136100500000003E-2</v>
      </c>
      <c r="CP44" s="27">
        <v>8.9308409999999997E-4</v>
      </c>
      <c r="CQ44" s="27">
        <v>0.39512962039999999</v>
      </c>
      <c r="CR44" s="27">
        <v>3.9468677000000004E-3</v>
      </c>
      <c r="CS44" s="27">
        <v>1.7914023023000001</v>
      </c>
      <c r="CT44" s="27">
        <v>1.8167049800000001E-2</v>
      </c>
      <c r="CU44" s="27">
        <v>22.573909671999999</v>
      </c>
      <c r="CV44" s="27">
        <v>0.53188387530000003</v>
      </c>
      <c r="CW44" s="80" t="s">
        <v>136</v>
      </c>
      <c r="CX44" s="80">
        <v>0</v>
      </c>
      <c r="CY44" s="80" t="s">
        <v>136</v>
      </c>
      <c r="CZ44" s="80">
        <v>0</v>
      </c>
      <c r="DA44" s="27">
        <v>15.468479608999999</v>
      </c>
      <c r="DB44" s="27">
        <v>0.21089184599999999</v>
      </c>
      <c r="DC44" s="27">
        <v>49.637980960999997</v>
      </c>
      <c r="DD44" s="27">
        <v>2.1655271662</v>
      </c>
      <c r="DE44" s="27">
        <v>19.640375149</v>
      </c>
      <c r="DF44" s="27">
        <v>0.4421114948</v>
      </c>
      <c r="DG44" s="27">
        <v>116.65599811</v>
      </c>
      <c r="DH44" s="92">
        <v>1.0810998547999999</v>
      </c>
      <c r="DI44" s="95">
        <v>2.3040695999999999E-3</v>
      </c>
      <c r="DJ44" s="96">
        <v>3.9871000000000004E-3</v>
      </c>
      <c r="DK44" s="96">
        <v>4.4020398999999998E-3</v>
      </c>
      <c r="DL44" s="96">
        <v>4.4619649000000004E-3</v>
      </c>
      <c r="DM44" s="96">
        <v>4.4767820999999999E-3</v>
      </c>
      <c r="DN44" s="96">
        <v>4.4886867999999998E-3</v>
      </c>
      <c r="DO44" s="96">
        <v>4.4947664999999996E-3</v>
      </c>
      <c r="DP44" s="96">
        <v>4.5008462000000003E-3</v>
      </c>
      <c r="DQ44" s="96">
        <v>4.5069257999999996E-3</v>
      </c>
      <c r="DR44" s="97">
        <v>4.5130055000000002E-3</v>
      </c>
      <c r="DS44" s="93">
        <v>71.980658207999994</v>
      </c>
      <c r="DT44" s="80">
        <v>0.50391936770000001</v>
      </c>
      <c r="DU44" s="80">
        <v>34.553006766000003</v>
      </c>
      <c r="DV44" s="80">
        <v>0.25276859340000002</v>
      </c>
      <c r="DW44" s="80">
        <v>16.678464691999999</v>
      </c>
      <c r="DX44" s="80">
        <v>0.12728957169999999</v>
      </c>
      <c r="DY44" s="80">
        <v>8.1666075872999997</v>
      </c>
      <c r="DZ44" s="80">
        <v>6.5741016700000002E-2</v>
      </c>
      <c r="EA44" s="80">
        <v>4.1128129187000004</v>
      </c>
      <c r="EB44" s="80">
        <v>3.5584576299999997E-2</v>
      </c>
      <c r="EC44" s="80">
        <v>2.1813935887999998</v>
      </c>
      <c r="ED44" s="80">
        <v>2.0738518000000001E-2</v>
      </c>
      <c r="EE44" s="80">
        <v>1.2297860323000001</v>
      </c>
      <c r="EF44" s="80">
        <v>1.3133726300000001E-2</v>
      </c>
      <c r="EG44" s="80">
        <v>0.74263272160000005</v>
      </c>
      <c r="EH44" s="80">
        <v>8.9903898999999995E-3</v>
      </c>
      <c r="EI44" s="80">
        <v>0.46802065659999997</v>
      </c>
      <c r="EJ44" s="80">
        <v>6.5287076999999997E-3</v>
      </c>
      <c r="EK44" s="80">
        <v>0.31132823570000001</v>
      </c>
      <c r="EL44" s="94">
        <v>5.0098262000000003E-3</v>
      </c>
    </row>
    <row r="45" spans="1:142" x14ac:dyDescent="0.2">
      <c r="A45" s="79">
        <v>4000</v>
      </c>
      <c r="B45" s="27">
        <v>1441</v>
      </c>
      <c r="C45" s="79">
        <v>1812.5933159000001</v>
      </c>
      <c r="D45" s="27">
        <v>3950.1041420000001</v>
      </c>
      <c r="E45" s="27">
        <v>63.735983568000002</v>
      </c>
      <c r="F45" s="27">
        <v>6.2659891100000004E-2</v>
      </c>
      <c r="G45" s="79">
        <v>4.5796058758999996</v>
      </c>
      <c r="H45" s="27">
        <v>2.4185513999999998E-3</v>
      </c>
      <c r="I45" s="27">
        <v>149.42862844999999</v>
      </c>
      <c r="J45" s="27">
        <v>0.98430466520000004</v>
      </c>
      <c r="K45" s="27">
        <v>69.857003363999993</v>
      </c>
      <c r="L45" s="27">
        <v>0.42993125970000001</v>
      </c>
      <c r="M45" s="27">
        <v>19.725608719</v>
      </c>
      <c r="N45" s="27">
        <v>0.1660370363</v>
      </c>
      <c r="O45" s="80" t="s">
        <v>136</v>
      </c>
      <c r="P45" s="80">
        <v>0</v>
      </c>
      <c r="Q45" s="27">
        <v>22.088522337000001</v>
      </c>
      <c r="R45" s="27">
        <v>3.5966528800000001E-2</v>
      </c>
      <c r="S45" s="80" t="s">
        <v>136</v>
      </c>
      <c r="T45" s="80">
        <v>0</v>
      </c>
      <c r="U45" s="80" t="s">
        <v>136</v>
      </c>
      <c r="V45" s="80">
        <v>0</v>
      </c>
      <c r="W45" s="27">
        <v>0.48551631099999998</v>
      </c>
      <c r="X45" s="27">
        <v>4.9473247999999997E-3</v>
      </c>
      <c r="Y45" s="27">
        <v>24.948517628000001</v>
      </c>
      <c r="Z45" s="27">
        <v>0.56168370479999996</v>
      </c>
      <c r="AA45" s="80" t="s">
        <v>136</v>
      </c>
      <c r="AB45" s="80">
        <v>0</v>
      </c>
      <c r="AC45" s="27">
        <v>9.8498240000000005E-4</v>
      </c>
      <c r="AD45" s="27">
        <v>2.7310924E-6</v>
      </c>
      <c r="AE45" s="80" t="s">
        <v>136</v>
      </c>
      <c r="AF45" s="80">
        <v>0</v>
      </c>
      <c r="AG45" s="80" t="s">
        <v>136</v>
      </c>
      <c r="AH45" s="80">
        <v>0</v>
      </c>
      <c r="AI45" s="27">
        <f t="shared" si="4"/>
        <v>9.8498240000000005E-4</v>
      </c>
      <c r="AJ45" s="27">
        <f t="shared" si="5"/>
        <v>2.7310924E-6</v>
      </c>
      <c r="AK45" s="27">
        <v>111.61764253</v>
      </c>
      <c r="AL45" s="27">
        <v>1.5623002686</v>
      </c>
      <c r="AM45" s="80" t="s">
        <v>136</v>
      </c>
      <c r="AN45" s="80">
        <v>0</v>
      </c>
      <c r="AO45" s="80" t="s">
        <v>136</v>
      </c>
      <c r="AP45" s="80">
        <v>0</v>
      </c>
      <c r="AQ45" s="80" t="s">
        <v>136</v>
      </c>
      <c r="AR45" s="80">
        <v>0</v>
      </c>
      <c r="AS45" s="27">
        <v>66.073141174</v>
      </c>
      <c r="AT45" s="27">
        <v>2.3997339397999999</v>
      </c>
      <c r="AU45" s="27">
        <v>51.434146595000001</v>
      </c>
      <c r="AV45" s="27">
        <v>0.39901996680000001</v>
      </c>
      <c r="AW45" s="27">
        <v>24.933665315999999</v>
      </c>
      <c r="AX45" s="27">
        <v>0.2585370723</v>
      </c>
      <c r="AY45" s="27">
        <v>7.5830480674</v>
      </c>
      <c r="AZ45" s="27">
        <v>6.8421848399999999E-2</v>
      </c>
      <c r="BA45" s="80">
        <f t="shared" si="6"/>
        <v>18.917433211599999</v>
      </c>
      <c r="BB45" s="80">
        <f t="shared" si="7"/>
        <v>7.2061046100000026E-2</v>
      </c>
      <c r="BC45" s="27">
        <v>0</v>
      </c>
      <c r="BD45" s="80">
        <v>0</v>
      </c>
      <c r="BE45" s="27">
        <v>139.06014488</v>
      </c>
      <c r="BF45" s="27">
        <v>1.5423421064</v>
      </c>
      <c r="BG45" s="79">
        <v>4.7320137E-3</v>
      </c>
      <c r="BH45" s="80">
        <v>0</v>
      </c>
      <c r="BI45" s="27">
        <v>121.55922021000001</v>
      </c>
      <c r="BJ45" s="27">
        <v>4.1272479143999998</v>
      </c>
      <c r="BK45" s="27">
        <v>149.19131809999999</v>
      </c>
      <c r="BL45" s="27">
        <v>1.1496731953999999</v>
      </c>
      <c r="BM45" s="27">
        <v>37.572047494000003</v>
      </c>
      <c r="BN45" s="27">
        <v>0.21541259209999999</v>
      </c>
      <c r="BO45" s="27">
        <v>7.1562124500000004E-2</v>
      </c>
      <c r="BP45" s="27">
        <v>4.2022549999999999E-4</v>
      </c>
      <c r="BQ45" s="27">
        <v>0</v>
      </c>
      <c r="BR45" s="92">
        <v>0</v>
      </c>
      <c r="BS45" s="80" t="s">
        <v>136</v>
      </c>
      <c r="BT45" s="80">
        <v>0</v>
      </c>
      <c r="BU45" s="27">
        <v>0.32248770059999998</v>
      </c>
      <c r="BV45" s="27">
        <v>4.0172971999999996E-3</v>
      </c>
      <c r="BW45" s="27">
        <v>19.403121018</v>
      </c>
      <c r="BX45" s="27">
        <v>0.1620197391</v>
      </c>
      <c r="BY45" s="80" t="s">
        <v>136</v>
      </c>
      <c r="BZ45" s="80">
        <v>0</v>
      </c>
      <c r="CA45" s="80" t="s">
        <v>136</v>
      </c>
      <c r="CB45" s="80">
        <v>0</v>
      </c>
      <c r="CC45" s="27">
        <v>9.2635115747000008</v>
      </c>
      <c r="CD45" s="27">
        <v>8.1881496999999994E-3</v>
      </c>
      <c r="CE45" s="27">
        <v>12.825010762</v>
      </c>
      <c r="CF45" s="27">
        <v>2.77783791E-2</v>
      </c>
      <c r="CG45" s="80" t="s">
        <v>136</v>
      </c>
      <c r="CH45" s="80">
        <v>0</v>
      </c>
      <c r="CI45" s="80" t="s">
        <v>136</v>
      </c>
      <c r="CJ45" s="80">
        <v>0</v>
      </c>
      <c r="CK45" s="80" t="s">
        <v>136</v>
      </c>
      <c r="CL45" s="80">
        <v>0</v>
      </c>
      <c r="CM45" s="80" t="s">
        <v>136</v>
      </c>
      <c r="CN45" s="80">
        <v>0</v>
      </c>
      <c r="CO45" s="27">
        <v>8.1701835400000006E-2</v>
      </c>
      <c r="CP45" s="27">
        <v>8.8796229999999995E-4</v>
      </c>
      <c r="CQ45" s="27">
        <v>0.4038144756</v>
      </c>
      <c r="CR45" s="27">
        <v>4.0593625999999997E-3</v>
      </c>
      <c r="CS45" s="27">
        <v>1.8707962469999999</v>
      </c>
      <c r="CT45" s="27">
        <v>1.8657371700000001E-2</v>
      </c>
      <c r="CU45" s="27">
        <v>23.077721381</v>
      </c>
      <c r="CV45" s="27">
        <v>0.54302633320000004</v>
      </c>
      <c r="CW45" s="80" t="s">
        <v>136</v>
      </c>
      <c r="CX45" s="80">
        <v>0</v>
      </c>
      <c r="CY45" s="80" t="s">
        <v>136</v>
      </c>
      <c r="CZ45" s="80">
        <v>0</v>
      </c>
      <c r="DA45" s="27">
        <v>15.797851415</v>
      </c>
      <c r="DB45" s="27">
        <v>0.2146480315</v>
      </c>
      <c r="DC45" s="27">
        <v>50.275289758</v>
      </c>
      <c r="DD45" s="27">
        <v>2.1850859084000001</v>
      </c>
      <c r="DE45" s="27">
        <v>20.488441717000001</v>
      </c>
      <c r="DF45" s="27">
        <v>0.45020402990000002</v>
      </c>
      <c r="DG45" s="27">
        <v>118.57170317000001</v>
      </c>
      <c r="DH45" s="92">
        <v>1.0921380763999999</v>
      </c>
      <c r="DI45" s="95">
        <v>2.3984723000000001E-3</v>
      </c>
      <c r="DJ45" s="96">
        <v>4.1463702999999996E-3</v>
      </c>
      <c r="DK45" s="96">
        <v>4.5809335000000003E-3</v>
      </c>
      <c r="DL45" s="96">
        <v>4.6432069000000003E-3</v>
      </c>
      <c r="DM45" s="96">
        <v>4.6579300999999998E-3</v>
      </c>
      <c r="DN45" s="96">
        <v>4.669762E-3</v>
      </c>
      <c r="DO45" s="96">
        <v>4.6758112000000003E-3</v>
      </c>
      <c r="DP45" s="96">
        <v>4.6818603999999996E-3</v>
      </c>
      <c r="DQ45" s="96">
        <v>4.6879095999999999E-3</v>
      </c>
      <c r="DR45" s="97">
        <v>4.6939588000000001E-3</v>
      </c>
      <c r="DS45" s="93">
        <v>72.670007913999996</v>
      </c>
      <c r="DT45" s="80">
        <v>0.50852650830000001</v>
      </c>
      <c r="DU45" s="80">
        <v>35.011010519000003</v>
      </c>
      <c r="DV45" s="80">
        <v>0.25595984669999999</v>
      </c>
      <c r="DW45" s="80">
        <v>16.961420954000001</v>
      </c>
      <c r="DX45" s="80">
        <v>0.12937431429999999</v>
      </c>
      <c r="DY45" s="80">
        <v>8.3396920713</v>
      </c>
      <c r="DZ45" s="80">
        <v>6.7065603799999998E-2</v>
      </c>
      <c r="EA45" s="80">
        <v>4.2166052554000002</v>
      </c>
      <c r="EB45" s="80">
        <v>3.64171628E-2</v>
      </c>
      <c r="EC45" s="80">
        <v>2.2436399875999999</v>
      </c>
      <c r="ED45" s="80">
        <v>2.1273693900000001E-2</v>
      </c>
      <c r="EE45" s="80">
        <v>1.2661726982999999</v>
      </c>
      <c r="EF45" s="80">
        <v>1.3472234499999999E-2</v>
      </c>
      <c r="EG45" s="80">
        <v>0.76451566520000003</v>
      </c>
      <c r="EH45" s="80">
        <v>9.2147407999999993E-3</v>
      </c>
      <c r="EI45" s="80">
        <v>0.48217295919999997</v>
      </c>
      <c r="EJ45" s="80">
        <v>6.6887498000000002E-3</v>
      </c>
      <c r="EK45" s="80">
        <v>0.3212094989</v>
      </c>
      <c r="EL45" s="94">
        <v>5.1347987000000001E-3</v>
      </c>
    </row>
    <row r="46" spans="1:142" x14ac:dyDescent="0.2">
      <c r="A46" s="79">
        <v>4100</v>
      </c>
      <c r="B46" s="27">
        <v>1505</v>
      </c>
      <c r="C46" s="79">
        <v>1839.4795931000001</v>
      </c>
      <c r="D46" s="27">
        <v>4049.8321882999999</v>
      </c>
      <c r="E46" s="27">
        <v>65.671018185999998</v>
      </c>
      <c r="F46" s="27">
        <v>6.3761736499999999E-2</v>
      </c>
      <c r="G46" s="79">
        <v>4.7744950054000004</v>
      </c>
      <c r="H46" s="27">
        <v>2.4965246000000002E-3</v>
      </c>
      <c r="I46" s="27">
        <v>150.47577989000001</v>
      </c>
      <c r="J46" s="27">
        <v>0.99151890460000003</v>
      </c>
      <c r="K46" s="27">
        <v>70.775725492999996</v>
      </c>
      <c r="L46" s="27">
        <v>0.43549535099999998</v>
      </c>
      <c r="M46" s="27">
        <v>20.178282659000001</v>
      </c>
      <c r="N46" s="27">
        <v>0.16967313389999999</v>
      </c>
      <c r="O46" s="80" t="s">
        <v>136</v>
      </c>
      <c r="P46" s="80">
        <v>0</v>
      </c>
      <c r="Q46" s="27">
        <v>23.224780760000002</v>
      </c>
      <c r="R46" s="27">
        <v>3.75327783E-2</v>
      </c>
      <c r="S46" s="80" t="s">
        <v>136</v>
      </c>
      <c r="T46" s="80">
        <v>0</v>
      </c>
      <c r="U46" s="80" t="s">
        <v>136</v>
      </c>
      <c r="V46" s="80">
        <v>0</v>
      </c>
      <c r="W46" s="27">
        <v>0.49807315019999998</v>
      </c>
      <c r="X46" s="27">
        <v>5.1572500000000004E-3</v>
      </c>
      <c r="Y46" s="27">
        <v>25.642741367999999</v>
      </c>
      <c r="Z46" s="27">
        <v>0.5747406746</v>
      </c>
      <c r="AA46" s="80" t="s">
        <v>136</v>
      </c>
      <c r="AB46" s="80">
        <v>0</v>
      </c>
      <c r="AC46" s="27">
        <v>9.8086110000000001E-4</v>
      </c>
      <c r="AD46" s="27">
        <v>2.7196652999999999E-6</v>
      </c>
      <c r="AE46" s="80" t="s">
        <v>136</v>
      </c>
      <c r="AF46" s="80">
        <v>0</v>
      </c>
      <c r="AG46" s="80" t="s">
        <v>136</v>
      </c>
      <c r="AH46" s="80">
        <v>0</v>
      </c>
      <c r="AI46" s="27">
        <f t="shared" si="4"/>
        <v>9.8086110000000001E-4</v>
      </c>
      <c r="AJ46" s="27">
        <f t="shared" si="5"/>
        <v>2.7196652999999999E-6</v>
      </c>
      <c r="AK46" s="27">
        <v>113.07676825999999</v>
      </c>
      <c r="AL46" s="27">
        <v>1.5752610088000001</v>
      </c>
      <c r="AM46" s="80" t="s">
        <v>136</v>
      </c>
      <c r="AN46" s="80">
        <v>0</v>
      </c>
      <c r="AO46" s="80" t="s">
        <v>136</v>
      </c>
      <c r="AP46" s="80">
        <v>0</v>
      </c>
      <c r="AQ46" s="80" t="s">
        <v>136</v>
      </c>
      <c r="AR46" s="80">
        <v>0</v>
      </c>
      <c r="AS46" s="27">
        <v>67.072479286999993</v>
      </c>
      <c r="AT46" s="27">
        <v>2.4238201791999998</v>
      </c>
      <c r="AU46" s="27">
        <v>52.715592854999997</v>
      </c>
      <c r="AV46" s="27">
        <v>0.40618303989999999</v>
      </c>
      <c r="AW46" s="27">
        <v>25.541896747999999</v>
      </c>
      <c r="AX46" s="27">
        <v>0.26344951230000002</v>
      </c>
      <c r="AY46" s="27">
        <v>7.7221773958000002</v>
      </c>
      <c r="AZ46" s="27">
        <v>6.9199473999999997E-2</v>
      </c>
      <c r="BA46" s="80">
        <f t="shared" si="6"/>
        <v>19.451518711199995</v>
      </c>
      <c r="BB46" s="80">
        <f t="shared" si="7"/>
        <v>7.3534053599999982E-2</v>
      </c>
      <c r="BC46" s="27">
        <v>0</v>
      </c>
      <c r="BD46" s="80">
        <v>0</v>
      </c>
      <c r="BE46" s="27">
        <v>141.9456792</v>
      </c>
      <c r="BF46" s="27">
        <v>1.5618314394999999</v>
      </c>
      <c r="BG46" s="79">
        <v>4.9133611000000002E-3</v>
      </c>
      <c r="BH46" s="80">
        <v>0</v>
      </c>
      <c r="BI46" s="27">
        <v>122.72083585</v>
      </c>
      <c r="BJ46" s="27">
        <v>4.1554956367999996</v>
      </c>
      <c r="BK46" s="27">
        <v>153.33936611999999</v>
      </c>
      <c r="BL46" s="27">
        <v>1.1787731356</v>
      </c>
      <c r="BM46" s="27">
        <v>38.528073298000002</v>
      </c>
      <c r="BN46" s="27">
        <v>0.21955545169999999</v>
      </c>
      <c r="BO46" s="27">
        <v>7.2344490900000002E-2</v>
      </c>
      <c r="BP46" s="27">
        <v>4.2306180000000002E-4</v>
      </c>
      <c r="BQ46" s="27">
        <v>0</v>
      </c>
      <c r="BR46" s="92">
        <v>0</v>
      </c>
      <c r="BS46" s="80" t="s">
        <v>136</v>
      </c>
      <c r="BT46" s="80">
        <v>0</v>
      </c>
      <c r="BU46" s="27">
        <v>0.34955295730000002</v>
      </c>
      <c r="BV46" s="27">
        <v>4.3088565000000004E-3</v>
      </c>
      <c r="BW46" s="27">
        <v>19.828729702</v>
      </c>
      <c r="BX46" s="27">
        <v>0.16536427740000001</v>
      </c>
      <c r="BY46" s="80" t="s">
        <v>136</v>
      </c>
      <c r="BZ46" s="80">
        <v>0</v>
      </c>
      <c r="CA46" s="80" t="s">
        <v>136</v>
      </c>
      <c r="CB46" s="80">
        <v>0</v>
      </c>
      <c r="CC46" s="27">
        <v>9.9021053474999992</v>
      </c>
      <c r="CD46" s="27">
        <v>8.6237475000000008E-3</v>
      </c>
      <c r="CE46" s="27">
        <v>13.322675413000001</v>
      </c>
      <c r="CF46" s="27">
        <v>2.8909030700000001E-2</v>
      </c>
      <c r="CG46" s="80" t="s">
        <v>136</v>
      </c>
      <c r="CH46" s="80">
        <v>0</v>
      </c>
      <c r="CI46" s="80" t="s">
        <v>136</v>
      </c>
      <c r="CJ46" s="80">
        <v>0</v>
      </c>
      <c r="CK46" s="80" t="s">
        <v>136</v>
      </c>
      <c r="CL46" s="80">
        <v>0</v>
      </c>
      <c r="CM46" s="80" t="s">
        <v>136</v>
      </c>
      <c r="CN46" s="80">
        <v>0</v>
      </c>
      <c r="CO46" s="27">
        <v>8.1350331799999995E-2</v>
      </c>
      <c r="CP46" s="27">
        <v>8.839001E-4</v>
      </c>
      <c r="CQ46" s="27">
        <v>0.41672281839999997</v>
      </c>
      <c r="CR46" s="27">
        <v>4.2733500000000004E-3</v>
      </c>
      <c r="CS46" s="27">
        <v>1.9978770635</v>
      </c>
      <c r="CT46" s="27">
        <v>2.0288813199999998E-2</v>
      </c>
      <c r="CU46" s="27">
        <v>23.644864304999999</v>
      </c>
      <c r="CV46" s="27">
        <v>0.55445186130000002</v>
      </c>
      <c r="CW46" s="80" t="s">
        <v>136</v>
      </c>
      <c r="CX46" s="80">
        <v>0</v>
      </c>
      <c r="CY46" s="80" t="s">
        <v>136</v>
      </c>
      <c r="CZ46" s="80">
        <v>0</v>
      </c>
      <c r="DA46" s="27">
        <v>16.104468108999999</v>
      </c>
      <c r="DB46" s="27">
        <v>0.2180869148</v>
      </c>
      <c r="DC46" s="27">
        <v>50.968011177999998</v>
      </c>
      <c r="DD46" s="27">
        <v>2.2057332645000001</v>
      </c>
      <c r="DE46" s="27">
        <v>21.211495852999999</v>
      </c>
      <c r="DF46" s="27">
        <v>0.45801612089999999</v>
      </c>
      <c r="DG46" s="27">
        <v>120.73418335</v>
      </c>
      <c r="DH46" s="92">
        <v>1.1038153185999999</v>
      </c>
      <c r="DI46" s="95">
        <v>2.4765532999999999E-3</v>
      </c>
      <c r="DJ46" s="96">
        <v>4.2953853999999998E-3</v>
      </c>
      <c r="DK46" s="96">
        <v>4.7520794999999999E-3</v>
      </c>
      <c r="DL46" s="96">
        <v>4.8250792000000004E-3</v>
      </c>
      <c r="DM46" s="96">
        <v>4.839721E-3</v>
      </c>
      <c r="DN46" s="96">
        <v>4.8514876E-3</v>
      </c>
      <c r="DO46" s="96">
        <v>4.8575036000000002E-3</v>
      </c>
      <c r="DP46" s="96">
        <v>4.8635197E-3</v>
      </c>
      <c r="DQ46" s="96">
        <v>4.8695357000000002E-3</v>
      </c>
      <c r="DR46" s="97">
        <v>4.8755517000000003E-3</v>
      </c>
      <c r="DS46" s="93">
        <v>73.480829497000002</v>
      </c>
      <c r="DT46" s="80">
        <v>0.51426289150000004</v>
      </c>
      <c r="DU46" s="80">
        <v>35.570829580000002</v>
      </c>
      <c r="DV46" s="80">
        <v>0.26007721709999998</v>
      </c>
      <c r="DW46" s="80">
        <v>17.328675597</v>
      </c>
      <c r="DX46" s="80">
        <v>0.13219598369999999</v>
      </c>
      <c r="DY46" s="80">
        <v>8.5660645519000003</v>
      </c>
      <c r="DZ46" s="80">
        <v>6.8893887000000001E-2</v>
      </c>
      <c r="EA46" s="80">
        <v>4.3609065080000002</v>
      </c>
      <c r="EB46" s="80">
        <v>3.76452699E-2</v>
      </c>
      <c r="EC46" s="80">
        <v>2.3384047278</v>
      </c>
      <c r="ED46" s="80">
        <v>2.2114684700000001E-2</v>
      </c>
      <c r="EE46" s="80">
        <v>1.3291232156999999</v>
      </c>
      <c r="EF46" s="80">
        <v>1.40657573E-2</v>
      </c>
      <c r="EG46" s="80">
        <v>0.80799707300000001</v>
      </c>
      <c r="EH46" s="80">
        <v>9.6471057000000002E-3</v>
      </c>
      <c r="EI46" s="80">
        <v>0.5101644823</v>
      </c>
      <c r="EJ46" s="80">
        <v>6.9917323999999998E-3</v>
      </c>
      <c r="EK46" s="80">
        <v>0.33917204649999999</v>
      </c>
      <c r="EL46" s="94">
        <v>5.3510138999999998E-3</v>
      </c>
    </row>
    <row r="47" spans="1:142" x14ac:dyDescent="0.2">
      <c r="A47" s="79">
        <v>4200</v>
      </c>
      <c r="B47" s="27">
        <v>1391</v>
      </c>
      <c r="C47" s="79">
        <v>1865.6740368999999</v>
      </c>
      <c r="D47" s="27">
        <v>4149.5939802000003</v>
      </c>
      <c r="E47" s="27">
        <v>67.336001808000006</v>
      </c>
      <c r="F47" s="27">
        <v>6.4563440599999994E-2</v>
      </c>
      <c r="G47" s="79">
        <v>5.1755212211000003</v>
      </c>
      <c r="H47" s="27">
        <v>2.6502403E-3</v>
      </c>
      <c r="I47" s="27">
        <v>151.39585941999999</v>
      </c>
      <c r="J47" s="27">
        <v>0.9975742219</v>
      </c>
      <c r="K47" s="27">
        <v>71.525147911000005</v>
      </c>
      <c r="L47" s="27">
        <v>0.4402282112</v>
      </c>
      <c r="M47" s="27">
        <v>20.521491107999999</v>
      </c>
      <c r="N47" s="27">
        <v>0.17232357349999999</v>
      </c>
      <c r="O47" s="80" t="s">
        <v>136</v>
      </c>
      <c r="P47" s="80">
        <v>0</v>
      </c>
      <c r="Q47" s="27">
        <v>24.168663078000002</v>
      </c>
      <c r="R47" s="27">
        <v>3.8793513699999997E-2</v>
      </c>
      <c r="S47" s="80" t="s">
        <v>136</v>
      </c>
      <c r="T47" s="80">
        <v>0</v>
      </c>
      <c r="U47" s="80" t="s">
        <v>136</v>
      </c>
      <c r="V47" s="80">
        <v>0</v>
      </c>
      <c r="W47" s="27">
        <v>0.51627031420000002</v>
      </c>
      <c r="X47" s="27">
        <v>5.3075615999999999E-3</v>
      </c>
      <c r="Y47" s="27">
        <v>26.203041345999999</v>
      </c>
      <c r="Z47" s="27">
        <v>0.58536904290000003</v>
      </c>
      <c r="AA47" s="80" t="s">
        <v>136</v>
      </c>
      <c r="AB47" s="80">
        <v>0</v>
      </c>
      <c r="AC47" s="27">
        <v>9.757578E-4</v>
      </c>
      <c r="AD47" s="27">
        <v>2.7055150999999999E-6</v>
      </c>
      <c r="AE47" s="80" t="s">
        <v>136</v>
      </c>
      <c r="AF47" s="80">
        <v>0</v>
      </c>
      <c r="AG47" s="80" t="s">
        <v>136</v>
      </c>
      <c r="AH47" s="80">
        <v>0</v>
      </c>
      <c r="AI47" s="27">
        <f t="shared" si="4"/>
        <v>9.757578E-4</v>
      </c>
      <c r="AJ47" s="27">
        <f t="shared" si="5"/>
        <v>2.7055150999999999E-6</v>
      </c>
      <c r="AK47" s="27">
        <v>114.62435133</v>
      </c>
      <c r="AL47" s="27">
        <v>1.5865042272000001</v>
      </c>
      <c r="AM47" s="80" t="s">
        <v>136</v>
      </c>
      <c r="AN47" s="80">
        <v>0</v>
      </c>
      <c r="AO47" s="80" t="s">
        <v>136</v>
      </c>
      <c r="AP47" s="80">
        <v>0</v>
      </c>
      <c r="AQ47" s="80" t="s">
        <v>136</v>
      </c>
      <c r="AR47" s="80">
        <v>0</v>
      </c>
      <c r="AS47" s="27">
        <v>68.079458127999999</v>
      </c>
      <c r="AT47" s="27">
        <v>2.4461033756999999</v>
      </c>
      <c r="AU47" s="27">
        <v>53.735168817999998</v>
      </c>
      <c r="AV47" s="27">
        <v>0.41116895489999999</v>
      </c>
      <c r="AW47" s="27">
        <v>26.054625269999999</v>
      </c>
      <c r="AX47" s="27">
        <v>0.26691881140000001</v>
      </c>
      <c r="AY47" s="27">
        <v>7.7882132269</v>
      </c>
      <c r="AZ47" s="27">
        <v>6.9692729999999994E-2</v>
      </c>
      <c r="BA47" s="80">
        <f t="shared" si="6"/>
        <v>19.892330321099998</v>
      </c>
      <c r="BB47" s="80">
        <f t="shared" si="7"/>
        <v>7.4557413500000003E-2</v>
      </c>
      <c r="BC47" s="27">
        <v>0</v>
      </c>
      <c r="BD47" s="80">
        <v>0</v>
      </c>
      <c r="BE47" s="27">
        <v>144.53180239</v>
      </c>
      <c r="BF47" s="27">
        <v>1.5812956656999999</v>
      </c>
      <c r="BG47" s="79">
        <v>5.2290154000000002E-3</v>
      </c>
      <c r="BH47" s="80">
        <v>0</v>
      </c>
      <c r="BI47" s="27">
        <v>123.93934519</v>
      </c>
      <c r="BJ47" s="27">
        <v>4.1833087957000004</v>
      </c>
      <c r="BK47" s="27">
        <v>157.27360895999999</v>
      </c>
      <c r="BL47" s="27">
        <v>1.2058762178</v>
      </c>
      <c r="BM47" s="27">
        <v>39.394268021000002</v>
      </c>
      <c r="BN47" s="27">
        <v>0.22336737770000001</v>
      </c>
      <c r="BO47" s="27">
        <v>7.3773241500000003E-2</v>
      </c>
      <c r="BP47" s="27">
        <v>4.261132E-4</v>
      </c>
      <c r="BQ47" s="27">
        <v>0</v>
      </c>
      <c r="BR47" s="92">
        <v>0</v>
      </c>
      <c r="BS47" s="80" t="s">
        <v>136</v>
      </c>
      <c r="BT47" s="80">
        <v>0</v>
      </c>
      <c r="BU47" s="27">
        <v>0.348618496</v>
      </c>
      <c r="BV47" s="27">
        <v>4.3082850999999998E-3</v>
      </c>
      <c r="BW47" s="27">
        <v>20.172872611999999</v>
      </c>
      <c r="BX47" s="27">
        <v>0.1680152885</v>
      </c>
      <c r="BY47" s="80" t="s">
        <v>136</v>
      </c>
      <c r="BZ47" s="80">
        <v>0</v>
      </c>
      <c r="CA47" s="80" t="s">
        <v>136</v>
      </c>
      <c r="CB47" s="80">
        <v>0</v>
      </c>
      <c r="CC47" s="27">
        <v>10.426084415</v>
      </c>
      <c r="CD47" s="27">
        <v>9.0010713999999995E-3</v>
      </c>
      <c r="CE47" s="27">
        <v>13.742578663</v>
      </c>
      <c r="CF47" s="27">
        <v>2.9792442299999999E-2</v>
      </c>
      <c r="CG47" s="80" t="s">
        <v>136</v>
      </c>
      <c r="CH47" s="80">
        <v>0</v>
      </c>
      <c r="CI47" s="80" t="s">
        <v>136</v>
      </c>
      <c r="CJ47" s="80">
        <v>0</v>
      </c>
      <c r="CK47" s="80" t="s">
        <v>136</v>
      </c>
      <c r="CL47" s="80">
        <v>0</v>
      </c>
      <c r="CM47" s="80" t="s">
        <v>136</v>
      </c>
      <c r="CN47" s="80">
        <v>0</v>
      </c>
      <c r="CO47" s="27">
        <v>8.8363660199999999E-2</v>
      </c>
      <c r="CP47" s="27">
        <v>9.3603359999999995E-4</v>
      </c>
      <c r="CQ47" s="27">
        <v>0.427906654</v>
      </c>
      <c r="CR47" s="27">
        <v>4.3715280000000004E-3</v>
      </c>
      <c r="CS47" s="27">
        <v>2.0604217421</v>
      </c>
      <c r="CT47" s="27">
        <v>2.0697450900000001E-2</v>
      </c>
      <c r="CU47" s="27">
        <v>24.142619604</v>
      </c>
      <c r="CV47" s="27">
        <v>0.56467159200000006</v>
      </c>
      <c r="CW47" s="80" t="s">
        <v>136</v>
      </c>
      <c r="CX47" s="80">
        <v>0</v>
      </c>
      <c r="CY47" s="80" t="s">
        <v>136</v>
      </c>
      <c r="CZ47" s="80">
        <v>0</v>
      </c>
      <c r="DA47" s="27">
        <v>16.429776549</v>
      </c>
      <c r="DB47" s="27">
        <v>0.22185845809999999</v>
      </c>
      <c r="DC47" s="27">
        <v>51.649681579999999</v>
      </c>
      <c r="DD47" s="27">
        <v>2.2242449176000001</v>
      </c>
      <c r="DE47" s="27">
        <v>21.980526086000001</v>
      </c>
      <c r="DF47" s="27">
        <v>0.4658191572</v>
      </c>
      <c r="DG47" s="27">
        <v>122.55127631000001</v>
      </c>
      <c r="DH47" s="92">
        <v>1.1154765086</v>
      </c>
      <c r="DI47" s="95">
        <v>2.6275386999999998E-3</v>
      </c>
      <c r="DJ47" s="96">
        <v>4.5754758999999997E-3</v>
      </c>
      <c r="DK47" s="96">
        <v>5.0624657999999998E-3</v>
      </c>
      <c r="DL47" s="96">
        <v>5.1412042999999996E-3</v>
      </c>
      <c r="DM47" s="96">
        <v>5.1557612000000001E-3</v>
      </c>
      <c r="DN47" s="96">
        <v>5.1674614000000001E-3</v>
      </c>
      <c r="DO47" s="96">
        <v>5.1734485000000004E-3</v>
      </c>
      <c r="DP47" s="96">
        <v>5.1794355999999998E-3</v>
      </c>
      <c r="DQ47" s="96">
        <v>5.1854227000000001E-3</v>
      </c>
      <c r="DR47" s="97">
        <v>5.1914099E-3</v>
      </c>
      <c r="DS47" s="93">
        <v>74.182920858000003</v>
      </c>
      <c r="DT47" s="80">
        <v>0.51895268159999997</v>
      </c>
      <c r="DU47" s="80">
        <v>36.052574137999997</v>
      </c>
      <c r="DV47" s="80">
        <v>0.26336828649999999</v>
      </c>
      <c r="DW47" s="80">
        <v>17.626376454999999</v>
      </c>
      <c r="DX47" s="80">
        <v>0.13428676119999999</v>
      </c>
      <c r="DY47" s="80">
        <v>8.7441471641999993</v>
      </c>
      <c r="DZ47" s="80">
        <v>7.0186733400000006E-2</v>
      </c>
      <c r="EA47" s="80">
        <v>4.4680777737000001</v>
      </c>
      <c r="EB47" s="80">
        <v>3.844384E-2</v>
      </c>
      <c r="EC47" s="80">
        <v>2.4073393025000001</v>
      </c>
      <c r="ED47" s="80">
        <v>2.2646853799999998E-2</v>
      </c>
      <c r="EE47" s="80">
        <v>1.3694723783</v>
      </c>
      <c r="EF47" s="80">
        <v>1.43928067E-2</v>
      </c>
      <c r="EG47" s="80">
        <v>0.83283744709999996</v>
      </c>
      <c r="EH47" s="80">
        <v>9.862259E-3</v>
      </c>
      <c r="EI47" s="80">
        <v>0.52469085849999997</v>
      </c>
      <c r="EJ47" s="80">
        <v>7.1286676999999998E-3</v>
      </c>
      <c r="EK47" s="80">
        <v>0.34663289050000001</v>
      </c>
      <c r="EL47" s="94">
        <v>5.4366635000000002E-3</v>
      </c>
    </row>
    <row r="48" spans="1:142" x14ac:dyDescent="0.2">
      <c r="A48" s="79">
        <v>4300</v>
      </c>
      <c r="B48" s="27">
        <v>1288</v>
      </c>
      <c r="C48" s="79">
        <v>1891.3907945999999</v>
      </c>
      <c r="D48" s="27">
        <v>4249.8399978999996</v>
      </c>
      <c r="E48" s="27">
        <v>68.927481743000001</v>
      </c>
      <c r="F48" s="27">
        <v>6.5518394499999993E-2</v>
      </c>
      <c r="G48" s="79">
        <v>5.4425405322999998</v>
      </c>
      <c r="H48" s="27">
        <v>2.7583832000000002E-3</v>
      </c>
      <c r="I48" s="27">
        <v>152.37427732</v>
      </c>
      <c r="J48" s="27">
        <v>1.004154231</v>
      </c>
      <c r="K48" s="27">
        <v>72.419110597</v>
      </c>
      <c r="L48" s="27">
        <v>0.4457777221</v>
      </c>
      <c r="M48" s="27">
        <v>20.943059986000002</v>
      </c>
      <c r="N48" s="27">
        <v>0.17550037960000001</v>
      </c>
      <c r="O48" s="80" t="s">
        <v>136</v>
      </c>
      <c r="P48" s="80">
        <v>0</v>
      </c>
      <c r="Q48" s="27">
        <v>25.170264945</v>
      </c>
      <c r="R48" s="27">
        <v>4.0173578500000001E-2</v>
      </c>
      <c r="S48" s="80" t="s">
        <v>136</v>
      </c>
      <c r="T48" s="80">
        <v>0</v>
      </c>
      <c r="U48" s="80" t="s">
        <v>136</v>
      </c>
      <c r="V48" s="80">
        <v>0</v>
      </c>
      <c r="W48" s="27">
        <v>0.53758528110000003</v>
      </c>
      <c r="X48" s="27">
        <v>5.5024363999999996E-3</v>
      </c>
      <c r="Y48" s="27">
        <v>26.800968517000001</v>
      </c>
      <c r="Z48" s="27">
        <v>0.59602919649999997</v>
      </c>
      <c r="AA48" s="80" t="s">
        <v>136</v>
      </c>
      <c r="AB48" s="80">
        <v>0</v>
      </c>
      <c r="AC48" s="27">
        <v>9.7110939999999998E-4</v>
      </c>
      <c r="AD48" s="27">
        <v>2.6926263E-6</v>
      </c>
      <c r="AE48" s="80" t="s">
        <v>136</v>
      </c>
      <c r="AF48" s="80">
        <v>0</v>
      </c>
      <c r="AG48" s="80" t="s">
        <v>136</v>
      </c>
      <c r="AH48" s="80">
        <v>0</v>
      </c>
      <c r="AI48" s="27">
        <f t="shared" si="4"/>
        <v>9.7110939999999998E-4</v>
      </c>
      <c r="AJ48" s="27">
        <f t="shared" si="5"/>
        <v>2.6926263E-6</v>
      </c>
      <c r="AK48" s="27">
        <v>115.97203694</v>
      </c>
      <c r="AL48" s="27">
        <v>1.5966363524</v>
      </c>
      <c r="AM48" s="80" t="s">
        <v>136</v>
      </c>
      <c r="AN48" s="80">
        <v>0</v>
      </c>
      <c r="AO48" s="80" t="s">
        <v>136</v>
      </c>
      <c r="AP48" s="80">
        <v>0</v>
      </c>
      <c r="AQ48" s="80" t="s">
        <v>136</v>
      </c>
      <c r="AR48" s="80">
        <v>0</v>
      </c>
      <c r="AS48" s="27">
        <v>68.867201562000005</v>
      </c>
      <c r="AT48" s="27">
        <v>2.4664891299999998</v>
      </c>
      <c r="AU48" s="27">
        <v>54.634419557999998</v>
      </c>
      <c r="AV48" s="27">
        <v>0.4161723819</v>
      </c>
      <c r="AW48" s="27">
        <v>26.462771134</v>
      </c>
      <c r="AX48" s="27">
        <v>0.27019684199999999</v>
      </c>
      <c r="AY48" s="27">
        <v>7.9037833309999996</v>
      </c>
      <c r="AZ48" s="27">
        <v>7.0364998200000001E-2</v>
      </c>
      <c r="BA48" s="80">
        <f t="shared" si="6"/>
        <v>20.267865092999998</v>
      </c>
      <c r="BB48" s="80">
        <f t="shared" si="7"/>
        <v>7.5610541699999978E-2</v>
      </c>
      <c r="BC48" s="27">
        <v>0</v>
      </c>
      <c r="BD48" s="80">
        <v>0</v>
      </c>
      <c r="BE48" s="27">
        <v>147.25656269000001</v>
      </c>
      <c r="BF48" s="27">
        <v>1.6007086982000001</v>
      </c>
      <c r="BG48" s="79">
        <v>5.4386201000000004E-3</v>
      </c>
      <c r="BH48" s="80">
        <v>0</v>
      </c>
      <c r="BI48" s="27">
        <v>125.32174838</v>
      </c>
      <c r="BJ48" s="27">
        <v>4.2169881762000001</v>
      </c>
      <c r="BK48" s="27">
        <v>160.78452149</v>
      </c>
      <c r="BL48" s="27">
        <v>1.2312723841</v>
      </c>
      <c r="BM48" s="27">
        <v>40.148755610000002</v>
      </c>
      <c r="BN48" s="27">
        <v>0.22648675660000001</v>
      </c>
      <c r="BO48" s="27">
        <v>8.7402107399999998E-2</v>
      </c>
      <c r="BP48" s="27">
        <v>4.3464140000000002E-4</v>
      </c>
      <c r="BQ48" s="27">
        <v>0</v>
      </c>
      <c r="BR48" s="92">
        <v>0</v>
      </c>
      <c r="BS48" s="80" t="s">
        <v>136</v>
      </c>
      <c r="BT48" s="80">
        <v>0</v>
      </c>
      <c r="BU48" s="27">
        <v>0.3482374352</v>
      </c>
      <c r="BV48" s="27">
        <v>4.3421285000000004E-3</v>
      </c>
      <c r="BW48" s="27">
        <v>20.594822551</v>
      </c>
      <c r="BX48" s="27">
        <v>0.17115825109999999</v>
      </c>
      <c r="BY48" s="80" t="s">
        <v>136</v>
      </c>
      <c r="BZ48" s="80">
        <v>0</v>
      </c>
      <c r="CA48" s="80" t="s">
        <v>136</v>
      </c>
      <c r="CB48" s="80">
        <v>0</v>
      </c>
      <c r="CC48" s="27">
        <v>10.959597165</v>
      </c>
      <c r="CD48" s="27">
        <v>9.4371219999999992E-3</v>
      </c>
      <c r="CE48" s="27">
        <v>14.21066778</v>
      </c>
      <c r="CF48" s="27">
        <v>3.0736456499999999E-2</v>
      </c>
      <c r="CG48" s="80" t="s">
        <v>136</v>
      </c>
      <c r="CH48" s="80">
        <v>0</v>
      </c>
      <c r="CI48" s="80" t="s">
        <v>136</v>
      </c>
      <c r="CJ48" s="80">
        <v>0</v>
      </c>
      <c r="CK48" s="80" t="s">
        <v>136</v>
      </c>
      <c r="CL48" s="80">
        <v>0</v>
      </c>
      <c r="CM48" s="80" t="s">
        <v>136</v>
      </c>
      <c r="CN48" s="80">
        <v>0</v>
      </c>
      <c r="CO48" s="27">
        <v>9.6161013300000001E-2</v>
      </c>
      <c r="CP48" s="27">
        <v>9.747499E-4</v>
      </c>
      <c r="CQ48" s="27">
        <v>0.44142426779999999</v>
      </c>
      <c r="CR48" s="27">
        <v>4.5276865000000001E-3</v>
      </c>
      <c r="CS48" s="27">
        <v>2.1607895611000001</v>
      </c>
      <c r="CT48" s="27">
        <v>2.1328202800000001E-2</v>
      </c>
      <c r="CU48" s="27">
        <v>24.640178955</v>
      </c>
      <c r="CV48" s="27">
        <v>0.57470099379999995</v>
      </c>
      <c r="CW48" s="80" t="s">
        <v>136</v>
      </c>
      <c r="CX48" s="80">
        <v>0</v>
      </c>
      <c r="CY48" s="80" t="s">
        <v>136</v>
      </c>
      <c r="CZ48" s="80">
        <v>0</v>
      </c>
      <c r="DA48" s="27">
        <v>16.686779189999999</v>
      </c>
      <c r="DB48" s="27">
        <v>0.22510301699999999</v>
      </c>
      <c r="DC48" s="27">
        <v>52.180422372999999</v>
      </c>
      <c r="DD48" s="27">
        <v>2.2413861129999999</v>
      </c>
      <c r="DE48" s="27">
        <v>22.754558766999999</v>
      </c>
      <c r="DF48" s="27">
        <v>0.47321956300000001</v>
      </c>
      <c r="DG48" s="27">
        <v>124.50200392000001</v>
      </c>
      <c r="DH48" s="92">
        <v>1.1274891353000001</v>
      </c>
      <c r="DI48" s="95">
        <v>2.7358023E-3</v>
      </c>
      <c r="DJ48" s="96">
        <v>4.7610971999999998E-3</v>
      </c>
      <c r="DK48" s="96">
        <v>5.2728908999999996E-3</v>
      </c>
      <c r="DL48" s="96">
        <v>5.3512407999999996E-3</v>
      </c>
      <c r="DM48" s="96">
        <v>5.3657247999999999E-3</v>
      </c>
      <c r="DN48" s="96">
        <v>5.3773676000000003E-3</v>
      </c>
      <c r="DO48" s="96">
        <v>5.3833279999999997E-3</v>
      </c>
      <c r="DP48" s="96">
        <v>5.3892884999999996E-3</v>
      </c>
      <c r="DQ48" s="96">
        <v>5.3952488999999999E-3</v>
      </c>
      <c r="DR48" s="97">
        <v>5.4012093000000002E-3</v>
      </c>
      <c r="DS48" s="93">
        <v>74.969714474</v>
      </c>
      <c r="DT48" s="80">
        <v>0.52429670390000005</v>
      </c>
      <c r="DU48" s="80">
        <v>36.604518910000003</v>
      </c>
      <c r="DV48" s="80">
        <v>0.26722184799999998</v>
      </c>
      <c r="DW48" s="80">
        <v>17.980835636999998</v>
      </c>
      <c r="DX48" s="80">
        <v>0.13683038450000001</v>
      </c>
      <c r="DY48" s="80">
        <v>8.9720631889</v>
      </c>
      <c r="DZ48" s="80">
        <v>7.1866293100000006E-2</v>
      </c>
      <c r="EA48" s="80">
        <v>4.6169275919999997</v>
      </c>
      <c r="EB48" s="80">
        <v>3.9585107100000003E-2</v>
      </c>
      <c r="EC48" s="80">
        <v>2.4995201773</v>
      </c>
      <c r="ED48" s="80">
        <v>2.34102255E-2</v>
      </c>
      <c r="EE48" s="80">
        <v>1.4242101858</v>
      </c>
      <c r="EF48" s="80">
        <v>1.49095918E-2</v>
      </c>
      <c r="EG48" s="80">
        <v>0.86113264079999996</v>
      </c>
      <c r="EH48" s="80">
        <v>1.01975582E-2</v>
      </c>
      <c r="EI48" s="80">
        <v>0.5414320266</v>
      </c>
      <c r="EJ48" s="80">
        <v>7.3770631999999997E-3</v>
      </c>
      <c r="EK48" s="80">
        <v>0.35969571880000001</v>
      </c>
      <c r="EL48" s="94">
        <v>5.6455474999999996E-3</v>
      </c>
    </row>
    <row r="49" spans="1:142" x14ac:dyDescent="0.2">
      <c r="A49" s="79">
        <v>4400</v>
      </c>
      <c r="B49" s="27">
        <v>1331</v>
      </c>
      <c r="C49" s="79">
        <v>1916.7854798000001</v>
      </c>
      <c r="D49" s="27">
        <v>4348.9012500999997</v>
      </c>
      <c r="E49" s="27">
        <v>70.608918236999997</v>
      </c>
      <c r="F49" s="27">
        <v>6.6404023899999998E-2</v>
      </c>
      <c r="G49" s="79">
        <v>5.8049895020999998</v>
      </c>
      <c r="H49" s="27">
        <v>2.9064194000000001E-3</v>
      </c>
      <c r="I49" s="27">
        <v>153.29141977</v>
      </c>
      <c r="J49" s="27">
        <v>1.0102573571</v>
      </c>
      <c r="K49" s="27">
        <v>73.189153223000005</v>
      </c>
      <c r="L49" s="27">
        <v>0.4508364057</v>
      </c>
      <c r="M49" s="27">
        <v>21.366558344000001</v>
      </c>
      <c r="N49" s="27">
        <v>0.1789262717</v>
      </c>
      <c r="O49" s="80" t="s">
        <v>136</v>
      </c>
      <c r="P49" s="80">
        <v>0</v>
      </c>
      <c r="Q49" s="27">
        <v>26.114711165999999</v>
      </c>
      <c r="R49" s="27">
        <v>4.1495466799999998E-2</v>
      </c>
      <c r="S49" s="80" t="s">
        <v>136</v>
      </c>
      <c r="T49" s="80">
        <v>0</v>
      </c>
      <c r="U49" s="80" t="s">
        <v>136</v>
      </c>
      <c r="V49" s="80">
        <v>0</v>
      </c>
      <c r="W49" s="27">
        <v>0.56902225259999994</v>
      </c>
      <c r="X49" s="27">
        <v>5.7365052999999999E-3</v>
      </c>
      <c r="Y49" s="27">
        <v>27.451557989000001</v>
      </c>
      <c r="Z49" s="27">
        <v>0.60990625610000004</v>
      </c>
      <c r="AA49" s="80" t="s">
        <v>136</v>
      </c>
      <c r="AB49" s="80">
        <v>0</v>
      </c>
      <c r="AC49" s="27">
        <v>9.6660470000000005E-4</v>
      </c>
      <c r="AD49" s="27">
        <v>2.6801361000000001E-6</v>
      </c>
      <c r="AE49" s="80" t="s">
        <v>136</v>
      </c>
      <c r="AF49" s="80">
        <v>0</v>
      </c>
      <c r="AG49" s="80" t="s">
        <v>136</v>
      </c>
      <c r="AH49" s="80">
        <v>0</v>
      </c>
      <c r="AI49" s="27">
        <f t="shared" si="4"/>
        <v>9.6660470000000005E-4</v>
      </c>
      <c r="AJ49" s="27">
        <f t="shared" si="5"/>
        <v>2.6801361000000001E-6</v>
      </c>
      <c r="AK49" s="27">
        <v>117.48262166000001</v>
      </c>
      <c r="AL49" s="27">
        <v>1.6069219392</v>
      </c>
      <c r="AM49" s="80" t="s">
        <v>136</v>
      </c>
      <c r="AN49" s="80">
        <v>0</v>
      </c>
      <c r="AO49" s="80" t="s">
        <v>136</v>
      </c>
      <c r="AP49" s="80">
        <v>0</v>
      </c>
      <c r="AQ49" s="80" t="s">
        <v>136</v>
      </c>
      <c r="AR49" s="80">
        <v>0</v>
      </c>
      <c r="AS49" s="27">
        <v>69.802514058</v>
      </c>
      <c r="AT49" s="27">
        <v>2.4878045213000002</v>
      </c>
      <c r="AU49" s="27">
        <v>55.590540406999999</v>
      </c>
      <c r="AV49" s="27">
        <v>0.42152365549999998</v>
      </c>
      <c r="AW49" s="27">
        <v>26.954350461000001</v>
      </c>
      <c r="AX49" s="27">
        <v>0.2739822582</v>
      </c>
      <c r="AY49" s="27">
        <v>7.9704241820000004</v>
      </c>
      <c r="AZ49" s="27">
        <v>7.0847105800000004E-2</v>
      </c>
      <c r="BA49" s="80">
        <f t="shared" si="6"/>
        <v>20.665765764</v>
      </c>
      <c r="BB49" s="80">
        <f t="shared" si="7"/>
        <v>7.6694291500000011E-2</v>
      </c>
      <c r="BC49" s="27">
        <v>0</v>
      </c>
      <c r="BD49" s="80">
        <v>0</v>
      </c>
      <c r="BE49" s="27">
        <v>150.05300585000001</v>
      </c>
      <c r="BF49" s="27">
        <v>1.6189002910000001</v>
      </c>
      <c r="BG49" s="79">
        <v>5.7188836999999999E-3</v>
      </c>
      <c r="BH49" s="80">
        <v>0</v>
      </c>
      <c r="BI49" s="27">
        <v>126.32609175</v>
      </c>
      <c r="BJ49" s="27">
        <v>4.2387177476</v>
      </c>
      <c r="BK49" s="27">
        <v>164.66604752999999</v>
      </c>
      <c r="BL49" s="27">
        <v>1.2573915276000001</v>
      </c>
      <c r="BM49" s="27">
        <v>40.923557043999999</v>
      </c>
      <c r="BN49" s="27">
        <v>0.22949140430000001</v>
      </c>
      <c r="BO49" s="27">
        <v>0.11356611129999999</v>
      </c>
      <c r="BP49" s="27">
        <v>4.6439929999999999E-4</v>
      </c>
      <c r="BQ49" s="27">
        <v>0</v>
      </c>
      <c r="BR49" s="92">
        <v>0</v>
      </c>
      <c r="BS49" s="80" t="s">
        <v>136</v>
      </c>
      <c r="BT49" s="80">
        <v>0</v>
      </c>
      <c r="BU49" s="27">
        <v>0.3732086168</v>
      </c>
      <c r="BV49" s="27">
        <v>4.4765969000000001E-3</v>
      </c>
      <c r="BW49" s="27">
        <v>20.993349726999998</v>
      </c>
      <c r="BX49" s="27">
        <v>0.17444967480000001</v>
      </c>
      <c r="BY49" s="80" t="s">
        <v>136</v>
      </c>
      <c r="BZ49" s="80">
        <v>0</v>
      </c>
      <c r="CA49" s="80" t="s">
        <v>136</v>
      </c>
      <c r="CB49" s="80">
        <v>0</v>
      </c>
      <c r="CC49" s="27">
        <v>11.505081281000001</v>
      </c>
      <c r="CD49" s="27">
        <v>9.8602068000000001E-3</v>
      </c>
      <c r="CE49" s="27">
        <v>14.609629885</v>
      </c>
      <c r="CF49" s="27">
        <v>3.1635259999999998E-2</v>
      </c>
      <c r="CG49" s="80" t="s">
        <v>136</v>
      </c>
      <c r="CH49" s="80">
        <v>0</v>
      </c>
      <c r="CI49" s="80" t="s">
        <v>136</v>
      </c>
      <c r="CJ49" s="80">
        <v>0</v>
      </c>
      <c r="CK49" s="80" t="s">
        <v>136</v>
      </c>
      <c r="CL49" s="80">
        <v>0</v>
      </c>
      <c r="CM49" s="80" t="s">
        <v>136</v>
      </c>
      <c r="CN49" s="80">
        <v>0</v>
      </c>
      <c r="CO49" s="27">
        <v>9.5678716600000005E-2</v>
      </c>
      <c r="CP49" s="27">
        <v>9.6944049999999997E-4</v>
      </c>
      <c r="CQ49" s="27">
        <v>0.47334353610000002</v>
      </c>
      <c r="CR49" s="27">
        <v>4.7670647999999999E-3</v>
      </c>
      <c r="CS49" s="27">
        <v>2.2126790610999998</v>
      </c>
      <c r="CT49" s="27">
        <v>2.19895352E-2</v>
      </c>
      <c r="CU49" s="27">
        <v>25.238878927999998</v>
      </c>
      <c r="CV49" s="27">
        <v>0.58791672080000001</v>
      </c>
      <c r="CW49" s="80" t="s">
        <v>136</v>
      </c>
      <c r="CX49" s="80">
        <v>0</v>
      </c>
      <c r="CY49" s="80" t="s">
        <v>136</v>
      </c>
      <c r="CZ49" s="80">
        <v>0</v>
      </c>
      <c r="DA49" s="27">
        <v>17.017393518999999</v>
      </c>
      <c r="DB49" s="27">
        <v>0.22905719359999999</v>
      </c>
      <c r="DC49" s="27">
        <v>52.785120538999998</v>
      </c>
      <c r="DD49" s="27">
        <v>2.2587473277000001</v>
      </c>
      <c r="DE49" s="27">
        <v>23.653479141999998</v>
      </c>
      <c r="DF49" s="27">
        <v>0.48124508300000002</v>
      </c>
      <c r="DG49" s="27">
        <v>126.39952671</v>
      </c>
      <c r="DH49" s="92">
        <v>1.137655208</v>
      </c>
      <c r="DI49" s="95">
        <v>2.8840018E-3</v>
      </c>
      <c r="DJ49" s="96">
        <v>5.0192053999999998E-3</v>
      </c>
      <c r="DK49" s="96">
        <v>5.5514516999999996E-3</v>
      </c>
      <c r="DL49" s="96">
        <v>5.6320203999999999E-3</v>
      </c>
      <c r="DM49" s="96">
        <v>5.6464091999999999E-3</v>
      </c>
      <c r="DN49" s="96">
        <v>5.6579784000000003E-3</v>
      </c>
      <c r="DO49" s="96">
        <v>5.6639083000000002E-3</v>
      </c>
      <c r="DP49" s="96">
        <v>5.6698382E-3</v>
      </c>
      <c r="DQ49" s="96">
        <v>5.6757680999999999E-3</v>
      </c>
      <c r="DR49" s="97">
        <v>5.6816979999999998E-3</v>
      </c>
      <c r="DS49" s="93">
        <v>75.689507086000006</v>
      </c>
      <c r="DT49" s="80">
        <v>0.52911398620000005</v>
      </c>
      <c r="DU49" s="80">
        <v>37.088988573000002</v>
      </c>
      <c r="DV49" s="80">
        <v>0.27054091000000002</v>
      </c>
      <c r="DW49" s="80">
        <v>18.291571625</v>
      </c>
      <c r="DX49" s="80">
        <v>0.1389997312</v>
      </c>
      <c r="DY49" s="80">
        <v>9.1621828609999998</v>
      </c>
      <c r="DZ49" s="80">
        <v>7.3195984500000005E-2</v>
      </c>
      <c r="EA49" s="80">
        <v>4.7280361433999998</v>
      </c>
      <c r="EB49" s="80">
        <v>4.0351443200000003E-2</v>
      </c>
      <c r="EC49" s="80">
        <v>2.5649993166999998</v>
      </c>
      <c r="ED49" s="80">
        <v>2.3869683400000001E-2</v>
      </c>
      <c r="EE49" s="80">
        <v>1.4652742644000001</v>
      </c>
      <c r="EF49" s="80">
        <v>1.51957195E-2</v>
      </c>
      <c r="EG49" s="80">
        <v>0.88843290180000001</v>
      </c>
      <c r="EH49" s="80">
        <v>1.03798413E-2</v>
      </c>
      <c r="EI49" s="80">
        <v>0.55978690330000003</v>
      </c>
      <c r="EJ49" s="80">
        <v>7.4927976E-3</v>
      </c>
      <c r="EK49" s="80">
        <v>0.37296753310000003</v>
      </c>
      <c r="EL49" s="94">
        <v>5.7240959000000001E-3</v>
      </c>
    </row>
    <row r="50" spans="1:142" x14ac:dyDescent="0.2">
      <c r="A50" s="79">
        <v>4500</v>
      </c>
      <c r="B50" s="27">
        <v>1244</v>
      </c>
      <c r="C50" s="79">
        <v>1941.740503</v>
      </c>
      <c r="D50" s="27">
        <v>4450.6624996999999</v>
      </c>
      <c r="E50" s="27">
        <v>72.230249428999997</v>
      </c>
      <c r="F50" s="27">
        <v>6.7221924700000005E-2</v>
      </c>
      <c r="G50" s="79">
        <v>6.0245235709999996</v>
      </c>
      <c r="H50" s="27">
        <v>2.9909096000000001E-3</v>
      </c>
      <c r="I50" s="27">
        <v>154.15855110999999</v>
      </c>
      <c r="J50" s="27">
        <v>1.0158245845</v>
      </c>
      <c r="K50" s="27">
        <v>74.013294677999994</v>
      </c>
      <c r="L50" s="27">
        <v>0.4563587737</v>
      </c>
      <c r="M50" s="27">
        <v>21.736850547</v>
      </c>
      <c r="N50" s="27">
        <v>0.18169269299999999</v>
      </c>
      <c r="O50" s="80" t="s">
        <v>136</v>
      </c>
      <c r="P50" s="80">
        <v>0</v>
      </c>
      <c r="Q50" s="27">
        <v>27.328183403000001</v>
      </c>
      <c r="R50" s="27">
        <v>4.3029434499999998E-2</v>
      </c>
      <c r="S50" s="80" t="s">
        <v>136</v>
      </c>
      <c r="T50" s="80">
        <v>0</v>
      </c>
      <c r="U50" s="80" t="s">
        <v>136</v>
      </c>
      <c r="V50" s="80">
        <v>0</v>
      </c>
      <c r="W50" s="27">
        <v>0.56860330459999997</v>
      </c>
      <c r="X50" s="27">
        <v>5.7321943999999996E-3</v>
      </c>
      <c r="Y50" s="27">
        <v>28.222292349</v>
      </c>
      <c r="Z50" s="27">
        <v>0.62502668029999997</v>
      </c>
      <c r="AA50" s="80" t="s">
        <v>136</v>
      </c>
      <c r="AB50" s="80">
        <v>0</v>
      </c>
      <c r="AC50" s="27">
        <v>9.62932E-4</v>
      </c>
      <c r="AD50" s="27">
        <v>2.6699528000000002E-6</v>
      </c>
      <c r="AE50" s="80" t="s">
        <v>136</v>
      </c>
      <c r="AF50" s="80">
        <v>0</v>
      </c>
      <c r="AG50" s="80" t="s">
        <v>136</v>
      </c>
      <c r="AH50" s="80">
        <v>0</v>
      </c>
      <c r="AI50" s="27">
        <f t="shared" si="4"/>
        <v>9.62932E-4</v>
      </c>
      <c r="AJ50" s="27">
        <f t="shared" si="5"/>
        <v>2.6699528000000002E-6</v>
      </c>
      <c r="AK50" s="27">
        <v>118.88638476</v>
      </c>
      <c r="AL50" s="27">
        <v>1.6165564064</v>
      </c>
      <c r="AM50" s="80" t="s">
        <v>136</v>
      </c>
      <c r="AN50" s="80">
        <v>0</v>
      </c>
      <c r="AO50" s="80" t="s">
        <v>136</v>
      </c>
      <c r="AP50" s="80">
        <v>0</v>
      </c>
      <c r="AQ50" s="80" t="s">
        <v>136</v>
      </c>
      <c r="AR50" s="80">
        <v>0</v>
      </c>
      <c r="AS50" s="27">
        <v>70.617154541999994</v>
      </c>
      <c r="AT50" s="27">
        <v>2.5076687864</v>
      </c>
      <c r="AU50" s="27">
        <v>56.486570919000002</v>
      </c>
      <c r="AV50" s="27">
        <v>0.42687056550000002</v>
      </c>
      <c r="AW50" s="27">
        <v>27.331682475000001</v>
      </c>
      <c r="AX50" s="27">
        <v>0.27738591880000002</v>
      </c>
      <c r="AY50" s="27">
        <v>8.0544113667000001</v>
      </c>
      <c r="AZ50" s="27">
        <v>7.1569121099999994E-2</v>
      </c>
      <c r="BA50" s="80">
        <f t="shared" si="6"/>
        <v>21.100477077299999</v>
      </c>
      <c r="BB50" s="80">
        <f t="shared" si="7"/>
        <v>7.7915525600000035E-2</v>
      </c>
      <c r="BC50" s="27">
        <v>0</v>
      </c>
      <c r="BD50" s="80">
        <v>0</v>
      </c>
      <c r="BE50" s="27">
        <v>152.93198594</v>
      </c>
      <c r="BF50" s="27">
        <v>1.6380775714</v>
      </c>
      <c r="BG50" s="79">
        <v>5.9188866000000001E-3</v>
      </c>
      <c r="BH50" s="80">
        <v>0</v>
      </c>
      <c r="BI50" s="27">
        <v>127.44931189</v>
      </c>
      <c r="BJ50" s="27">
        <v>4.2645207163999999</v>
      </c>
      <c r="BK50" s="27">
        <v>167.94157059</v>
      </c>
      <c r="BL50" s="27">
        <v>1.2810938597999999</v>
      </c>
      <c r="BM50" s="27">
        <v>41.742658742000003</v>
      </c>
      <c r="BN50" s="27">
        <v>0.23307144420000001</v>
      </c>
      <c r="BO50" s="27">
        <v>0.1309502931</v>
      </c>
      <c r="BP50" s="27">
        <v>4.6744929999999998E-4</v>
      </c>
      <c r="BQ50" s="27">
        <v>0</v>
      </c>
      <c r="BR50" s="92">
        <v>0</v>
      </c>
      <c r="BS50" s="80" t="s">
        <v>136</v>
      </c>
      <c r="BT50" s="80">
        <v>0</v>
      </c>
      <c r="BU50" s="27">
        <v>0.372963398</v>
      </c>
      <c r="BV50" s="27">
        <v>4.4788045999999996E-3</v>
      </c>
      <c r="BW50" s="27">
        <v>21.363887149</v>
      </c>
      <c r="BX50" s="27">
        <v>0.17721388830000001</v>
      </c>
      <c r="BY50" s="80" t="s">
        <v>136</v>
      </c>
      <c r="BZ50" s="80">
        <v>0</v>
      </c>
      <c r="CA50" s="80" t="s">
        <v>136</v>
      </c>
      <c r="CB50" s="80">
        <v>0</v>
      </c>
      <c r="CC50" s="27">
        <v>12.237859726</v>
      </c>
      <c r="CD50" s="27">
        <v>1.03544951E-2</v>
      </c>
      <c r="CE50" s="27">
        <v>15.090323678000001</v>
      </c>
      <c r="CF50" s="27">
        <v>3.2674939399999998E-2</v>
      </c>
      <c r="CG50" s="80" t="s">
        <v>136</v>
      </c>
      <c r="CH50" s="80">
        <v>0</v>
      </c>
      <c r="CI50" s="80" t="s">
        <v>136</v>
      </c>
      <c r="CJ50" s="80">
        <v>0</v>
      </c>
      <c r="CK50" s="80" t="s">
        <v>136</v>
      </c>
      <c r="CL50" s="80">
        <v>0</v>
      </c>
      <c r="CM50" s="80" t="s">
        <v>136</v>
      </c>
      <c r="CN50" s="80">
        <v>0</v>
      </c>
      <c r="CO50" s="27">
        <v>9.5298281600000007E-2</v>
      </c>
      <c r="CP50" s="27">
        <v>9.6564860000000004E-4</v>
      </c>
      <c r="CQ50" s="27">
        <v>0.47330502299999999</v>
      </c>
      <c r="CR50" s="27">
        <v>4.7665457999999999E-3</v>
      </c>
      <c r="CS50" s="27">
        <v>2.2751788020000001</v>
      </c>
      <c r="CT50" s="27">
        <v>2.2878299000000001E-2</v>
      </c>
      <c r="CU50" s="27">
        <v>25.947113547000001</v>
      </c>
      <c r="CV50" s="27">
        <v>0.60214838130000004</v>
      </c>
      <c r="CW50" s="80" t="s">
        <v>136</v>
      </c>
      <c r="CX50" s="80">
        <v>0</v>
      </c>
      <c r="CY50" s="80" t="s">
        <v>136</v>
      </c>
      <c r="CZ50" s="80">
        <v>0</v>
      </c>
      <c r="DA50" s="27">
        <v>17.257275814</v>
      </c>
      <c r="DB50" s="27">
        <v>0.2318668461</v>
      </c>
      <c r="DC50" s="27">
        <v>53.359878727999998</v>
      </c>
      <c r="DD50" s="27">
        <v>2.2758019403</v>
      </c>
      <c r="DE50" s="27">
        <v>24.717983341</v>
      </c>
      <c r="DF50" s="27">
        <v>0.4896620954</v>
      </c>
      <c r="DG50" s="27">
        <v>128.21400259999999</v>
      </c>
      <c r="DH50" s="92">
        <v>1.148415476</v>
      </c>
      <c r="DI50" s="95">
        <v>2.9685843999999999E-3</v>
      </c>
      <c r="DJ50" s="96">
        <v>5.1754538999999999E-3</v>
      </c>
      <c r="DK50" s="96">
        <v>5.7359689999999996E-3</v>
      </c>
      <c r="DL50" s="96">
        <v>5.8243688000000002E-3</v>
      </c>
      <c r="DM50" s="96">
        <v>5.8413694E-3</v>
      </c>
      <c r="DN50" s="96">
        <v>5.8555619999999999E-3</v>
      </c>
      <c r="DO50" s="96">
        <v>5.8641389000000004E-3</v>
      </c>
      <c r="DP50" s="96">
        <v>5.8700458000000002E-3</v>
      </c>
      <c r="DQ50" s="96">
        <v>5.8759525999999996E-3</v>
      </c>
      <c r="DR50" s="97">
        <v>5.8818595000000003E-3</v>
      </c>
      <c r="DS50" s="93">
        <v>76.364386151999994</v>
      </c>
      <c r="DT50" s="80">
        <v>0.53351267820000003</v>
      </c>
      <c r="DU50" s="80">
        <v>37.546587711999997</v>
      </c>
      <c r="DV50" s="80">
        <v>0.2735926367</v>
      </c>
      <c r="DW50" s="80">
        <v>18.588845829</v>
      </c>
      <c r="DX50" s="80">
        <v>0.1410047697</v>
      </c>
      <c r="DY50" s="80">
        <v>9.3390601060999998</v>
      </c>
      <c r="DZ50" s="80">
        <v>7.4417959000000006E-2</v>
      </c>
      <c r="EA50" s="80">
        <v>4.8265697653000004</v>
      </c>
      <c r="EB50" s="80">
        <v>4.1050728199999997E-2</v>
      </c>
      <c r="EC50" s="80">
        <v>2.6179164613000001</v>
      </c>
      <c r="ED50" s="80">
        <v>2.4266728000000001E-2</v>
      </c>
      <c r="EE50" s="80">
        <v>1.4933295966</v>
      </c>
      <c r="EF50" s="80">
        <v>1.54375652E-2</v>
      </c>
      <c r="EG50" s="80">
        <v>0.90283563710000003</v>
      </c>
      <c r="EH50" s="80">
        <v>1.05328656E-2</v>
      </c>
      <c r="EI50" s="80">
        <v>0.57036482749999995</v>
      </c>
      <c r="EJ50" s="80">
        <v>7.6151832000000003E-3</v>
      </c>
      <c r="EK50" s="80">
        <v>0.3800951716</v>
      </c>
      <c r="EL50" s="94">
        <v>5.8192716000000002E-3</v>
      </c>
    </row>
    <row r="51" spans="1:142" x14ac:dyDescent="0.2">
      <c r="A51" s="79">
        <v>4600</v>
      </c>
      <c r="B51" s="27">
        <v>1203</v>
      </c>
      <c r="C51" s="79">
        <v>1966.4610774</v>
      </c>
      <c r="D51" s="27">
        <v>4549.8322399999997</v>
      </c>
      <c r="E51" s="27">
        <v>74.014987867000002</v>
      </c>
      <c r="F51" s="27">
        <v>6.8165601000000006E-2</v>
      </c>
      <c r="G51" s="79">
        <v>6.3167064359999996</v>
      </c>
      <c r="H51" s="27">
        <v>3.0939155000000002E-3</v>
      </c>
      <c r="I51" s="27">
        <v>154.93627205000001</v>
      </c>
      <c r="J51" s="27">
        <v>1.0207766806</v>
      </c>
      <c r="K51" s="27">
        <v>74.708279528999995</v>
      </c>
      <c r="L51" s="27">
        <v>0.46043596599999997</v>
      </c>
      <c r="M51" s="27">
        <v>22.091425417</v>
      </c>
      <c r="N51" s="27">
        <v>0.18446374460000001</v>
      </c>
      <c r="O51" s="80" t="s">
        <v>136</v>
      </c>
      <c r="P51" s="80">
        <v>0</v>
      </c>
      <c r="Q51" s="27">
        <v>28.414025359</v>
      </c>
      <c r="R51" s="27">
        <v>4.4436874100000003E-2</v>
      </c>
      <c r="S51" s="80" t="s">
        <v>136</v>
      </c>
      <c r="T51" s="80">
        <v>0</v>
      </c>
      <c r="U51" s="80" t="s">
        <v>136</v>
      </c>
      <c r="V51" s="80">
        <v>0</v>
      </c>
      <c r="W51" s="27">
        <v>0.60262270409999996</v>
      </c>
      <c r="X51" s="27">
        <v>6.0821557000000004E-3</v>
      </c>
      <c r="Y51" s="27">
        <v>28.662602917000001</v>
      </c>
      <c r="Z51" s="27">
        <v>0.63414084510000002</v>
      </c>
      <c r="AA51" s="80" t="s">
        <v>136</v>
      </c>
      <c r="AB51" s="80">
        <v>0</v>
      </c>
      <c r="AC51" s="27">
        <v>9.5860070000000001E-4</v>
      </c>
      <c r="AD51" s="27">
        <v>2.6579432E-6</v>
      </c>
      <c r="AE51" s="80" t="s">
        <v>136</v>
      </c>
      <c r="AF51" s="80">
        <v>0</v>
      </c>
      <c r="AG51" s="80" t="s">
        <v>136</v>
      </c>
      <c r="AH51" s="80">
        <v>0</v>
      </c>
      <c r="AI51" s="27">
        <f t="shared" si="4"/>
        <v>9.5860070000000001E-4</v>
      </c>
      <c r="AJ51" s="27">
        <f t="shared" si="5"/>
        <v>2.6579432E-6</v>
      </c>
      <c r="AK51" s="27">
        <v>120.07556501000001</v>
      </c>
      <c r="AL51" s="27">
        <v>1.6256176242</v>
      </c>
      <c r="AM51" s="80" t="s">
        <v>136</v>
      </c>
      <c r="AN51" s="80">
        <v>0</v>
      </c>
      <c r="AO51" s="80" t="s">
        <v>136</v>
      </c>
      <c r="AP51" s="80">
        <v>0</v>
      </c>
      <c r="AQ51" s="80" t="s">
        <v>136</v>
      </c>
      <c r="AR51" s="80">
        <v>0</v>
      </c>
      <c r="AS51" s="27">
        <v>71.524208178999999</v>
      </c>
      <c r="AT51" s="27">
        <v>2.528006296</v>
      </c>
      <c r="AU51" s="27">
        <v>57.371436160999998</v>
      </c>
      <c r="AV51" s="27">
        <v>0.43157273740000002</v>
      </c>
      <c r="AW51" s="27">
        <v>27.753918031000001</v>
      </c>
      <c r="AX51" s="27">
        <v>0.28053704480000002</v>
      </c>
      <c r="AY51" s="27">
        <v>8.1380693475000001</v>
      </c>
      <c r="AZ51" s="27">
        <v>7.2153350599999999E-2</v>
      </c>
      <c r="BA51" s="80">
        <f t="shared" si="6"/>
        <v>21.479448782499993</v>
      </c>
      <c r="BB51" s="80">
        <f t="shared" si="7"/>
        <v>7.8882341999999994E-2</v>
      </c>
      <c r="BC51" s="27">
        <v>0</v>
      </c>
      <c r="BD51" s="80">
        <v>0</v>
      </c>
      <c r="BE51" s="27">
        <v>155.94885567</v>
      </c>
      <c r="BF51" s="27">
        <v>1.6562672581</v>
      </c>
      <c r="BG51" s="79">
        <v>6.1592308999999998E-3</v>
      </c>
      <c r="BH51" s="80">
        <v>0</v>
      </c>
      <c r="BI51" s="27">
        <v>128.56533815</v>
      </c>
      <c r="BJ51" s="27">
        <v>4.2881813983999999</v>
      </c>
      <c r="BK51" s="27">
        <v>171.53324914999999</v>
      </c>
      <c r="BL51" s="27">
        <v>1.3050903597000001</v>
      </c>
      <c r="BM51" s="27">
        <v>42.492995387999997</v>
      </c>
      <c r="BN51" s="27">
        <v>0.23617110359999999</v>
      </c>
      <c r="BO51" s="27">
        <v>0.13084382959999999</v>
      </c>
      <c r="BP51" s="27">
        <v>4.6931339999999998E-4</v>
      </c>
      <c r="BQ51" s="27">
        <v>0</v>
      </c>
      <c r="BR51" s="92">
        <v>0</v>
      </c>
      <c r="BS51" s="80" t="s">
        <v>136</v>
      </c>
      <c r="BT51" s="80">
        <v>0</v>
      </c>
      <c r="BU51" s="27">
        <v>0.37540141640000002</v>
      </c>
      <c r="BV51" s="27">
        <v>4.4909468000000003E-3</v>
      </c>
      <c r="BW51" s="27">
        <v>21.716024001000001</v>
      </c>
      <c r="BX51" s="27">
        <v>0.1799727978</v>
      </c>
      <c r="BY51" s="80" t="s">
        <v>136</v>
      </c>
      <c r="BZ51" s="80">
        <v>0</v>
      </c>
      <c r="CA51" s="80" t="s">
        <v>136</v>
      </c>
      <c r="CB51" s="80">
        <v>0</v>
      </c>
      <c r="CC51" s="27">
        <v>12.842869762999999</v>
      </c>
      <c r="CD51" s="27">
        <v>1.0769375899999999E-2</v>
      </c>
      <c r="CE51" s="27">
        <v>15.571155596000001</v>
      </c>
      <c r="CF51" s="27">
        <v>3.3667498099999998E-2</v>
      </c>
      <c r="CG51" s="80" t="s">
        <v>136</v>
      </c>
      <c r="CH51" s="80">
        <v>0</v>
      </c>
      <c r="CI51" s="80" t="s">
        <v>136</v>
      </c>
      <c r="CJ51" s="80">
        <v>0</v>
      </c>
      <c r="CK51" s="80" t="s">
        <v>136</v>
      </c>
      <c r="CL51" s="80">
        <v>0</v>
      </c>
      <c r="CM51" s="80" t="s">
        <v>136</v>
      </c>
      <c r="CN51" s="80">
        <v>0</v>
      </c>
      <c r="CO51" s="27">
        <v>0.1018444517</v>
      </c>
      <c r="CP51" s="27">
        <v>1.0428594000000001E-3</v>
      </c>
      <c r="CQ51" s="27">
        <v>0.50077825239999996</v>
      </c>
      <c r="CR51" s="27">
        <v>5.0392963000000001E-3</v>
      </c>
      <c r="CS51" s="27">
        <v>2.346283304</v>
      </c>
      <c r="CT51" s="27">
        <v>2.3714512699999999E-2</v>
      </c>
      <c r="CU51" s="27">
        <v>26.316319613000001</v>
      </c>
      <c r="CV51" s="27">
        <v>0.61042633239999999</v>
      </c>
      <c r="CW51" s="80" t="s">
        <v>136</v>
      </c>
      <c r="CX51" s="80">
        <v>0</v>
      </c>
      <c r="CY51" s="80" t="s">
        <v>136</v>
      </c>
      <c r="CZ51" s="80">
        <v>0</v>
      </c>
      <c r="DA51" s="27">
        <v>17.520886847</v>
      </c>
      <c r="DB51" s="27">
        <v>0.23517917769999999</v>
      </c>
      <c r="DC51" s="27">
        <v>54.003321331999999</v>
      </c>
      <c r="DD51" s="27">
        <v>2.2928271183</v>
      </c>
      <c r="DE51" s="27">
        <v>25.744297822</v>
      </c>
      <c r="DF51" s="27">
        <v>0.49783420379999999</v>
      </c>
      <c r="DG51" s="27">
        <v>130.20455784000001</v>
      </c>
      <c r="DH51" s="92">
        <v>1.1584330544000001</v>
      </c>
      <c r="DI51" s="95">
        <v>3.0717102000000001E-3</v>
      </c>
      <c r="DJ51" s="96">
        <v>5.3703071999999996E-3</v>
      </c>
      <c r="DK51" s="96">
        <v>5.9632697E-3</v>
      </c>
      <c r="DL51" s="96">
        <v>6.0651402999999998E-3</v>
      </c>
      <c r="DM51" s="96">
        <v>6.0820592E-3</v>
      </c>
      <c r="DN51" s="96">
        <v>6.0961855999999998E-3</v>
      </c>
      <c r="DO51" s="96">
        <v>6.1047269999999999E-3</v>
      </c>
      <c r="DP51" s="96">
        <v>6.1106105000000004E-3</v>
      </c>
      <c r="DQ51" s="96">
        <v>6.1164938999999996E-3</v>
      </c>
      <c r="DR51" s="97">
        <v>6.1223774000000002E-3</v>
      </c>
      <c r="DS51" s="93">
        <v>76.949435037000001</v>
      </c>
      <c r="DT51" s="80">
        <v>0.5374111694</v>
      </c>
      <c r="DU51" s="80">
        <v>37.940164348000003</v>
      </c>
      <c r="DV51" s="80">
        <v>0.27631376800000002</v>
      </c>
      <c r="DW51" s="80">
        <v>18.838136033000001</v>
      </c>
      <c r="DX51" s="80">
        <v>0.14277456259999999</v>
      </c>
      <c r="DY51" s="80">
        <v>9.4944559208000001</v>
      </c>
      <c r="DZ51" s="80">
        <v>7.5558070699999993E-2</v>
      </c>
      <c r="EA51" s="80">
        <v>4.9250228374000002</v>
      </c>
      <c r="EB51" s="80">
        <v>4.1803469500000003E-2</v>
      </c>
      <c r="EC51" s="80">
        <v>2.6746449348999999</v>
      </c>
      <c r="ED51" s="80">
        <v>2.4739665899999999E-2</v>
      </c>
      <c r="EE51" s="80">
        <v>1.5285883109</v>
      </c>
      <c r="EF51" s="80">
        <v>1.57636437E-2</v>
      </c>
      <c r="EG51" s="80">
        <v>0.92585256569999996</v>
      </c>
      <c r="EH51" s="80">
        <v>1.07690822E-2</v>
      </c>
      <c r="EI51" s="80">
        <v>0.58313740189999996</v>
      </c>
      <c r="EJ51" s="80">
        <v>7.7691651999999998E-3</v>
      </c>
      <c r="EK51" s="80">
        <v>0.38751966049999997</v>
      </c>
      <c r="EL51" s="94">
        <v>5.9218474999999998E-3</v>
      </c>
    </row>
    <row r="52" spans="1:142" x14ac:dyDescent="0.2">
      <c r="A52" s="79">
        <v>4700</v>
      </c>
      <c r="B52" s="27">
        <v>1204</v>
      </c>
      <c r="C52" s="79">
        <v>1990.8248881</v>
      </c>
      <c r="D52" s="27">
        <v>4650.2216734000003</v>
      </c>
      <c r="E52" s="27">
        <v>75.813953702999996</v>
      </c>
      <c r="F52" s="27">
        <v>6.9152436100000006E-2</v>
      </c>
      <c r="G52" s="79">
        <v>6.5932395419000001</v>
      </c>
      <c r="H52" s="27">
        <v>3.2114820999999999E-3</v>
      </c>
      <c r="I52" s="27">
        <v>155.68978655999999</v>
      </c>
      <c r="J52" s="27">
        <v>1.0261719842999999</v>
      </c>
      <c r="K52" s="27">
        <v>75.528959056999994</v>
      </c>
      <c r="L52" s="27">
        <v>0.46486764279999998</v>
      </c>
      <c r="M52" s="27">
        <v>22.535111314000002</v>
      </c>
      <c r="N52" s="27">
        <v>0.18764487569999999</v>
      </c>
      <c r="O52" s="80" t="s">
        <v>136</v>
      </c>
      <c r="P52" s="80">
        <v>0</v>
      </c>
      <c r="Q52" s="27">
        <v>29.429720705000001</v>
      </c>
      <c r="R52" s="27">
        <v>4.5720192100000001E-2</v>
      </c>
      <c r="S52" s="80" t="s">
        <v>136</v>
      </c>
      <c r="T52" s="80">
        <v>0</v>
      </c>
      <c r="U52" s="80" t="s">
        <v>136</v>
      </c>
      <c r="V52" s="80">
        <v>0</v>
      </c>
      <c r="W52" s="27">
        <v>0.62623873770000005</v>
      </c>
      <c r="X52" s="27">
        <v>6.2931306999999999E-3</v>
      </c>
      <c r="Y52" s="27">
        <v>29.239682551000001</v>
      </c>
      <c r="Z52" s="27">
        <v>0.64447817230000004</v>
      </c>
      <c r="AA52" s="80" t="s">
        <v>136</v>
      </c>
      <c r="AB52" s="80">
        <v>0</v>
      </c>
      <c r="AC52" s="27">
        <v>9.5459959999999997E-4</v>
      </c>
      <c r="AD52" s="27">
        <v>2.6468492E-6</v>
      </c>
      <c r="AE52" s="80" t="s">
        <v>136</v>
      </c>
      <c r="AF52" s="80">
        <v>0</v>
      </c>
      <c r="AG52" s="80" t="s">
        <v>136</v>
      </c>
      <c r="AH52" s="80">
        <v>0</v>
      </c>
      <c r="AI52" s="27">
        <f t="shared" si="4"/>
        <v>9.5459959999999997E-4</v>
      </c>
      <c r="AJ52" s="27">
        <f t="shared" si="5"/>
        <v>2.6468492E-6</v>
      </c>
      <c r="AK52" s="27">
        <v>121.26919094</v>
      </c>
      <c r="AL52" s="27">
        <v>1.6340698923000001</v>
      </c>
      <c r="AM52" s="80" t="s">
        <v>136</v>
      </c>
      <c r="AN52" s="80">
        <v>0</v>
      </c>
      <c r="AO52" s="80" t="s">
        <v>136</v>
      </c>
      <c r="AP52" s="80">
        <v>0</v>
      </c>
      <c r="AQ52" s="80" t="s">
        <v>136</v>
      </c>
      <c r="AR52" s="80">
        <v>0</v>
      </c>
      <c r="AS52" s="27">
        <v>72.380869738000001</v>
      </c>
      <c r="AT52" s="27">
        <v>2.5463291718000001</v>
      </c>
      <c r="AU52" s="27">
        <v>58.160843086</v>
      </c>
      <c r="AV52" s="27">
        <v>0.43581922099999998</v>
      </c>
      <c r="AW52" s="27">
        <v>28.113366024000001</v>
      </c>
      <c r="AX52" s="27">
        <v>0.28339574470000001</v>
      </c>
      <c r="AY52" s="27">
        <v>8.1879208833000003</v>
      </c>
      <c r="AZ52" s="27">
        <v>7.2618433900000001E-2</v>
      </c>
      <c r="BA52" s="80">
        <f t="shared" si="6"/>
        <v>21.859556178699997</v>
      </c>
      <c r="BB52" s="80">
        <f t="shared" si="7"/>
        <v>7.980504239999997E-2</v>
      </c>
      <c r="BC52" s="27">
        <v>0</v>
      </c>
      <c r="BD52" s="80">
        <v>0</v>
      </c>
      <c r="BE52" s="27">
        <v>158.86191982</v>
      </c>
      <c r="BF52" s="27">
        <v>1.672611842</v>
      </c>
      <c r="BG52" s="79">
        <v>6.3866115000000001E-3</v>
      </c>
      <c r="BH52" s="80">
        <v>0</v>
      </c>
      <c r="BI52" s="27">
        <v>129.62339655</v>
      </c>
      <c r="BJ52" s="27">
        <v>4.3122742844999999</v>
      </c>
      <c r="BK52" s="27">
        <v>175.50148078000001</v>
      </c>
      <c r="BL52" s="27">
        <v>1.3322201729000001</v>
      </c>
      <c r="BM52" s="27">
        <v>43.13013213</v>
      </c>
      <c r="BN52" s="27">
        <v>0.23892914439999999</v>
      </c>
      <c r="BO52" s="27">
        <v>0.14338665950000001</v>
      </c>
      <c r="BP52" s="27">
        <v>4.765007E-4</v>
      </c>
      <c r="BQ52" s="27">
        <v>0</v>
      </c>
      <c r="BR52" s="92">
        <v>0</v>
      </c>
      <c r="BS52" s="80" t="s">
        <v>136</v>
      </c>
      <c r="BT52" s="80">
        <v>0</v>
      </c>
      <c r="BU52" s="27">
        <v>0.39763882709999998</v>
      </c>
      <c r="BV52" s="27">
        <v>4.5302459000000003E-3</v>
      </c>
      <c r="BW52" s="27">
        <v>22.137472487</v>
      </c>
      <c r="BX52" s="27">
        <v>0.18311462980000001</v>
      </c>
      <c r="BY52" s="80" t="s">
        <v>136</v>
      </c>
      <c r="BZ52" s="80">
        <v>0</v>
      </c>
      <c r="CA52" s="80" t="s">
        <v>136</v>
      </c>
      <c r="CB52" s="80">
        <v>0</v>
      </c>
      <c r="CC52" s="27">
        <v>13.41342167</v>
      </c>
      <c r="CD52" s="27">
        <v>1.11552291E-2</v>
      </c>
      <c r="CE52" s="27">
        <v>16.016299034999999</v>
      </c>
      <c r="CF52" s="27">
        <v>3.4564962999999997E-2</v>
      </c>
      <c r="CG52" s="80" t="s">
        <v>136</v>
      </c>
      <c r="CH52" s="80">
        <v>0</v>
      </c>
      <c r="CI52" s="80" t="s">
        <v>136</v>
      </c>
      <c r="CJ52" s="80">
        <v>0</v>
      </c>
      <c r="CK52" s="80" t="s">
        <v>136</v>
      </c>
      <c r="CL52" s="80">
        <v>0</v>
      </c>
      <c r="CM52" s="80" t="s">
        <v>136</v>
      </c>
      <c r="CN52" s="80">
        <v>0</v>
      </c>
      <c r="CO52" s="27">
        <v>0.11494383800000001</v>
      </c>
      <c r="CP52" s="27">
        <v>1.1761014000000001E-3</v>
      </c>
      <c r="CQ52" s="27">
        <v>0.51129489969999997</v>
      </c>
      <c r="CR52" s="27">
        <v>5.1170293E-3</v>
      </c>
      <c r="CS52" s="27">
        <v>2.4386571831000001</v>
      </c>
      <c r="CT52" s="27">
        <v>2.4350305400000001E-2</v>
      </c>
      <c r="CU52" s="27">
        <v>26.801025368000001</v>
      </c>
      <c r="CV52" s="27">
        <v>0.62012786679999998</v>
      </c>
      <c r="CW52" s="80" t="s">
        <v>136</v>
      </c>
      <c r="CX52" s="80">
        <v>0</v>
      </c>
      <c r="CY52" s="80" t="s">
        <v>136</v>
      </c>
      <c r="CZ52" s="80">
        <v>0</v>
      </c>
      <c r="DA52" s="27">
        <v>17.783483546999999</v>
      </c>
      <c r="DB52" s="27">
        <v>0.23819223370000001</v>
      </c>
      <c r="DC52" s="27">
        <v>54.597386190999998</v>
      </c>
      <c r="DD52" s="27">
        <v>2.3081369381000001</v>
      </c>
      <c r="DE52" s="27">
        <v>26.607924841999999</v>
      </c>
      <c r="DF52" s="27">
        <v>0.5043743342</v>
      </c>
      <c r="DG52" s="27">
        <v>132.25399497999999</v>
      </c>
      <c r="DH52" s="92">
        <v>1.1682375078</v>
      </c>
      <c r="DI52" s="95">
        <v>3.1814447000000001E-3</v>
      </c>
      <c r="DJ52" s="96">
        <v>5.5499824000000003E-3</v>
      </c>
      <c r="DK52" s="96">
        <v>6.1700786999999997E-3</v>
      </c>
      <c r="DL52" s="96">
        <v>6.2795790000000004E-3</v>
      </c>
      <c r="DM52" s="96">
        <v>6.3018464999999996E-3</v>
      </c>
      <c r="DN52" s="96">
        <v>6.3185569000000002E-3</v>
      </c>
      <c r="DO52" s="96">
        <v>6.3297101000000001E-3</v>
      </c>
      <c r="DP52" s="96">
        <v>6.3382164E-3</v>
      </c>
      <c r="DQ52" s="96">
        <v>6.3440759000000001E-3</v>
      </c>
      <c r="DR52" s="97">
        <v>6.3499354000000003E-3</v>
      </c>
      <c r="DS52" s="93">
        <v>77.559981106999999</v>
      </c>
      <c r="DT52" s="80">
        <v>0.5418561476</v>
      </c>
      <c r="DU52" s="80">
        <v>38.374058765000001</v>
      </c>
      <c r="DV52" s="80">
        <v>0.27958702169999999</v>
      </c>
      <c r="DW52" s="80">
        <v>19.135677229999999</v>
      </c>
      <c r="DX52" s="80">
        <v>0.1450992096</v>
      </c>
      <c r="DY52" s="80">
        <v>9.6851575350000001</v>
      </c>
      <c r="DZ52" s="80">
        <v>7.7129600699999995E-2</v>
      </c>
      <c r="EA52" s="80">
        <v>5.0524523180000003</v>
      </c>
      <c r="EB52" s="80">
        <v>4.2906250100000001E-2</v>
      </c>
      <c r="EC52" s="80">
        <v>2.7655984391000001</v>
      </c>
      <c r="ED52" s="80">
        <v>2.5558949099999999E-2</v>
      </c>
      <c r="EE52" s="80">
        <v>1.5940981753000001</v>
      </c>
      <c r="EF52" s="80">
        <v>1.6385231600000001E-2</v>
      </c>
      <c r="EG52" s="80">
        <v>0.97505878430000004</v>
      </c>
      <c r="EH52" s="80">
        <v>1.12638709E-2</v>
      </c>
      <c r="EI52" s="80">
        <v>0.62070307049999995</v>
      </c>
      <c r="EJ52" s="80">
        <v>8.1647753999999993E-3</v>
      </c>
      <c r="EK52" s="80">
        <v>0.41576626459999999</v>
      </c>
      <c r="EL52" s="94">
        <v>6.2384334E-3</v>
      </c>
    </row>
    <row r="53" spans="1:142" x14ac:dyDescent="0.2">
      <c r="A53" s="79">
        <v>4800</v>
      </c>
      <c r="B53" s="27">
        <v>1138</v>
      </c>
      <c r="C53" s="79">
        <v>2014.6630858999999</v>
      </c>
      <c r="D53" s="27">
        <v>4750.8114686999998</v>
      </c>
      <c r="E53" s="27">
        <v>77.429496444999998</v>
      </c>
      <c r="F53" s="27">
        <v>6.9948637199999997E-2</v>
      </c>
      <c r="G53" s="79">
        <v>6.8634814943000002</v>
      </c>
      <c r="H53" s="27">
        <v>3.3206625E-3</v>
      </c>
      <c r="I53" s="27">
        <v>156.53270914000001</v>
      </c>
      <c r="J53" s="27">
        <v>1.0322117018000001</v>
      </c>
      <c r="K53" s="27">
        <v>76.296790238</v>
      </c>
      <c r="L53" s="27">
        <v>0.4698899681</v>
      </c>
      <c r="M53" s="27">
        <v>23.021306238000001</v>
      </c>
      <c r="N53" s="27">
        <v>0.191300521</v>
      </c>
      <c r="O53" s="80" t="s">
        <v>136</v>
      </c>
      <c r="P53" s="80">
        <v>0</v>
      </c>
      <c r="Q53" s="27">
        <v>30.361859662000001</v>
      </c>
      <c r="R53" s="27">
        <v>4.7048546199999999E-2</v>
      </c>
      <c r="S53" s="80" t="s">
        <v>136</v>
      </c>
      <c r="T53" s="80">
        <v>0</v>
      </c>
      <c r="U53" s="80" t="s">
        <v>136</v>
      </c>
      <c r="V53" s="80">
        <v>0</v>
      </c>
      <c r="W53" s="27">
        <v>0.64573962299999998</v>
      </c>
      <c r="X53" s="27">
        <v>6.4426891999999998E-3</v>
      </c>
      <c r="Y53" s="27">
        <v>29.891525439999999</v>
      </c>
      <c r="Z53" s="27">
        <v>0.65674968739999995</v>
      </c>
      <c r="AA53" s="80" t="s">
        <v>136</v>
      </c>
      <c r="AB53" s="80">
        <v>0</v>
      </c>
      <c r="AC53" s="27">
        <v>9.5101739999999999E-4</v>
      </c>
      <c r="AD53" s="27">
        <v>2.6369168000000001E-6</v>
      </c>
      <c r="AE53" s="80" t="s">
        <v>136</v>
      </c>
      <c r="AF53" s="80">
        <v>0</v>
      </c>
      <c r="AG53" s="80" t="s">
        <v>136</v>
      </c>
      <c r="AH53" s="80">
        <v>0</v>
      </c>
      <c r="AI53" s="27">
        <f t="shared" si="4"/>
        <v>9.5101739999999999E-4</v>
      </c>
      <c r="AJ53" s="27">
        <f t="shared" si="5"/>
        <v>2.6369168000000001E-6</v>
      </c>
      <c r="AK53" s="27">
        <v>122.34497906999999</v>
      </c>
      <c r="AL53" s="27">
        <v>1.6422813666</v>
      </c>
      <c r="AM53" s="80" t="s">
        <v>136</v>
      </c>
      <c r="AN53" s="80">
        <v>0</v>
      </c>
      <c r="AO53" s="80" t="s">
        <v>136</v>
      </c>
      <c r="AP53" s="80">
        <v>0</v>
      </c>
      <c r="AQ53" s="80" t="s">
        <v>136</v>
      </c>
      <c r="AR53" s="80">
        <v>0</v>
      </c>
      <c r="AS53" s="27">
        <v>73.140125560000001</v>
      </c>
      <c r="AT53" s="27">
        <v>2.5651161682999999</v>
      </c>
      <c r="AU53" s="27">
        <v>58.964176090999999</v>
      </c>
      <c r="AV53" s="27">
        <v>0.44066682219999997</v>
      </c>
      <c r="AW53" s="27">
        <v>28.505431171000001</v>
      </c>
      <c r="AX53" s="27">
        <v>0.2865766005</v>
      </c>
      <c r="AY53" s="27">
        <v>8.2917414566000005</v>
      </c>
      <c r="AZ53" s="27">
        <v>7.3358250700000002E-2</v>
      </c>
      <c r="BA53" s="80">
        <f t="shared" si="6"/>
        <v>22.167003463399993</v>
      </c>
      <c r="BB53" s="80">
        <f t="shared" si="7"/>
        <v>8.0731970999999958E-2</v>
      </c>
      <c r="BC53" s="27">
        <v>0</v>
      </c>
      <c r="BD53" s="80">
        <v>0</v>
      </c>
      <c r="BE53" s="27">
        <v>161.62660185999999</v>
      </c>
      <c r="BF53" s="27">
        <v>1.6908880185999999</v>
      </c>
      <c r="BG53" s="79">
        <v>6.6087022999999998E-3</v>
      </c>
      <c r="BH53" s="80">
        <v>0</v>
      </c>
      <c r="BI53" s="27">
        <v>130.63601972000001</v>
      </c>
      <c r="BJ53" s="27">
        <v>4.3363742212999998</v>
      </c>
      <c r="BK53" s="27">
        <v>179.49658475000001</v>
      </c>
      <c r="BL53" s="27">
        <v>1.3605469241999999</v>
      </c>
      <c r="BM53" s="27">
        <v>43.746231018000003</v>
      </c>
      <c r="BN53" s="27">
        <v>0.24177023559999999</v>
      </c>
      <c r="BO53" s="27">
        <v>0.1426734345</v>
      </c>
      <c r="BP53" s="27">
        <v>4.7357980000000002E-4</v>
      </c>
      <c r="BQ53" s="27">
        <v>0</v>
      </c>
      <c r="BR53" s="92">
        <v>0</v>
      </c>
      <c r="BS53" s="80" t="s">
        <v>136</v>
      </c>
      <c r="BT53" s="80">
        <v>0</v>
      </c>
      <c r="BU53" s="27">
        <v>0.41646984339999998</v>
      </c>
      <c r="BV53" s="27">
        <v>4.6963711E-3</v>
      </c>
      <c r="BW53" s="27">
        <v>22.604836395</v>
      </c>
      <c r="BX53" s="27">
        <v>0.18660414989999999</v>
      </c>
      <c r="BY53" s="80" t="s">
        <v>136</v>
      </c>
      <c r="BZ53" s="80">
        <v>0</v>
      </c>
      <c r="CA53" s="80" t="s">
        <v>136</v>
      </c>
      <c r="CB53" s="80">
        <v>0</v>
      </c>
      <c r="CC53" s="27">
        <v>13.965472989</v>
      </c>
      <c r="CD53" s="27">
        <v>1.1604813699999999E-2</v>
      </c>
      <c r="CE53" s="27">
        <v>16.396386672999999</v>
      </c>
      <c r="CF53" s="27">
        <v>3.5443732499999998E-2</v>
      </c>
      <c r="CG53" s="80" t="s">
        <v>136</v>
      </c>
      <c r="CH53" s="80">
        <v>0</v>
      </c>
      <c r="CI53" s="80" t="s">
        <v>136</v>
      </c>
      <c r="CJ53" s="80">
        <v>0</v>
      </c>
      <c r="CK53" s="80" t="s">
        <v>136</v>
      </c>
      <c r="CL53" s="80">
        <v>0</v>
      </c>
      <c r="CM53" s="80" t="s">
        <v>136</v>
      </c>
      <c r="CN53" s="80">
        <v>0</v>
      </c>
      <c r="CO53" s="27">
        <v>0.1145148849</v>
      </c>
      <c r="CP53" s="27">
        <v>1.1717932E-3</v>
      </c>
      <c r="CQ53" s="27">
        <v>0.53122473810000004</v>
      </c>
      <c r="CR53" s="27">
        <v>5.2708959999999997E-3</v>
      </c>
      <c r="CS53" s="27">
        <v>2.5190788144999998</v>
      </c>
      <c r="CT53" s="27">
        <v>2.5314908399999999E-2</v>
      </c>
      <c r="CU53" s="27">
        <v>27.372446625999999</v>
      </c>
      <c r="CV53" s="27">
        <v>0.63143477910000001</v>
      </c>
      <c r="CW53" s="80" t="s">
        <v>136</v>
      </c>
      <c r="CX53" s="80">
        <v>0</v>
      </c>
      <c r="CY53" s="80" t="s">
        <v>136</v>
      </c>
      <c r="CZ53" s="80">
        <v>0</v>
      </c>
      <c r="DA53" s="27">
        <v>17.984832793999999</v>
      </c>
      <c r="DB53" s="27">
        <v>0.24084811880000001</v>
      </c>
      <c r="DC53" s="27">
        <v>55.155292766000002</v>
      </c>
      <c r="DD53" s="27">
        <v>2.3242680495000001</v>
      </c>
      <c r="DE53" s="27">
        <v>27.394654031000002</v>
      </c>
      <c r="DF53" s="27">
        <v>0.51194057999999998</v>
      </c>
      <c r="DG53" s="27">
        <v>134.23194783</v>
      </c>
      <c r="DH53" s="92">
        <v>1.1789474386000001</v>
      </c>
      <c r="DI53" s="95">
        <v>3.2907427E-3</v>
      </c>
      <c r="DJ53" s="96">
        <v>5.7290288999999996E-3</v>
      </c>
      <c r="DK53" s="96">
        <v>6.3795702999999999E-3</v>
      </c>
      <c r="DL53" s="96">
        <v>6.5021070999999996E-3</v>
      </c>
      <c r="DM53" s="96">
        <v>6.5242876999999999E-3</v>
      </c>
      <c r="DN53" s="96">
        <v>6.5409333999999998E-3</v>
      </c>
      <c r="DO53" s="96">
        <v>6.5520442999999996E-3</v>
      </c>
      <c r="DP53" s="96">
        <v>6.5605181999999996E-3</v>
      </c>
      <c r="DQ53" s="96">
        <v>6.5663552000000004E-3</v>
      </c>
      <c r="DR53" s="97">
        <v>6.5721922000000002E-3</v>
      </c>
      <c r="DS53" s="93">
        <v>78.234516647000007</v>
      </c>
      <c r="DT53" s="80">
        <v>0.54677847069999996</v>
      </c>
      <c r="DU53" s="80">
        <v>38.86309104</v>
      </c>
      <c r="DV53" s="80">
        <v>0.28329382349999999</v>
      </c>
      <c r="DW53" s="80">
        <v>19.464119056000001</v>
      </c>
      <c r="DX53" s="80">
        <v>0.1477388412</v>
      </c>
      <c r="DY53" s="80">
        <v>9.8993222814999999</v>
      </c>
      <c r="DZ53" s="80">
        <v>7.8998891700000004E-2</v>
      </c>
      <c r="EA53" s="80">
        <v>5.1999405220000003</v>
      </c>
      <c r="EB53" s="80">
        <v>4.4302592500000001E-2</v>
      </c>
      <c r="EC53" s="80">
        <v>2.8696717236999998</v>
      </c>
      <c r="ED53" s="80">
        <v>2.6639639499999999E-2</v>
      </c>
      <c r="EE53" s="80">
        <v>1.6714976675</v>
      </c>
      <c r="EF53" s="80">
        <v>1.7265096399999999E-2</v>
      </c>
      <c r="EG53" s="80">
        <v>1.0317010988999999</v>
      </c>
      <c r="EH53" s="80">
        <v>1.1985543600000001E-2</v>
      </c>
      <c r="EI53" s="80">
        <v>0.66395323709999998</v>
      </c>
      <c r="EJ53" s="80">
        <v>8.7788299E-3</v>
      </c>
      <c r="EK53" s="80">
        <v>0.45188699539999999</v>
      </c>
      <c r="EL53" s="94">
        <v>6.7856475999999999E-3</v>
      </c>
    </row>
    <row r="54" spans="1:142" x14ac:dyDescent="0.2">
      <c r="A54" s="79">
        <v>4900</v>
      </c>
      <c r="B54" s="27">
        <v>1086</v>
      </c>
      <c r="C54" s="79">
        <v>2037.9267797</v>
      </c>
      <c r="D54" s="27">
        <v>4850.3349803000001</v>
      </c>
      <c r="E54" s="27">
        <v>78.791169146000001</v>
      </c>
      <c r="F54" s="27">
        <v>7.0554381700000002E-2</v>
      </c>
      <c r="G54" s="79">
        <v>7.0505991676999997</v>
      </c>
      <c r="H54" s="27">
        <v>3.3952385999999998E-3</v>
      </c>
      <c r="I54" s="27">
        <v>157.23635720999999</v>
      </c>
      <c r="J54" s="27">
        <v>1.0368734451999999</v>
      </c>
      <c r="K54" s="27">
        <v>77.133916459000005</v>
      </c>
      <c r="L54" s="27">
        <v>0.4755213231</v>
      </c>
      <c r="M54" s="27">
        <v>23.409529492000001</v>
      </c>
      <c r="N54" s="27">
        <v>0.1941790913</v>
      </c>
      <c r="O54" s="80" t="s">
        <v>136</v>
      </c>
      <c r="P54" s="80">
        <v>0</v>
      </c>
      <c r="Q54" s="27">
        <v>31.267979664999999</v>
      </c>
      <c r="R54" s="27">
        <v>4.8327980299999997E-2</v>
      </c>
      <c r="S54" s="80" t="s">
        <v>136</v>
      </c>
      <c r="T54" s="80">
        <v>0</v>
      </c>
      <c r="U54" s="80" t="s">
        <v>136</v>
      </c>
      <c r="V54" s="80">
        <v>0</v>
      </c>
      <c r="W54" s="27">
        <v>0.68740848030000001</v>
      </c>
      <c r="X54" s="27">
        <v>6.8459786999999998E-3</v>
      </c>
      <c r="Y54" s="27">
        <v>30.476377249999999</v>
      </c>
      <c r="Z54" s="27">
        <v>0.66803960129999995</v>
      </c>
      <c r="AA54" s="80" t="s">
        <v>136</v>
      </c>
      <c r="AB54" s="80">
        <v>0</v>
      </c>
      <c r="AC54" s="27">
        <v>9.4899630000000001E-4</v>
      </c>
      <c r="AD54" s="27">
        <v>2.6313126000000001E-6</v>
      </c>
      <c r="AE54" s="80" t="s">
        <v>136</v>
      </c>
      <c r="AF54" s="80">
        <v>0</v>
      </c>
      <c r="AG54" s="80" t="s">
        <v>136</v>
      </c>
      <c r="AH54" s="80">
        <v>0</v>
      </c>
      <c r="AI54" s="27">
        <f t="shared" si="4"/>
        <v>9.4899630000000001E-4</v>
      </c>
      <c r="AJ54" s="27">
        <f t="shared" si="5"/>
        <v>2.6313126000000001E-6</v>
      </c>
      <c r="AK54" s="27">
        <v>123.3540916</v>
      </c>
      <c r="AL54" s="27">
        <v>1.6505205060999999</v>
      </c>
      <c r="AM54" s="80" t="s">
        <v>136</v>
      </c>
      <c r="AN54" s="80">
        <v>0</v>
      </c>
      <c r="AO54" s="80" t="s">
        <v>136</v>
      </c>
      <c r="AP54" s="80">
        <v>0</v>
      </c>
      <c r="AQ54" s="80" t="s">
        <v>136</v>
      </c>
      <c r="AR54" s="80">
        <v>0</v>
      </c>
      <c r="AS54" s="27">
        <v>73.897840763999994</v>
      </c>
      <c r="AT54" s="27">
        <v>2.5822496406000002</v>
      </c>
      <c r="AU54" s="27">
        <v>59.904217355999997</v>
      </c>
      <c r="AV54" s="27">
        <v>0.44531697469999998</v>
      </c>
      <c r="AW54" s="27">
        <v>28.899508783000002</v>
      </c>
      <c r="AX54" s="27">
        <v>0.28958445030000002</v>
      </c>
      <c r="AY54" s="27">
        <v>8.3834221595000002</v>
      </c>
      <c r="AZ54" s="27">
        <v>7.3960646699999993E-2</v>
      </c>
      <c r="BA54" s="80">
        <f t="shared" si="6"/>
        <v>22.621286413499995</v>
      </c>
      <c r="BB54" s="80">
        <f t="shared" si="7"/>
        <v>8.177187769999994E-2</v>
      </c>
      <c r="BC54" s="27">
        <v>0</v>
      </c>
      <c r="BD54" s="80">
        <v>0</v>
      </c>
      <c r="BE54" s="27">
        <v>164.30211352000001</v>
      </c>
      <c r="BF54" s="27">
        <v>1.7076987294999999</v>
      </c>
      <c r="BG54" s="79">
        <v>6.7741067999999996E-3</v>
      </c>
      <c r="BH54" s="80">
        <v>0</v>
      </c>
      <c r="BI54" s="27">
        <v>131.61244879</v>
      </c>
      <c r="BJ54" s="27">
        <v>4.3568862984000001</v>
      </c>
      <c r="BK54" s="27">
        <v>183.21789444000001</v>
      </c>
      <c r="BL54" s="27">
        <v>1.3849913609</v>
      </c>
      <c r="BM54" s="27">
        <v>44.553118734999998</v>
      </c>
      <c r="BN54" s="27">
        <v>0.24501122</v>
      </c>
      <c r="BO54" s="27">
        <v>0.1526049713</v>
      </c>
      <c r="BP54" s="27">
        <v>4.7565029999999998E-4</v>
      </c>
      <c r="BQ54" s="27">
        <v>0</v>
      </c>
      <c r="BR54" s="92">
        <v>0</v>
      </c>
      <c r="BS54" s="80" t="s">
        <v>136</v>
      </c>
      <c r="BT54" s="80">
        <v>0</v>
      </c>
      <c r="BU54" s="27">
        <v>0.43014935310000002</v>
      </c>
      <c r="BV54" s="27">
        <v>4.8093411000000004E-3</v>
      </c>
      <c r="BW54" s="27">
        <v>22.979380139</v>
      </c>
      <c r="BX54" s="27">
        <v>0.18936975019999999</v>
      </c>
      <c r="BY54" s="80" t="s">
        <v>136</v>
      </c>
      <c r="BZ54" s="80">
        <v>0</v>
      </c>
      <c r="CA54" s="80" t="s">
        <v>136</v>
      </c>
      <c r="CB54" s="80">
        <v>0</v>
      </c>
      <c r="CC54" s="27">
        <v>14.40702896</v>
      </c>
      <c r="CD54" s="27">
        <v>1.1952988499999999E-2</v>
      </c>
      <c r="CE54" s="27">
        <v>16.860950705</v>
      </c>
      <c r="CF54" s="27">
        <v>3.6374991799999999E-2</v>
      </c>
      <c r="CG54" s="80" t="s">
        <v>136</v>
      </c>
      <c r="CH54" s="80">
        <v>0</v>
      </c>
      <c r="CI54" s="80" t="s">
        <v>136</v>
      </c>
      <c r="CJ54" s="80">
        <v>0</v>
      </c>
      <c r="CK54" s="80" t="s">
        <v>136</v>
      </c>
      <c r="CL54" s="80">
        <v>0</v>
      </c>
      <c r="CM54" s="80" t="s">
        <v>136</v>
      </c>
      <c r="CN54" s="80">
        <v>0</v>
      </c>
      <c r="CO54" s="27">
        <v>0.1366314173</v>
      </c>
      <c r="CP54" s="27">
        <v>1.4077259E-3</v>
      </c>
      <c r="CQ54" s="27">
        <v>0.55077706299999996</v>
      </c>
      <c r="CR54" s="27">
        <v>5.4382527999999996E-3</v>
      </c>
      <c r="CS54" s="27">
        <v>2.5914380198</v>
      </c>
      <c r="CT54" s="27">
        <v>2.5758283399999998E-2</v>
      </c>
      <c r="CU54" s="27">
        <v>27.884939230000001</v>
      </c>
      <c r="CV54" s="27">
        <v>0.64228131779999997</v>
      </c>
      <c r="CW54" s="80" t="s">
        <v>136</v>
      </c>
      <c r="CX54" s="80">
        <v>0</v>
      </c>
      <c r="CY54" s="80" t="s">
        <v>136</v>
      </c>
      <c r="CZ54" s="80">
        <v>0</v>
      </c>
      <c r="DA54" s="27">
        <v>18.184763118999999</v>
      </c>
      <c r="DB54" s="27">
        <v>0.24320370620000001</v>
      </c>
      <c r="DC54" s="27">
        <v>55.713077644999998</v>
      </c>
      <c r="DD54" s="27">
        <v>2.3390459345000001</v>
      </c>
      <c r="DE54" s="27">
        <v>28.246660798000001</v>
      </c>
      <c r="DF54" s="27">
        <v>0.51846506209999998</v>
      </c>
      <c r="DG54" s="27">
        <v>136.05545272000001</v>
      </c>
      <c r="DH54" s="92">
        <v>1.1892336673999999</v>
      </c>
      <c r="DI54" s="95">
        <v>3.3654223E-3</v>
      </c>
      <c r="DJ54" s="96">
        <v>5.8674685000000004E-3</v>
      </c>
      <c r="DK54" s="96">
        <v>6.5366798000000004E-3</v>
      </c>
      <c r="DL54" s="96">
        <v>6.6661295000000004E-3</v>
      </c>
      <c r="DM54" s="96">
        <v>6.6900060000000001E-3</v>
      </c>
      <c r="DN54" s="96">
        <v>6.7065954000000002E-3</v>
      </c>
      <c r="DO54" s="96">
        <v>6.7176731E-3</v>
      </c>
      <c r="DP54" s="96">
        <v>6.7261194000000002E-3</v>
      </c>
      <c r="DQ54" s="96">
        <v>6.7319344999999999E-3</v>
      </c>
      <c r="DR54" s="97">
        <v>6.7377495000000001E-3</v>
      </c>
      <c r="DS54" s="93">
        <v>78.772137997000002</v>
      </c>
      <c r="DT54" s="80">
        <v>0.55040320330000003</v>
      </c>
      <c r="DU54" s="80">
        <v>39.233786144</v>
      </c>
      <c r="DV54" s="80">
        <v>0.28585483340000001</v>
      </c>
      <c r="DW54" s="80">
        <v>19.691078744999999</v>
      </c>
      <c r="DX54" s="80">
        <v>0.1493728496</v>
      </c>
      <c r="DY54" s="80">
        <v>10.040373586999999</v>
      </c>
      <c r="DZ54" s="80">
        <v>8.0028227399999999E-2</v>
      </c>
      <c r="EA54" s="80">
        <v>5.2833254827999996</v>
      </c>
      <c r="EB54" s="80">
        <v>4.4911804E-2</v>
      </c>
      <c r="EC54" s="80">
        <v>2.9202833413999998</v>
      </c>
      <c r="ED54" s="80">
        <v>2.7014723399999999E-2</v>
      </c>
      <c r="EE54" s="80">
        <v>1.7003290077</v>
      </c>
      <c r="EF54" s="80">
        <v>1.74839629E-2</v>
      </c>
      <c r="EG54" s="80">
        <v>1.0468949197999999</v>
      </c>
      <c r="EH54" s="80">
        <v>1.21072045E-2</v>
      </c>
      <c r="EI54" s="80">
        <v>0.67362418719999995</v>
      </c>
      <c r="EJ54" s="80">
        <v>8.8569774000000004E-3</v>
      </c>
      <c r="EK54" s="80">
        <v>0.4570410365</v>
      </c>
      <c r="EL54" s="94">
        <v>6.8275684999999997E-3</v>
      </c>
    </row>
    <row r="55" spans="1:142" x14ac:dyDescent="0.2">
      <c r="A55" s="79">
        <v>5000</v>
      </c>
      <c r="B55" s="27">
        <v>1113</v>
      </c>
      <c r="C55" s="79">
        <v>2060.8491183000001</v>
      </c>
      <c r="D55" s="27">
        <v>4948.9812167</v>
      </c>
      <c r="E55" s="27">
        <v>80.152109480999997</v>
      </c>
      <c r="F55" s="27">
        <v>7.1229584499999998E-2</v>
      </c>
      <c r="G55" s="79">
        <v>7.2836372957000002</v>
      </c>
      <c r="H55" s="27">
        <v>3.4770842000000001E-3</v>
      </c>
      <c r="I55" s="27">
        <v>157.98044195</v>
      </c>
      <c r="J55" s="27">
        <v>1.0418534781</v>
      </c>
      <c r="K55" s="27">
        <v>77.947436558999996</v>
      </c>
      <c r="L55" s="27">
        <v>0.48028737500000002</v>
      </c>
      <c r="M55" s="27">
        <v>23.707796734999999</v>
      </c>
      <c r="N55" s="27">
        <v>0.19665013810000001</v>
      </c>
      <c r="O55" s="80" t="s">
        <v>136</v>
      </c>
      <c r="P55" s="80">
        <v>0</v>
      </c>
      <c r="Q55" s="27">
        <v>32.266865295000002</v>
      </c>
      <c r="R55" s="27">
        <v>4.9448234700000003E-2</v>
      </c>
      <c r="S55" s="80" t="s">
        <v>136</v>
      </c>
      <c r="T55" s="80">
        <v>0</v>
      </c>
      <c r="U55" s="80" t="s">
        <v>136</v>
      </c>
      <c r="V55" s="80">
        <v>0</v>
      </c>
      <c r="W55" s="27">
        <v>0.69208905649999997</v>
      </c>
      <c r="X55" s="27">
        <v>6.8770558999999998E-3</v>
      </c>
      <c r="Y55" s="27">
        <v>31.079952197000001</v>
      </c>
      <c r="Z55" s="27">
        <v>0.68038100970000004</v>
      </c>
      <c r="AA55" s="80" t="s">
        <v>136</v>
      </c>
      <c r="AB55" s="80">
        <v>0</v>
      </c>
      <c r="AC55" s="27">
        <v>9.4612370000000002E-4</v>
      </c>
      <c r="AD55" s="27">
        <v>2.6233478000000001E-6</v>
      </c>
      <c r="AE55" s="80" t="s">
        <v>136</v>
      </c>
      <c r="AF55" s="80">
        <v>0</v>
      </c>
      <c r="AG55" s="80" t="s">
        <v>136</v>
      </c>
      <c r="AH55" s="80">
        <v>0</v>
      </c>
      <c r="AI55" s="27">
        <f t="shared" si="4"/>
        <v>9.4612370000000002E-4</v>
      </c>
      <c r="AJ55" s="27">
        <f t="shared" si="5"/>
        <v>2.6233478000000001E-6</v>
      </c>
      <c r="AK55" s="27">
        <v>124.54628107000001</v>
      </c>
      <c r="AL55" s="27">
        <v>1.6599826258999999</v>
      </c>
      <c r="AM55" s="80" t="s">
        <v>136</v>
      </c>
      <c r="AN55" s="80">
        <v>0</v>
      </c>
      <c r="AO55" s="80" t="s">
        <v>136</v>
      </c>
      <c r="AP55" s="80">
        <v>0</v>
      </c>
      <c r="AQ55" s="80" t="s">
        <v>136</v>
      </c>
      <c r="AR55" s="80">
        <v>0</v>
      </c>
      <c r="AS55" s="27">
        <v>74.864546087999997</v>
      </c>
      <c r="AT55" s="27">
        <v>2.6022472522000002</v>
      </c>
      <c r="AU55" s="27">
        <v>60.713735055999997</v>
      </c>
      <c r="AV55" s="27">
        <v>0.4500750859</v>
      </c>
      <c r="AW55" s="27">
        <v>29.327540510999999</v>
      </c>
      <c r="AX55" s="27">
        <v>0.29294701979999999</v>
      </c>
      <c r="AY55" s="27">
        <v>8.4500431928000008</v>
      </c>
      <c r="AZ55" s="27">
        <v>7.4506788899999996E-2</v>
      </c>
      <c r="BA55" s="80">
        <f t="shared" si="6"/>
        <v>22.9361513522</v>
      </c>
      <c r="BB55" s="80">
        <f t="shared" si="7"/>
        <v>8.262127720000001E-2</v>
      </c>
      <c r="BC55" s="27">
        <v>0</v>
      </c>
      <c r="BD55" s="80">
        <v>0</v>
      </c>
      <c r="BE55" s="27">
        <v>167.41020925000001</v>
      </c>
      <c r="BF55" s="27">
        <v>1.7262236310000001</v>
      </c>
      <c r="BG55" s="79">
        <v>6.9529055000000003E-3</v>
      </c>
      <c r="BH55" s="80">
        <v>0</v>
      </c>
      <c r="BI55" s="27">
        <v>132.52909258</v>
      </c>
      <c r="BJ55" s="27">
        <v>4.3773629363</v>
      </c>
      <c r="BK55" s="27">
        <v>187.00724657000001</v>
      </c>
      <c r="BL55" s="27">
        <v>1.4102466869000001</v>
      </c>
      <c r="BM55" s="27">
        <v>45.505118584000002</v>
      </c>
      <c r="BN55" s="27">
        <v>0.24900497399999999</v>
      </c>
      <c r="BO55" s="27">
        <v>0.17062796180000001</v>
      </c>
      <c r="BP55" s="27">
        <v>4.8092430000000003E-4</v>
      </c>
      <c r="BQ55" s="27">
        <v>0</v>
      </c>
      <c r="BR55" s="92">
        <v>0</v>
      </c>
      <c r="BS55" s="80" t="s">
        <v>136</v>
      </c>
      <c r="BT55" s="80">
        <v>0</v>
      </c>
      <c r="BU55" s="27">
        <v>0.43906705410000002</v>
      </c>
      <c r="BV55" s="27">
        <v>4.8881332000000003E-3</v>
      </c>
      <c r="BW55" s="27">
        <v>23.268729681</v>
      </c>
      <c r="BX55" s="27">
        <v>0.1917620049</v>
      </c>
      <c r="BY55" s="80" t="s">
        <v>136</v>
      </c>
      <c r="BZ55" s="80">
        <v>0</v>
      </c>
      <c r="CA55" s="80" t="s">
        <v>136</v>
      </c>
      <c r="CB55" s="80">
        <v>0</v>
      </c>
      <c r="CC55" s="27">
        <v>14.961632428</v>
      </c>
      <c r="CD55" s="27">
        <v>1.2259838299999999E-2</v>
      </c>
      <c r="CE55" s="27">
        <v>17.305232867000001</v>
      </c>
      <c r="CF55" s="27">
        <v>3.7188396399999997E-2</v>
      </c>
      <c r="CG55" s="80" t="s">
        <v>136</v>
      </c>
      <c r="CH55" s="80">
        <v>0</v>
      </c>
      <c r="CI55" s="80" t="s">
        <v>136</v>
      </c>
      <c r="CJ55" s="80">
        <v>0</v>
      </c>
      <c r="CK55" s="80" t="s">
        <v>136</v>
      </c>
      <c r="CL55" s="80">
        <v>0</v>
      </c>
      <c r="CM55" s="80" t="s">
        <v>136</v>
      </c>
      <c r="CN55" s="80">
        <v>0</v>
      </c>
      <c r="CO55" s="27">
        <v>0.13618706089999999</v>
      </c>
      <c r="CP55" s="27">
        <v>1.4032572000000001E-3</v>
      </c>
      <c r="CQ55" s="27">
        <v>0.55590199569999998</v>
      </c>
      <c r="CR55" s="27">
        <v>5.4737987E-3</v>
      </c>
      <c r="CS55" s="27">
        <v>2.6810516850999999</v>
      </c>
      <c r="CT55" s="27">
        <v>2.6706750200000001E-2</v>
      </c>
      <c r="CU55" s="27">
        <v>28.398900512000001</v>
      </c>
      <c r="CV55" s="27">
        <v>0.65367425950000002</v>
      </c>
      <c r="CW55" s="80" t="s">
        <v>136</v>
      </c>
      <c r="CX55" s="80">
        <v>0</v>
      </c>
      <c r="CY55" s="80" t="s">
        <v>136</v>
      </c>
      <c r="CZ55" s="80">
        <v>0</v>
      </c>
      <c r="DA55" s="27">
        <v>18.480251162999998</v>
      </c>
      <c r="DB55" s="27">
        <v>0.24645095349999999</v>
      </c>
      <c r="DC55" s="27">
        <v>56.384294924999999</v>
      </c>
      <c r="DD55" s="27">
        <v>2.3557962987000001</v>
      </c>
      <c r="DE55" s="27">
        <v>29.272188606</v>
      </c>
      <c r="DF55" s="27">
        <v>0.52651289130000001</v>
      </c>
      <c r="DG55" s="27">
        <v>138.13802064000001</v>
      </c>
      <c r="DH55" s="92">
        <v>1.1997107398</v>
      </c>
      <c r="DI55" s="95">
        <v>3.4446211000000002E-3</v>
      </c>
      <c r="DJ55" s="96">
        <v>6.0072993000000003E-3</v>
      </c>
      <c r="DK55" s="96">
        <v>6.7080686000000004E-3</v>
      </c>
      <c r="DL55" s="96">
        <v>6.8453424999999997E-3</v>
      </c>
      <c r="DM55" s="96">
        <v>6.8691374000000001E-3</v>
      </c>
      <c r="DN55" s="96">
        <v>6.8856691000000001E-3</v>
      </c>
      <c r="DO55" s="96">
        <v>6.8967083000000002E-3</v>
      </c>
      <c r="DP55" s="96">
        <v>6.9051242000000004E-3</v>
      </c>
      <c r="DQ55" s="96">
        <v>6.9109167999999999E-3</v>
      </c>
      <c r="DR55" s="97">
        <v>6.9167092999999997E-3</v>
      </c>
      <c r="DS55" s="93">
        <v>79.358673340999999</v>
      </c>
      <c r="DT55" s="80">
        <v>0.55438943019999998</v>
      </c>
      <c r="DU55" s="80">
        <v>39.650036708999998</v>
      </c>
      <c r="DV55" s="80">
        <v>0.2887436015</v>
      </c>
      <c r="DW55" s="80">
        <v>19.960889282</v>
      </c>
      <c r="DX55" s="80">
        <v>0.1513066122</v>
      </c>
      <c r="DY55" s="80">
        <v>10.209334046</v>
      </c>
      <c r="DZ55" s="80">
        <v>8.1291435800000006E-2</v>
      </c>
      <c r="EA55" s="80">
        <v>5.3849634372999997</v>
      </c>
      <c r="EB55" s="80">
        <v>4.5725556200000003E-2</v>
      </c>
      <c r="EC55" s="80">
        <v>2.9802394291000001</v>
      </c>
      <c r="ED55" s="80">
        <v>2.7539714199999999E-2</v>
      </c>
      <c r="EE55" s="80">
        <v>1.7422607691000001</v>
      </c>
      <c r="EF55" s="80">
        <v>1.7889239599999999E-2</v>
      </c>
      <c r="EG55" s="80">
        <v>1.0781942839000001</v>
      </c>
      <c r="EH55" s="80">
        <v>1.2434193499999999E-2</v>
      </c>
      <c r="EI55" s="80">
        <v>0.69667818950000004</v>
      </c>
      <c r="EJ55" s="80">
        <v>9.1222695000000003E-3</v>
      </c>
      <c r="EK55" s="80">
        <v>0.47520287420000001</v>
      </c>
      <c r="EL55" s="94">
        <v>7.0503709999999997E-3</v>
      </c>
    </row>
    <row r="56" spans="1:142" x14ac:dyDescent="0.2">
      <c r="A56" s="79">
        <v>5100</v>
      </c>
      <c r="B56" s="27">
        <v>1015</v>
      </c>
      <c r="C56" s="79">
        <v>2083.6132980000002</v>
      </c>
      <c r="D56" s="27">
        <v>5050.2316661000004</v>
      </c>
      <c r="E56" s="27">
        <v>81.696169402999999</v>
      </c>
      <c r="F56" s="27">
        <v>7.1935974599999994E-2</v>
      </c>
      <c r="G56" s="79">
        <v>7.5254689124</v>
      </c>
      <c r="H56" s="27">
        <v>3.5518391999999998E-3</v>
      </c>
      <c r="I56" s="27">
        <v>158.63310106</v>
      </c>
      <c r="J56" s="27">
        <v>1.0462712126</v>
      </c>
      <c r="K56" s="27">
        <v>78.629480322000006</v>
      </c>
      <c r="L56" s="27">
        <v>0.48499433289999999</v>
      </c>
      <c r="M56" s="27">
        <v>23.942710076000001</v>
      </c>
      <c r="N56" s="27">
        <v>0.19852831839999999</v>
      </c>
      <c r="O56" s="80" t="s">
        <v>136</v>
      </c>
      <c r="P56" s="80">
        <v>0</v>
      </c>
      <c r="Q56" s="27">
        <v>33.255769878000002</v>
      </c>
      <c r="R56" s="27">
        <v>5.0673076400000003E-2</v>
      </c>
      <c r="S56" s="80" t="s">
        <v>136</v>
      </c>
      <c r="T56" s="80">
        <v>0</v>
      </c>
      <c r="U56" s="80" t="s">
        <v>136</v>
      </c>
      <c r="V56" s="80">
        <v>0</v>
      </c>
      <c r="W56" s="27">
        <v>0.71975094569999998</v>
      </c>
      <c r="X56" s="27">
        <v>7.1746062999999997E-3</v>
      </c>
      <c r="Y56" s="27">
        <v>31.701535028999999</v>
      </c>
      <c r="Z56" s="27">
        <v>0.69279547829999999</v>
      </c>
      <c r="AA56" s="80" t="s">
        <v>136</v>
      </c>
      <c r="AB56" s="80">
        <v>0</v>
      </c>
      <c r="AC56" s="27">
        <v>9.4421830000000003E-4</v>
      </c>
      <c r="AD56" s="27">
        <v>2.6180645999999999E-6</v>
      </c>
      <c r="AE56" s="80" t="s">
        <v>136</v>
      </c>
      <c r="AF56" s="80">
        <v>0</v>
      </c>
      <c r="AG56" s="80" t="s">
        <v>136</v>
      </c>
      <c r="AH56" s="80">
        <v>0</v>
      </c>
      <c r="AI56" s="27">
        <f t="shared" si="4"/>
        <v>9.4421830000000003E-4</v>
      </c>
      <c r="AJ56" s="27">
        <f t="shared" si="5"/>
        <v>2.6180645999999999E-6</v>
      </c>
      <c r="AK56" s="27">
        <v>125.46285306</v>
      </c>
      <c r="AL56" s="27">
        <v>1.6673147981000001</v>
      </c>
      <c r="AM56" s="80" t="s">
        <v>136</v>
      </c>
      <c r="AN56" s="80">
        <v>0</v>
      </c>
      <c r="AO56" s="80" t="s">
        <v>136</v>
      </c>
      <c r="AP56" s="80">
        <v>0</v>
      </c>
      <c r="AQ56" s="80" t="s">
        <v>136</v>
      </c>
      <c r="AR56" s="80">
        <v>0</v>
      </c>
      <c r="AS56" s="27">
        <v>75.602107473999993</v>
      </c>
      <c r="AT56" s="27">
        <v>2.6186017324000002</v>
      </c>
      <c r="AU56" s="27">
        <v>61.340066028000003</v>
      </c>
      <c r="AV56" s="27">
        <v>0.45380396950000002</v>
      </c>
      <c r="AW56" s="27">
        <v>29.600706546000001</v>
      </c>
      <c r="AX56" s="27">
        <v>0.29527881659999999</v>
      </c>
      <c r="AY56" s="27">
        <v>8.5284621067999993</v>
      </c>
      <c r="AZ56" s="27">
        <v>7.5051106000000006E-2</v>
      </c>
      <c r="BA56" s="80">
        <f t="shared" si="6"/>
        <v>23.210897375199998</v>
      </c>
      <c r="BB56" s="80">
        <f t="shared" si="7"/>
        <v>8.3474046900000043E-2</v>
      </c>
      <c r="BC56" s="27">
        <v>0</v>
      </c>
      <c r="BD56" s="80">
        <v>0</v>
      </c>
      <c r="BE56" s="27">
        <v>170.60713179000001</v>
      </c>
      <c r="BF56" s="27">
        <v>1.7426759356999999</v>
      </c>
      <c r="BG56" s="79">
        <v>7.1123506999999997E-3</v>
      </c>
      <c r="BH56" s="80">
        <v>0</v>
      </c>
      <c r="BI56" s="27">
        <v>133.65559081999999</v>
      </c>
      <c r="BJ56" s="27">
        <v>4.3999047100000004</v>
      </c>
      <c r="BK56" s="27">
        <v>190.28749293999999</v>
      </c>
      <c r="BL56" s="27">
        <v>1.4322565836000001</v>
      </c>
      <c r="BM56" s="27">
        <v>46.288825420000002</v>
      </c>
      <c r="BN56" s="27">
        <v>0.2521258072</v>
      </c>
      <c r="BO56" s="27">
        <v>0.18406128890000001</v>
      </c>
      <c r="BP56" s="27">
        <v>4.8642720000000001E-4</v>
      </c>
      <c r="BQ56" s="27">
        <v>0</v>
      </c>
      <c r="BR56" s="92">
        <v>0</v>
      </c>
      <c r="BS56" s="80" t="s">
        <v>136</v>
      </c>
      <c r="BT56" s="80">
        <v>0</v>
      </c>
      <c r="BU56" s="27">
        <v>0.45009543839999999</v>
      </c>
      <c r="BV56" s="27">
        <v>5.0373248000000004E-3</v>
      </c>
      <c r="BW56" s="27">
        <v>23.492614637999999</v>
      </c>
      <c r="BX56" s="27">
        <v>0.19349099350000001</v>
      </c>
      <c r="BY56" s="80" t="s">
        <v>136</v>
      </c>
      <c r="BZ56" s="80">
        <v>0</v>
      </c>
      <c r="CA56" s="80" t="s">
        <v>136</v>
      </c>
      <c r="CB56" s="80">
        <v>0</v>
      </c>
      <c r="CC56" s="27">
        <v>15.575770309999999</v>
      </c>
      <c r="CD56" s="27">
        <v>1.2697141800000001E-2</v>
      </c>
      <c r="CE56" s="27">
        <v>17.679999567999999</v>
      </c>
      <c r="CF56" s="27">
        <v>3.7975934599999997E-2</v>
      </c>
      <c r="CG56" s="80" t="s">
        <v>136</v>
      </c>
      <c r="CH56" s="80">
        <v>0</v>
      </c>
      <c r="CI56" s="80" t="s">
        <v>136</v>
      </c>
      <c r="CJ56" s="80">
        <v>0</v>
      </c>
      <c r="CK56" s="80" t="s">
        <v>136</v>
      </c>
      <c r="CL56" s="80">
        <v>0</v>
      </c>
      <c r="CM56" s="80" t="s">
        <v>136</v>
      </c>
      <c r="CN56" s="80">
        <v>0</v>
      </c>
      <c r="CO56" s="27">
        <v>0.13577842139999999</v>
      </c>
      <c r="CP56" s="27">
        <v>1.3989060000000001E-3</v>
      </c>
      <c r="CQ56" s="27">
        <v>0.58397252430000002</v>
      </c>
      <c r="CR56" s="27">
        <v>5.7757002999999996E-3</v>
      </c>
      <c r="CS56" s="27">
        <v>2.7337387483</v>
      </c>
      <c r="CT56" s="27">
        <v>2.72127601E-2</v>
      </c>
      <c r="CU56" s="27">
        <v>28.967796280000002</v>
      </c>
      <c r="CV56" s="27">
        <v>0.66558271820000003</v>
      </c>
      <c r="CW56" s="80" t="s">
        <v>136</v>
      </c>
      <c r="CX56" s="80">
        <v>0</v>
      </c>
      <c r="CY56" s="80" t="s">
        <v>136</v>
      </c>
      <c r="CZ56" s="80">
        <v>0</v>
      </c>
      <c r="DA56" s="27">
        <v>18.691038755000001</v>
      </c>
      <c r="DB56" s="27">
        <v>0.2487921394</v>
      </c>
      <c r="DC56" s="27">
        <v>56.911068718000003</v>
      </c>
      <c r="DD56" s="27">
        <v>2.3698095929999998</v>
      </c>
      <c r="DE56" s="27">
        <v>30.489252901</v>
      </c>
      <c r="DF56" s="27">
        <v>0.53424824400000004</v>
      </c>
      <c r="DG56" s="27">
        <v>140.11787888000001</v>
      </c>
      <c r="DH56" s="92">
        <v>1.2084276917000001</v>
      </c>
      <c r="DI56" s="95">
        <v>3.5194966000000002E-3</v>
      </c>
      <c r="DJ56" s="96">
        <v>6.1414445999999996E-3</v>
      </c>
      <c r="DK56" s="96">
        <v>6.8632848999999998E-3</v>
      </c>
      <c r="DL56" s="96">
        <v>7.0052116999999997E-3</v>
      </c>
      <c r="DM56" s="96">
        <v>7.0289202999999998E-3</v>
      </c>
      <c r="DN56" s="96">
        <v>7.0453939000000004E-3</v>
      </c>
      <c r="DO56" s="96">
        <v>7.0563999000000004E-3</v>
      </c>
      <c r="DP56" s="96">
        <v>7.0647879000000002E-3</v>
      </c>
      <c r="DQ56" s="96">
        <v>7.0705578999999998E-3</v>
      </c>
      <c r="DR56" s="97">
        <v>7.0763277999999997E-3</v>
      </c>
      <c r="DS56" s="93">
        <v>79.877743697</v>
      </c>
      <c r="DT56" s="80">
        <v>0.55793938190000003</v>
      </c>
      <c r="DU56" s="80">
        <v>40.014287205000002</v>
      </c>
      <c r="DV56" s="80">
        <v>0.29128681039999998</v>
      </c>
      <c r="DW56" s="80">
        <v>20.19943322</v>
      </c>
      <c r="DX56" s="80">
        <v>0.153038127</v>
      </c>
      <c r="DY56" s="80">
        <v>10.353819238</v>
      </c>
      <c r="DZ56" s="80">
        <v>8.2395351500000005E-2</v>
      </c>
      <c r="EA56" s="80">
        <v>5.4654988164000002</v>
      </c>
      <c r="EB56" s="80">
        <v>4.6400191600000001E-2</v>
      </c>
      <c r="EC56" s="80">
        <v>3.0258000224999999</v>
      </c>
      <c r="ED56" s="80">
        <v>2.7962508899999999E-2</v>
      </c>
      <c r="EE56" s="80">
        <v>1.7693732514</v>
      </c>
      <c r="EF56" s="80">
        <v>1.81845754E-2</v>
      </c>
      <c r="EG56" s="80">
        <v>1.0957099589999999</v>
      </c>
      <c r="EH56" s="80">
        <v>1.2662806800000001E-2</v>
      </c>
      <c r="EI56" s="80">
        <v>0.70938028909999995</v>
      </c>
      <c r="EJ56" s="80">
        <v>9.3092889000000005E-3</v>
      </c>
      <c r="EK56" s="80">
        <v>0.48452884689999998</v>
      </c>
      <c r="EL56" s="94">
        <v>7.2069300999999999E-3</v>
      </c>
    </row>
    <row r="57" spans="1:142" x14ac:dyDescent="0.2">
      <c r="A57" s="79">
        <v>5200</v>
      </c>
      <c r="B57" s="27">
        <v>1000</v>
      </c>
      <c r="C57" s="79">
        <v>2106.0404690999999</v>
      </c>
      <c r="D57" s="27">
        <v>5150.0295051000003</v>
      </c>
      <c r="E57" s="27">
        <v>83.214691798000004</v>
      </c>
      <c r="F57" s="27">
        <v>7.2602858199999995E-2</v>
      </c>
      <c r="G57" s="79">
        <v>7.8122721049999999</v>
      </c>
      <c r="H57" s="27">
        <v>3.6430488000000001E-3</v>
      </c>
      <c r="I57" s="27">
        <v>159.29030435999999</v>
      </c>
      <c r="J57" s="27">
        <v>1.0504645564999999</v>
      </c>
      <c r="K57" s="27">
        <v>79.369598812999996</v>
      </c>
      <c r="L57" s="27">
        <v>0.48991302939999998</v>
      </c>
      <c r="M57" s="27">
        <v>24.304800211</v>
      </c>
      <c r="N57" s="27">
        <v>0.2013945026</v>
      </c>
      <c r="O57" s="80" t="s">
        <v>136</v>
      </c>
      <c r="P57" s="80">
        <v>0</v>
      </c>
      <c r="Q57" s="27">
        <v>34.306723323</v>
      </c>
      <c r="R57" s="27">
        <v>5.2022920399999999E-2</v>
      </c>
      <c r="S57" s="80" t="s">
        <v>136</v>
      </c>
      <c r="T57" s="80">
        <v>0</v>
      </c>
      <c r="U57" s="80" t="s">
        <v>136</v>
      </c>
      <c r="V57" s="80">
        <v>0</v>
      </c>
      <c r="W57" s="27">
        <v>0.76194321509999996</v>
      </c>
      <c r="X57" s="27">
        <v>7.5616913999999999E-3</v>
      </c>
      <c r="Y57" s="27">
        <v>32.249673971</v>
      </c>
      <c r="Z57" s="27">
        <v>0.7037430885</v>
      </c>
      <c r="AA57" s="80" t="s">
        <v>136</v>
      </c>
      <c r="AB57" s="80">
        <v>0</v>
      </c>
      <c r="AC57" s="27">
        <v>9.4128009999999999E-4</v>
      </c>
      <c r="AD57" s="27">
        <v>2.6099177E-6</v>
      </c>
      <c r="AE57" s="80" t="s">
        <v>136</v>
      </c>
      <c r="AF57" s="80">
        <v>0</v>
      </c>
      <c r="AG57" s="80" t="s">
        <v>136</v>
      </c>
      <c r="AH57" s="80">
        <v>0</v>
      </c>
      <c r="AI57" s="27">
        <f t="shared" si="4"/>
        <v>9.4128009999999999E-4</v>
      </c>
      <c r="AJ57" s="27">
        <f t="shared" si="5"/>
        <v>2.6099177E-6</v>
      </c>
      <c r="AK57" s="27">
        <v>126.54962602000001</v>
      </c>
      <c r="AL57" s="27">
        <v>1.6744984852</v>
      </c>
      <c r="AM57" s="80" t="s">
        <v>136</v>
      </c>
      <c r="AN57" s="80">
        <v>0</v>
      </c>
      <c r="AO57" s="80" t="s">
        <v>136</v>
      </c>
      <c r="AP57" s="80">
        <v>0</v>
      </c>
      <c r="AQ57" s="80" t="s">
        <v>136</v>
      </c>
      <c r="AR57" s="80">
        <v>0</v>
      </c>
      <c r="AS57" s="27">
        <v>76.339392446999994</v>
      </c>
      <c r="AT57" s="27">
        <v>2.6361122765</v>
      </c>
      <c r="AU57" s="27">
        <v>62.100698770000001</v>
      </c>
      <c r="AV57" s="27">
        <v>0.4578790439</v>
      </c>
      <c r="AW57" s="27">
        <v>29.923213863000001</v>
      </c>
      <c r="AX57" s="27">
        <v>0.2979041543</v>
      </c>
      <c r="AY57" s="27">
        <v>8.5949916441000003</v>
      </c>
      <c r="AZ57" s="27">
        <v>7.5445019000000002E-2</v>
      </c>
      <c r="BA57" s="80">
        <f t="shared" si="6"/>
        <v>23.582493262900002</v>
      </c>
      <c r="BB57" s="80">
        <f t="shared" si="7"/>
        <v>8.4529870600000001E-2</v>
      </c>
      <c r="BC57" s="27">
        <v>0</v>
      </c>
      <c r="BD57" s="80">
        <v>0</v>
      </c>
      <c r="BE57" s="27">
        <v>173.47599258</v>
      </c>
      <c r="BF57" s="27">
        <v>1.7591260725</v>
      </c>
      <c r="BG57" s="79">
        <v>7.3274456999999999E-3</v>
      </c>
      <c r="BH57" s="80">
        <v>0</v>
      </c>
      <c r="BI57" s="27">
        <v>134.48827924</v>
      </c>
      <c r="BJ57" s="27">
        <v>4.4186565568000002</v>
      </c>
      <c r="BK57" s="27">
        <v>193.74241835999999</v>
      </c>
      <c r="BL57" s="27">
        <v>1.4552890984</v>
      </c>
      <c r="BM57" s="27">
        <v>47.155121801999996</v>
      </c>
      <c r="BN57" s="27">
        <v>0.25576110369999999</v>
      </c>
      <c r="BO57" s="27">
        <v>0.1943491913</v>
      </c>
      <c r="BP57" s="27">
        <v>4.9183980000000005E-4</v>
      </c>
      <c r="BQ57" s="27">
        <v>0</v>
      </c>
      <c r="BR57" s="92">
        <v>0</v>
      </c>
      <c r="BS57" s="80" t="s">
        <v>136</v>
      </c>
      <c r="BT57" s="80">
        <v>0</v>
      </c>
      <c r="BU57" s="27">
        <v>0.46056384030000003</v>
      </c>
      <c r="BV57" s="27">
        <v>5.1203634000000003E-3</v>
      </c>
      <c r="BW57" s="27">
        <v>23.844236371000001</v>
      </c>
      <c r="BX57" s="27">
        <v>0.1962741392</v>
      </c>
      <c r="BY57" s="80" t="s">
        <v>136</v>
      </c>
      <c r="BZ57" s="80">
        <v>0</v>
      </c>
      <c r="CA57" s="80" t="s">
        <v>136</v>
      </c>
      <c r="CB57" s="80">
        <v>0</v>
      </c>
      <c r="CC57" s="27">
        <v>16.181033344999999</v>
      </c>
      <c r="CD57" s="27">
        <v>1.3118217999999999E-2</v>
      </c>
      <c r="CE57" s="27">
        <v>18.125689979000001</v>
      </c>
      <c r="CF57" s="27">
        <v>3.8904702399999998E-2</v>
      </c>
      <c r="CG57" s="80" t="s">
        <v>136</v>
      </c>
      <c r="CH57" s="80">
        <v>0</v>
      </c>
      <c r="CI57" s="80" t="s">
        <v>136</v>
      </c>
      <c r="CJ57" s="80">
        <v>0</v>
      </c>
      <c r="CK57" s="80" t="s">
        <v>136</v>
      </c>
      <c r="CL57" s="80">
        <v>0</v>
      </c>
      <c r="CM57" s="80" t="s">
        <v>136</v>
      </c>
      <c r="CN57" s="80">
        <v>0</v>
      </c>
      <c r="CO57" s="27">
        <v>0.1353356815</v>
      </c>
      <c r="CP57" s="27">
        <v>1.3942989000000001E-3</v>
      </c>
      <c r="CQ57" s="27">
        <v>0.62660753359999999</v>
      </c>
      <c r="CR57" s="27">
        <v>6.1673924999999996E-3</v>
      </c>
      <c r="CS57" s="27">
        <v>2.7719416599</v>
      </c>
      <c r="CT57" s="27">
        <v>2.7502848199999999E-2</v>
      </c>
      <c r="CU57" s="27">
        <v>29.477732311</v>
      </c>
      <c r="CV57" s="27">
        <v>0.67624024029999996</v>
      </c>
      <c r="CW57" s="80" t="s">
        <v>136</v>
      </c>
      <c r="CX57" s="80">
        <v>0</v>
      </c>
      <c r="CY57" s="80" t="s">
        <v>136</v>
      </c>
      <c r="CZ57" s="80">
        <v>0</v>
      </c>
      <c r="DA57" s="27">
        <v>18.909079861999999</v>
      </c>
      <c r="DB57" s="27">
        <v>0.25137098520000001</v>
      </c>
      <c r="DC57" s="27">
        <v>57.430312585000003</v>
      </c>
      <c r="DD57" s="27">
        <v>2.3847412914000001</v>
      </c>
      <c r="DE57" s="27">
        <v>31.497578450999999</v>
      </c>
      <c r="DF57" s="27">
        <v>0.54126351819999996</v>
      </c>
      <c r="DG57" s="27">
        <v>141.97841413</v>
      </c>
      <c r="DH57" s="92">
        <v>1.2178625542999999</v>
      </c>
      <c r="DI57" s="95">
        <v>3.6108352999999998E-3</v>
      </c>
      <c r="DJ57" s="96">
        <v>6.3154179000000001E-3</v>
      </c>
      <c r="DK57" s="96">
        <v>7.0713177000000004E-3</v>
      </c>
      <c r="DL57" s="96">
        <v>7.2206735000000001E-3</v>
      </c>
      <c r="DM57" s="96">
        <v>7.2442964E-3</v>
      </c>
      <c r="DN57" s="96">
        <v>7.2607119999999999E-3</v>
      </c>
      <c r="DO57" s="96">
        <v>7.2716841000000001E-3</v>
      </c>
      <c r="DP57" s="96">
        <v>7.2800462999999998E-3</v>
      </c>
      <c r="DQ57" s="96">
        <v>7.2857985000000002E-3</v>
      </c>
      <c r="DR57" s="97">
        <v>7.2915508000000002E-3</v>
      </c>
      <c r="DS57" s="93">
        <v>80.370816383999994</v>
      </c>
      <c r="DT57" s="80">
        <v>0.56122752600000003</v>
      </c>
      <c r="DU57" s="80">
        <v>40.367926533000002</v>
      </c>
      <c r="DV57" s="80">
        <v>0.29372638499999998</v>
      </c>
      <c r="DW57" s="80">
        <v>20.43310366</v>
      </c>
      <c r="DX57" s="80">
        <v>0.15472931240000001</v>
      </c>
      <c r="DY57" s="80">
        <v>10.507268684</v>
      </c>
      <c r="DZ57" s="80">
        <v>8.3545738600000002E-2</v>
      </c>
      <c r="EA57" s="80">
        <v>5.5620161948</v>
      </c>
      <c r="EB57" s="80">
        <v>4.71692124E-2</v>
      </c>
      <c r="EC57" s="80">
        <v>3.0841836140000001</v>
      </c>
      <c r="ED57" s="80">
        <v>2.8459662899999998E-2</v>
      </c>
      <c r="EE57" s="80">
        <v>1.8064112773000001</v>
      </c>
      <c r="EF57" s="80">
        <v>1.8525284100000001E-2</v>
      </c>
      <c r="EG57" s="80">
        <v>1.1211406955000001</v>
      </c>
      <c r="EH57" s="80">
        <v>1.2918920699999999E-2</v>
      </c>
      <c r="EI57" s="80">
        <v>0.72702747430000003</v>
      </c>
      <c r="EJ57" s="80">
        <v>9.5026377999999998E-3</v>
      </c>
      <c r="EK57" s="80">
        <v>0.498826977</v>
      </c>
      <c r="EL57" s="94">
        <v>7.3718001999999996E-3</v>
      </c>
    </row>
    <row r="58" spans="1:142" x14ac:dyDescent="0.2">
      <c r="A58" s="79">
        <v>5300</v>
      </c>
      <c r="B58" s="27">
        <v>959</v>
      </c>
      <c r="C58" s="79">
        <v>2128.1466915999999</v>
      </c>
      <c r="D58" s="27">
        <v>5249.4066450999999</v>
      </c>
      <c r="E58" s="27">
        <v>84.713346391000002</v>
      </c>
      <c r="F58" s="27">
        <v>7.3351894700000003E-2</v>
      </c>
      <c r="G58" s="79">
        <v>7.9939224027</v>
      </c>
      <c r="H58" s="27">
        <v>3.7028718999999998E-3</v>
      </c>
      <c r="I58" s="27">
        <v>159.98204143000001</v>
      </c>
      <c r="J58" s="27">
        <v>1.0547832453999999</v>
      </c>
      <c r="K58" s="27">
        <v>80.001394253000001</v>
      </c>
      <c r="L58" s="27">
        <v>0.49375587710000002</v>
      </c>
      <c r="M58" s="27">
        <v>24.647665689</v>
      </c>
      <c r="N58" s="27">
        <v>0.20406426050000001</v>
      </c>
      <c r="O58" s="80" t="s">
        <v>136</v>
      </c>
      <c r="P58" s="80">
        <v>0</v>
      </c>
      <c r="Q58" s="27">
        <v>35.068417889999999</v>
      </c>
      <c r="R58" s="27">
        <v>5.30034505E-2</v>
      </c>
      <c r="S58" s="80" t="s">
        <v>136</v>
      </c>
      <c r="T58" s="80">
        <v>0</v>
      </c>
      <c r="U58" s="80" t="s">
        <v>136</v>
      </c>
      <c r="V58" s="80">
        <v>0</v>
      </c>
      <c r="W58" s="27">
        <v>0.77576858019999995</v>
      </c>
      <c r="X58" s="27">
        <v>7.6333043999999997E-3</v>
      </c>
      <c r="Y58" s="27">
        <v>32.774384359999999</v>
      </c>
      <c r="Z58" s="27">
        <v>0.71357349010000004</v>
      </c>
      <c r="AA58" s="80" t="s">
        <v>136</v>
      </c>
      <c r="AB58" s="80">
        <v>0</v>
      </c>
      <c r="AC58" s="27">
        <v>9.3911190000000005E-4</v>
      </c>
      <c r="AD58" s="27">
        <v>2.6039059E-6</v>
      </c>
      <c r="AE58" s="80" t="s">
        <v>136</v>
      </c>
      <c r="AF58" s="80">
        <v>0</v>
      </c>
      <c r="AG58" s="80" t="s">
        <v>136</v>
      </c>
      <c r="AH58" s="80">
        <v>0</v>
      </c>
      <c r="AI58" s="27">
        <f t="shared" si="4"/>
        <v>9.3911190000000005E-4</v>
      </c>
      <c r="AJ58" s="27">
        <f t="shared" si="5"/>
        <v>2.6039059E-6</v>
      </c>
      <c r="AK58" s="27">
        <v>127.40929924</v>
      </c>
      <c r="AL58" s="27">
        <v>1.6818102537999999</v>
      </c>
      <c r="AM58" s="80" t="s">
        <v>136</v>
      </c>
      <c r="AN58" s="80">
        <v>0</v>
      </c>
      <c r="AO58" s="80" t="s">
        <v>136</v>
      </c>
      <c r="AP58" s="80">
        <v>0</v>
      </c>
      <c r="AQ58" s="80" t="s">
        <v>136</v>
      </c>
      <c r="AR58" s="80">
        <v>0</v>
      </c>
      <c r="AS58" s="27">
        <v>77.098965500000006</v>
      </c>
      <c r="AT58" s="27">
        <v>2.6531251830999998</v>
      </c>
      <c r="AU58" s="27">
        <v>62.948332401999998</v>
      </c>
      <c r="AV58" s="27">
        <v>0.46207818430000003</v>
      </c>
      <c r="AW58" s="27">
        <v>30.32565125</v>
      </c>
      <c r="AX58" s="27">
        <v>0.30072030659999999</v>
      </c>
      <c r="AY58" s="27">
        <v>8.6292857844000004</v>
      </c>
      <c r="AZ58" s="27">
        <v>7.5776998499999998E-2</v>
      </c>
      <c r="BA58" s="80">
        <f t="shared" si="6"/>
        <v>23.993395367599994</v>
      </c>
      <c r="BB58" s="80">
        <f t="shared" si="7"/>
        <v>8.5580879200000015E-2</v>
      </c>
      <c r="BC58" s="27">
        <v>0</v>
      </c>
      <c r="BD58" s="80">
        <v>0</v>
      </c>
      <c r="BE58" s="27">
        <v>176.27180387999999</v>
      </c>
      <c r="BF58" s="27">
        <v>1.7736673549999999</v>
      </c>
      <c r="BG58" s="79">
        <v>7.4633924999999999E-3</v>
      </c>
      <c r="BH58" s="80">
        <v>0</v>
      </c>
      <c r="BI58" s="27">
        <v>135.43197660999999</v>
      </c>
      <c r="BJ58" s="27">
        <v>4.4377819296999998</v>
      </c>
      <c r="BK58" s="27">
        <v>196.98588914000001</v>
      </c>
      <c r="BL58" s="27">
        <v>1.4775826263</v>
      </c>
      <c r="BM58" s="27">
        <v>47.987932358999998</v>
      </c>
      <c r="BN58" s="27">
        <v>0.25907924939999999</v>
      </c>
      <c r="BO58" s="27">
        <v>0.199801003</v>
      </c>
      <c r="BP58" s="27">
        <v>5.0166239999999997E-4</v>
      </c>
      <c r="BQ58" s="27">
        <v>0</v>
      </c>
      <c r="BR58" s="92">
        <v>0</v>
      </c>
      <c r="BS58" s="80" t="s">
        <v>136</v>
      </c>
      <c r="BT58" s="80">
        <v>0</v>
      </c>
      <c r="BU58" s="27">
        <v>0.46509443169999998</v>
      </c>
      <c r="BV58" s="27">
        <v>5.1807349000000001E-3</v>
      </c>
      <c r="BW58" s="27">
        <v>24.182571257999999</v>
      </c>
      <c r="BX58" s="27">
        <v>0.1988835256</v>
      </c>
      <c r="BY58" s="80" t="s">
        <v>136</v>
      </c>
      <c r="BZ58" s="80">
        <v>0</v>
      </c>
      <c r="CA58" s="80" t="s">
        <v>136</v>
      </c>
      <c r="CB58" s="80">
        <v>0</v>
      </c>
      <c r="CC58" s="27">
        <v>16.667522234</v>
      </c>
      <c r="CD58" s="27">
        <v>1.3471254300000001E-2</v>
      </c>
      <c r="CE58" s="27">
        <v>18.400895655999999</v>
      </c>
      <c r="CF58" s="27">
        <v>3.9532196200000001E-2</v>
      </c>
      <c r="CG58" s="80" t="s">
        <v>136</v>
      </c>
      <c r="CH58" s="80">
        <v>0</v>
      </c>
      <c r="CI58" s="80" t="s">
        <v>136</v>
      </c>
      <c r="CJ58" s="80">
        <v>0</v>
      </c>
      <c r="CK58" s="80" t="s">
        <v>136</v>
      </c>
      <c r="CL58" s="80">
        <v>0</v>
      </c>
      <c r="CM58" s="80" t="s">
        <v>136</v>
      </c>
      <c r="CN58" s="80">
        <v>0</v>
      </c>
      <c r="CO58" s="27">
        <v>0.1424657436</v>
      </c>
      <c r="CP58" s="27">
        <v>1.4185924999999999E-3</v>
      </c>
      <c r="CQ58" s="27">
        <v>0.63330283669999998</v>
      </c>
      <c r="CR58" s="27">
        <v>6.2147119999999998E-3</v>
      </c>
      <c r="CS58" s="27">
        <v>2.8872185454000001</v>
      </c>
      <c r="CT58" s="27">
        <v>2.87792864E-2</v>
      </c>
      <c r="CU58" s="27">
        <v>29.887165814999999</v>
      </c>
      <c r="CV58" s="27">
        <v>0.68479420369999999</v>
      </c>
      <c r="CW58" s="80" t="s">
        <v>136</v>
      </c>
      <c r="CX58" s="80">
        <v>0</v>
      </c>
      <c r="CY58" s="80" t="s">
        <v>136</v>
      </c>
      <c r="CZ58" s="80">
        <v>0</v>
      </c>
      <c r="DA58" s="27">
        <v>19.163179673999998</v>
      </c>
      <c r="DB58" s="27">
        <v>0.25411114829999998</v>
      </c>
      <c r="DC58" s="27">
        <v>57.935785826</v>
      </c>
      <c r="DD58" s="27">
        <v>2.3990140348</v>
      </c>
      <c r="DE58" s="27">
        <v>32.573165748999998</v>
      </c>
      <c r="DF58" s="27">
        <v>0.54798781860000001</v>
      </c>
      <c r="DG58" s="27">
        <v>143.69863813000001</v>
      </c>
      <c r="DH58" s="92">
        <v>1.2256795362999999</v>
      </c>
      <c r="DI58" s="95">
        <v>3.6707456999999998E-3</v>
      </c>
      <c r="DJ58" s="96">
        <v>6.4311734999999998E-3</v>
      </c>
      <c r="DK58" s="96">
        <v>7.2052927000000001E-3</v>
      </c>
      <c r="DL58" s="96">
        <v>7.3569741000000001E-3</v>
      </c>
      <c r="DM58" s="96">
        <v>7.3805284000000001E-3</v>
      </c>
      <c r="DN58" s="96">
        <v>7.396896E-3</v>
      </c>
      <c r="DO58" s="96">
        <v>7.4078358999999996E-3</v>
      </c>
      <c r="DP58" s="96">
        <v>7.4161718999999999E-3</v>
      </c>
      <c r="DQ58" s="96">
        <v>7.421904E-3</v>
      </c>
      <c r="DR58" s="97">
        <v>7.4276359999999996E-3</v>
      </c>
      <c r="DS58" s="93">
        <v>80.893594989999997</v>
      </c>
      <c r="DT58" s="80">
        <v>0.56462124300000005</v>
      </c>
      <c r="DU58" s="80">
        <v>40.732400173999999</v>
      </c>
      <c r="DV58" s="80">
        <v>0.29615122970000002</v>
      </c>
      <c r="DW58" s="80">
        <v>20.67543525</v>
      </c>
      <c r="DX58" s="80">
        <v>0.1563552651</v>
      </c>
      <c r="DY58" s="80">
        <v>10.668593225</v>
      </c>
      <c r="DZ58" s="80">
        <v>8.4628853700000006E-2</v>
      </c>
      <c r="EA58" s="80">
        <v>5.6670425007</v>
      </c>
      <c r="EB58" s="80">
        <v>4.78843397E-2</v>
      </c>
      <c r="EC58" s="80">
        <v>3.1504061327000001</v>
      </c>
      <c r="ED58" s="80">
        <v>2.8908564000000001E-2</v>
      </c>
      <c r="EE58" s="80">
        <v>1.8456258767</v>
      </c>
      <c r="EF58" s="80">
        <v>1.8783301799999999E-2</v>
      </c>
      <c r="EG58" s="80">
        <v>1.1441608331999999</v>
      </c>
      <c r="EH58" s="80">
        <v>1.3065425E-2</v>
      </c>
      <c r="EI58" s="80">
        <v>0.74109136279999999</v>
      </c>
      <c r="EJ58" s="80">
        <v>9.5885820999999996E-3</v>
      </c>
      <c r="EK58" s="80">
        <v>0.50653787189999999</v>
      </c>
      <c r="EL58" s="94">
        <v>7.4127602999999997E-3</v>
      </c>
    </row>
    <row r="59" spans="1:142" x14ac:dyDescent="0.2">
      <c r="A59" s="79">
        <v>5400</v>
      </c>
      <c r="B59" s="27">
        <v>958</v>
      </c>
      <c r="C59" s="79">
        <v>2149.9674571</v>
      </c>
      <c r="D59" s="27">
        <v>5349.2038549999997</v>
      </c>
      <c r="E59" s="27">
        <v>86.223839127000005</v>
      </c>
      <c r="F59" s="27">
        <v>7.4024127300000006E-2</v>
      </c>
      <c r="G59" s="79">
        <v>8.3105362634999995</v>
      </c>
      <c r="H59" s="27">
        <v>3.7975009E-3</v>
      </c>
      <c r="I59" s="27">
        <v>160.55542865000001</v>
      </c>
      <c r="J59" s="27">
        <v>1.0585793380999999</v>
      </c>
      <c r="K59" s="27">
        <v>80.673452756000003</v>
      </c>
      <c r="L59" s="27">
        <v>0.4977211285</v>
      </c>
      <c r="M59" s="27">
        <v>25.006866803000001</v>
      </c>
      <c r="N59" s="27">
        <v>0.2068647056</v>
      </c>
      <c r="O59" s="80" t="s">
        <v>136</v>
      </c>
      <c r="P59" s="80">
        <v>0</v>
      </c>
      <c r="Q59" s="27">
        <v>35.936962577999999</v>
      </c>
      <c r="R59" s="27">
        <v>5.3993025899999998E-2</v>
      </c>
      <c r="S59" s="80" t="s">
        <v>136</v>
      </c>
      <c r="T59" s="80">
        <v>0</v>
      </c>
      <c r="U59" s="80" t="s">
        <v>136</v>
      </c>
      <c r="V59" s="80">
        <v>0</v>
      </c>
      <c r="W59" s="27">
        <v>0.79228795249999995</v>
      </c>
      <c r="X59" s="27">
        <v>7.7906125999999999E-3</v>
      </c>
      <c r="Y59" s="27">
        <v>33.373047028999999</v>
      </c>
      <c r="Z59" s="27">
        <v>0.72516748610000004</v>
      </c>
      <c r="AA59" s="80" t="s">
        <v>136</v>
      </c>
      <c r="AB59" s="80">
        <v>0</v>
      </c>
      <c r="AC59" s="27">
        <v>9.3779699999999998E-4</v>
      </c>
      <c r="AD59" s="27">
        <v>2.6002600000000001E-6</v>
      </c>
      <c r="AE59" s="80" t="s">
        <v>136</v>
      </c>
      <c r="AF59" s="80">
        <v>0</v>
      </c>
      <c r="AG59" s="80" t="s">
        <v>136</v>
      </c>
      <c r="AH59" s="80">
        <v>0</v>
      </c>
      <c r="AI59" s="27">
        <f t="shared" si="4"/>
        <v>9.3779699999999998E-4</v>
      </c>
      <c r="AJ59" s="27">
        <f t="shared" si="5"/>
        <v>2.6002600000000001E-6</v>
      </c>
      <c r="AK59" s="27">
        <v>128.33796219999999</v>
      </c>
      <c r="AL59" s="27">
        <v>1.6895546003999999</v>
      </c>
      <c r="AM59" s="80" t="s">
        <v>136</v>
      </c>
      <c r="AN59" s="80">
        <v>0</v>
      </c>
      <c r="AO59" s="80" t="s">
        <v>136</v>
      </c>
      <c r="AP59" s="80">
        <v>0</v>
      </c>
      <c r="AQ59" s="80" t="s">
        <v>136</v>
      </c>
      <c r="AR59" s="80">
        <v>0</v>
      </c>
      <c r="AS59" s="27">
        <v>77.883387799999994</v>
      </c>
      <c r="AT59" s="27">
        <v>2.6710282471000002</v>
      </c>
      <c r="AU59" s="27">
        <v>63.682098685</v>
      </c>
      <c r="AV59" s="27">
        <v>0.46591297009999999</v>
      </c>
      <c r="AW59" s="27">
        <v>30.634619545</v>
      </c>
      <c r="AX59" s="27">
        <v>0.30326702890000001</v>
      </c>
      <c r="AY59" s="27">
        <v>8.7072309089999997</v>
      </c>
      <c r="AZ59" s="27">
        <v>7.6234419799999995E-2</v>
      </c>
      <c r="BA59" s="80">
        <f t="shared" si="6"/>
        <v>24.340248231000004</v>
      </c>
      <c r="BB59" s="80">
        <f t="shared" si="7"/>
        <v>8.6411521399999969E-2</v>
      </c>
      <c r="BC59" s="27">
        <v>0</v>
      </c>
      <c r="BD59" s="80">
        <v>0</v>
      </c>
      <c r="BE59" s="27">
        <v>179.12281422000001</v>
      </c>
      <c r="BF59" s="27">
        <v>1.7904363444</v>
      </c>
      <c r="BG59" s="79">
        <v>7.6790545999999996E-3</v>
      </c>
      <c r="BH59" s="80">
        <v>1.5806899999999999E-5</v>
      </c>
      <c r="BI59" s="27">
        <v>136.54019264999999</v>
      </c>
      <c r="BJ59" s="27">
        <v>4.4612884652</v>
      </c>
      <c r="BK59" s="27">
        <v>200.56693901</v>
      </c>
      <c r="BL59" s="27">
        <v>1.5013744623</v>
      </c>
      <c r="BM59" s="27">
        <v>48.732275672999997</v>
      </c>
      <c r="BN59" s="27">
        <v>0.26246200650000001</v>
      </c>
      <c r="BO59" s="27">
        <v>0.22317248679999999</v>
      </c>
      <c r="BP59" s="27">
        <v>5.0927549999999996E-4</v>
      </c>
      <c r="BQ59" s="27">
        <v>0</v>
      </c>
      <c r="BR59" s="92">
        <v>0</v>
      </c>
      <c r="BS59" s="80" t="s">
        <v>136</v>
      </c>
      <c r="BT59" s="80">
        <v>0</v>
      </c>
      <c r="BU59" s="27">
        <v>0.46516768530000002</v>
      </c>
      <c r="BV59" s="27">
        <v>5.1841773000000004E-3</v>
      </c>
      <c r="BW59" s="27">
        <v>24.541699117</v>
      </c>
      <c r="BX59" s="27">
        <v>0.20168052829999999</v>
      </c>
      <c r="BY59" s="80" t="s">
        <v>136</v>
      </c>
      <c r="BZ59" s="80">
        <v>0</v>
      </c>
      <c r="CA59" s="80" t="s">
        <v>136</v>
      </c>
      <c r="CB59" s="80">
        <v>0</v>
      </c>
      <c r="CC59" s="27">
        <v>17.170069425000001</v>
      </c>
      <c r="CD59" s="27">
        <v>1.38040886E-2</v>
      </c>
      <c r="CE59" s="27">
        <v>18.766893153000002</v>
      </c>
      <c r="CF59" s="27">
        <v>4.0188937299999998E-2</v>
      </c>
      <c r="CG59" s="80" t="s">
        <v>136</v>
      </c>
      <c r="CH59" s="80">
        <v>0</v>
      </c>
      <c r="CI59" s="80" t="s">
        <v>136</v>
      </c>
      <c r="CJ59" s="80">
        <v>0</v>
      </c>
      <c r="CK59" s="80" t="s">
        <v>136</v>
      </c>
      <c r="CL59" s="80">
        <v>0</v>
      </c>
      <c r="CM59" s="80" t="s">
        <v>136</v>
      </c>
      <c r="CN59" s="80">
        <v>0</v>
      </c>
      <c r="CO59" s="27">
        <v>0.14588882040000001</v>
      </c>
      <c r="CP59" s="27">
        <v>1.4622267000000001E-3</v>
      </c>
      <c r="CQ59" s="27">
        <v>0.6463991321</v>
      </c>
      <c r="CR59" s="27">
        <v>6.3283860000000001E-3</v>
      </c>
      <c r="CS59" s="27">
        <v>2.9676408459000001</v>
      </c>
      <c r="CT59" s="27">
        <v>2.93891441E-2</v>
      </c>
      <c r="CU59" s="27">
        <v>30.405406183</v>
      </c>
      <c r="CV59" s="27">
        <v>0.69577834199999999</v>
      </c>
      <c r="CW59" s="80" t="s">
        <v>136</v>
      </c>
      <c r="CX59" s="80">
        <v>0</v>
      </c>
      <c r="CY59" s="80" t="s">
        <v>136</v>
      </c>
      <c r="CZ59" s="80">
        <v>0</v>
      </c>
      <c r="DA59" s="27">
        <v>19.400564873</v>
      </c>
      <c r="DB59" s="27">
        <v>0.25696828170000002</v>
      </c>
      <c r="DC59" s="27">
        <v>58.482822927000001</v>
      </c>
      <c r="DD59" s="27">
        <v>2.4140599653999999</v>
      </c>
      <c r="DE59" s="27">
        <v>33.660731767000001</v>
      </c>
      <c r="DF59" s="27">
        <v>0.55597273889999999</v>
      </c>
      <c r="DG59" s="27">
        <v>145.46208245</v>
      </c>
      <c r="DH59" s="92">
        <v>1.2344636054</v>
      </c>
      <c r="DI59" s="95">
        <v>3.7654761999999999E-3</v>
      </c>
      <c r="DJ59" s="96">
        <v>6.6021476000000003E-3</v>
      </c>
      <c r="DK59" s="96">
        <v>7.4137187000000004E-3</v>
      </c>
      <c r="DL59" s="96">
        <v>7.5729910999999999E-3</v>
      </c>
      <c r="DM59" s="96">
        <v>7.5964726999999998E-3</v>
      </c>
      <c r="DN59" s="96">
        <v>7.6127920999999998E-3</v>
      </c>
      <c r="DO59" s="96">
        <v>7.6237055999999999E-3</v>
      </c>
      <c r="DP59" s="96">
        <v>7.6320188000000002E-3</v>
      </c>
      <c r="DQ59" s="96">
        <v>7.6377318000000003E-3</v>
      </c>
      <c r="DR59" s="97">
        <v>7.6434448000000004E-3</v>
      </c>
      <c r="DS59" s="93">
        <v>81.324903356999997</v>
      </c>
      <c r="DT59" s="80">
        <v>0.56756185640000001</v>
      </c>
      <c r="DU59" s="80">
        <v>41.020171644999998</v>
      </c>
      <c r="DV59" s="80">
        <v>0.29819211359999998</v>
      </c>
      <c r="DW59" s="80">
        <v>20.856535779000001</v>
      </c>
      <c r="DX59" s="80">
        <v>0.15769425640000001</v>
      </c>
      <c r="DY59" s="80">
        <v>10.771592506999999</v>
      </c>
      <c r="DZ59" s="80">
        <v>8.5449420700000001E-2</v>
      </c>
      <c r="EA59" s="80">
        <v>5.7246841172999998</v>
      </c>
      <c r="EB59" s="80">
        <v>4.8392912099999998E-2</v>
      </c>
      <c r="EC59" s="80">
        <v>3.1823802322999999</v>
      </c>
      <c r="ED59" s="80">
        <v>2.9234852799999999E-2</v>
      </c>
      <c r="EE59" s="80">
        <v>1.8650576691</v>
      </c>
      <c r="EF59" s="80">
        <v>1.9016252399999999E-2</v>
      </c>
      <c r="EG59" s="80">
        <v>1.1556988667999999</v>
      </c>
      <c r="EH59" s="80">
        <v>1.3237411399999999E-2</v>
      </c>
      <c r="EI59" s="80">
        <v>0.74992662529999998</v>
      </c>
      <c r="EJ59" s="80">
        <v>9.7365171999999993E-3</v>
      </c>
      <c r="EK59" s="80">
        <v>0.51337006480000003</v>
      </c>
      <c r="EL59" s="94">
        <v>7.5412904000000001E-3</v>
      </c>
    </row>
    <row r="60" spans="1:142" x14ac:dyDescent="0.2">
      <c r="A60" s="79">
        <v>5500</v>
      </c>
      <c r="B60" s="27">
        <v>912</v>
      </c>
      <c r="C60" s="79">
        <v>2171.4849463999999</v>
      </c>
      <c r="D60" s="27">
        <v>5448.9789754000003</v>
      </c>
      <c r="E60" s="27">
        <v>87.719322405</v>
      </c>
      <c r="F60" s="27">
        <v>7.4697463500000005E-2</v>
      </c>
      <c r="G60" s="79">
        <v>8.5914706098</v>
      </c>
      <c r="H60" s="27">
        <v>3.8805162000000002E-3</v>
      </c>
      <c r="I60" s="27">
        <v>161.1135567</v>
      </c>
      <c r="J60" s="27">
        <v>1.0625880384999999</v>
      </c>
      <c r="K60" s="27">
        <v>81.307943249000004</v>
      </c>
      <c r="L60" s="27">
        <v>0.50178658009999999</v>
      </c>
      <c r="M60" s="27">
        <v>25.283653115</v>
      </c>
      <c r="N60" s="27">
        <v>0.2089554008</v>
      </c>
      <c r="O60" s="80" t="s">
        <v>136</v>
      </c>
      <c r="P60" s="80">
        <v>0</v>
      </c>
      <c r="Q60" s="27">
        <v>36.688178493000002</v>
      </c>
      <c r="R60" s="27">
        <v>5.4890915999999998E-2</v>
      </c>
      <c r="S60" s="80" t="s">
        <v>136</v>
      </c>
      <c r="T60" s="80">
        <v>0</v>
      </c>
      <c r="U60" s="80" t="s">
        <v>136</v>
      </c>
      <c r="V60" s="80">
        <v>0</v>
      </c>
      <c r="W60" s="27">
        <v>0.80056974309999995</v>
      </c>
      <c r="X60" s="27">
        <v>7.8816580999999993E-3</v>
      </c>
      <c r="Y60" s="27">
        <v>33.823328173999997</v>
      </c>
      <c r="Z60" s="27">
        <v>0.73382757210000005</v>
      </c>
      <c r="AA60" s="80" t="s">
        <v>136</v>
      </c>
      <c r="AB60" s="80">
        <v>0</v>
      </c>
      <c r="AC60" s="27">
        <v>9.3461900000000003E-4</v>
      </c>
      <c r="AD60" s="27">
        <v>2.5914481999999998E-6</v>
      </c>
      <c r="AE60" s="80" t="s">
        <v>136</v>
      </c>
      <c r="AF60" s="80">
        <v>0</v>
      </c>
      <c r="AG60" s="80" t="s">
        <v>136</v>
      </c>
      <c r="AH60" s="80">
        <v>0</v>
      </c>
      <c r="AI60" s="27">
        <f t="shared" si="4"/>
        <v>9.3461900000000003E-4</v>
      </c>
      <c r="AJ60" s="27">
        <f t="shared" si="5"/>
        <v>2.5914481999999998E-6</v>
      </c>
      <c r="AK60" s="27">
        <v>129.25169335999999</v>
      </c>
      <c r="AL60" s="27">
        <v>1.6962885484000001</v>
      </c>
      <c r="AM60" s="80" t="s">
        <v>136</v>
      </c>
      <c r="AN60" s="80">
        <v>0</v>
      </c>
      <c r="AO60" s="80" t="s">
        <v>136</v>
      </c>
      <c r="AP60" s="80">
        <v>0</v>
      </c>
      <c r="AQ60" s="80" t="s">
        <v>136</v>
      </c>
      <c r="AR60" s="80">
        <v>0</v>
      </c>
      <c r="AS60" s="27">
        <v>78.620776383000006</v>
      </c>
      <c r="AT60" s="27">
        <v>2.6883696324000002</v>
      </c>
      <c r="AU60" s="27">
        <v>64.506977151000001</v>
      </c>
      <c r="AV60" s="27">
        <v>0.4702053404</v>
      </c>
      <c r="AW60" s="27">
        <v>31.002908638000001</v>
      </c>
      <c r="AX60" s="27">
        <v>0.30600305529999999</v>
      </c>
      <c r="AY60" s="27">
        <v>8.7896903116999994</v>
      </c>
      <c r="AZ60" s="27">
        <v>7.6770765399999996E-2</v>
      </c>
      <c r="BA60" s="80">
        <f t="shared" si="6"/>
        <v>24.714378201300001</v>
      </c>
      <c r="BB60" s="80">
        <f t="shared" si="7"/>
        <v>8.7431519700000015E-2</v>
      </c>
      <c r="BC60" s="27">
        <v>0</v>
      </c>
      <c r="BD60" s="80">
        <v>0</v>
      </c>
      <c r="BE60" s="27">
        <v>182.14299392000001</v>
      </c>
      <c r="BF60" s="27">
        <v>1.8058585921999999</v>
      </c>
      <c r="BG60" s="79">
        <v>7.8558172000000002E-3</v>
      </c>
      <c r="BH60" s="80">
        <v>1.5772599999999999E-5</v>
      </c>
      <c r="BI60" s="27">
        <v>137.37589967</v>
      </c>
      <c r="BJ60" s="27">
        <v>4.4784466423999998</v>
      </c>
      <c r="BK60" s="27">
        <v>203.89678681000001</v>
      </c>
      <c r="BL60" s="27">
        <v>1.5221085830000001</v>
      </c>
      <c r="BM60" s="27">
        <v>49.444535015</v>
      </c>
      <c r="BN60" s="27">
        <v>0.26546287769999999</v>
      </c>
      <c r="BO60" s="27">
        <v>0.23801226180000001</v>
      </c>
      <c r="BP60" s="27">
        <v>5.1646180000000002E-4</v>
      </c>
      <c r="BQ60" s="27">
        <v>0</v>
      </c>
      <c r="BR60" s="92">
        <v>0</v>
      </c>
      <c r="BS60" s="80" t="s">
        <v>136</v>
      </c>
      <c r="BT60" s="80">
        <v>0</v>
      </c>
      <c r="BU60" s="27">
        <v>0.47149722490000001</v>
      </c>
      <c r="BV60" s="27">
        <v>5.2624276999999999E-3</v>
      </c>
      <c r="BW60" s="27">
        <v>24.81215589</v>
      </c>
      <c r="BX60" s="27">
        <v>0.20369297319999999</v>
      </c>
      <c r="BY60" s="80" t="s">
        <v>136</v>
      </c>
      <c r="BZ60" s="80">
        <v>0</v>
      </c>
      <c r="CA60" s="80" t="s">
        <v>136</v>
      </c>
      <c r="CB60" s="80">
        <v>0</v>
      </c>
      <c r="CC60" s="27">
        <v>17.596594569000001</v>
      </c>
      <c r="CD60" s="27">
        <v>1.40713088E-2</v>
      </c>
      <c r="CE60" s="27">
        <v>19.091583923999998</v>
      </c>
      <c r="CF60" s="27">
        <v>4.0819607199999997E-2</v>
      </c>
      <c r="CG60" s="80" t="s">
        <v>136</v>
      </c>
      <c r="CH60" s="80">
        <v>0</v>
      </c>
      <c r="CI60" s="80" t="s">
        <v>136</v>
      </c>
      <c r="CJ60" s="80">
        <v>0</v>
      </c>
      <c r="CK60" s="80" t="s">
        <v>136</v>
      </c>
      <c r="CL60" s="80">
        <v>0</v>
      </c>
      <c r="CM60" s="80" t="s">
        <v>136</v>
      </c>
      <c r="CN60" s="80">
        <v>0</v>
      </c>
      <c r="CO60" s="27">
        <v>0.14977690799999999</v>
      </c>
      <c r="CP60" s="27">
        <v>1.4917462E-3</v>
      </c>
      <c r="CQ60" s="27">
        <v>0.65079283509999997</v>
      </c>
      <c r="CR60" s="27">
        <v>6.3899118999999997E-3</v>
      </c>
      <c r="CS60" s="27">
        <v>3.0397746123</v>
      </c>
      <c r="CT60" s="27">
        <v>2.98202012E-2</v>
      </c>
      <c r="CU60" s="27">
        <v>30.783553561000002</v>
      </c>
      <c r="CV60" s="27">
        <v>0.70400737089999998</v>
      </c>
      <c r="CW60" s="80" t="s">
        <v>136</v>
      </c>
      <c r="CX60" s="80">
        <v>0</v>
      </c>
      <c r="CY60" s="80" t="s">
        <v>136</v>
      </c>
      <c r="CZ60" s="80">
        <v>0</v>
      </c>
      <c r="DA60" s="27">
        <v>19.643125425000001</v>
      </c>
      <c r="DB60" s="27">
        <v>0.2597003255</v>
      </c>
      <c r="DC60" s="27">
        <v>58.977650957999998</v>
      </c>
      <c r="DD60" s="27">
        <v>2.4286693069999998</v>
      </c>
      <c r="DE60" s="27">
        <v>34.787764899999999</v>
      </c>
      <c r="DF60" s="27">
        <v>0.56348585039999999</v>
      </c>
      <c r="DG60" s="27">
        <v>147.35522902</v>
      </c>
      <c r="DH60" s="92">
        <v>1.2423727417999999</v>
      </c>
      <c r="DI60" s="95">
        <v>3.8485911000000002E-3</v>
      </c>
      <c r="DJ60" s="96">
        <v>6.7482165999999998E-3</v>
      </c>
      <c r="DK60" s="96">
        <v>7.5801356000000002E-3</v>
      </c>
      <c r="DL60" s="96">
        <v>7.7483396000000001E-3</v>
      </c>
      <c r="DM60" s="96">
        <v>7.7735028000000001E-3</v>
      </c>
      <c r="DN60" s="96">
        <v>7.7897712999999997E-3</v>
      </c>
      <c r="DO60" s="96">
        <v>7.8006498999999997E-3</v>
      </c>
      <c r="DP60" s="96">
        <v>7.8089370000000002E-3</v>
      </c>
      <c r="DQ60" s="96">
        <v>7.8146327000000008E-3</v>
      </c>
      <c r="DR60" s="97">
        <v>7.8203283999999998E-3</v>
      </c>
      <c r="DS60" s="93">
        <v>81.774249413000007</v>
      </c>
      <c r="DT60" s="80">
        <v>0.57086582509999995</v>
      </c>
      <c r="DU60" s="80">
        <v>41.345040697000002</v>
      </c>
      <c r="DV60" s="80">
        <v>0.30069295759999998</v>
      </c>
      <c r="DW60" s="80">
        <v>21.082729549</v>
      </c>
      <c r="DX60" s="80">
        <v>0.15953612589999999</v>
      </c>
      <c r="DY60" s="80">
        <v>10.922818375</v>
      </c>
      <c r="DZ60" s="80">
        <v>8.6793601499999998E-2</v>
      </c>
      <c r="EA60" s="80">
        <v>5.8266101420999998</v>
      </c>
      <c r="EB60" s="80">
        <v>4.9377938699999999E-2</v>
      </c>
      <c r="EC60" s="80">
        <v>3.2497876895000002</v>
      </c>
      <c r="ED60" s="80">
        <v>2.99531806E-2</v>
      </c>
      <c r="EE60" s="80">
        <v>1.9098753399999999</v>
      </c>
      <c r="EF60" s="80">
        <v>1.95601953E-2</v>
      </c>
      <c r="EG60" s="80">
        <v>1.1845702105</v>
      </c>
      <c r="EH60" s="80">
        <v>1.3647308299999999E-2</v>
      </c>
      <c r="EI60" s="80">
        <v>0.76970182259999997</v>
      </c>
      <c r="EJ60" s="80">
        <v>1.00679033E-2</v>
      </c>
      <c r="EK60" s="80">
        <v>0.52810294999999996</v>
      </c>
      <c r="EL60" s="94">
        <v>7.8225677999999993E-3</v>
      </c>
    </row>
    <row r="61" spans="1:142" x14ac:dyDescent="0.2">
      <c r="A61" s="79">
        <v>5600</v>
      </c>
      <c r="B61" s="27">
        <v>898</v>
      </c>
      <c r="C61" s="79">
        <v>2192.7783537</v>
      </c>
      <c r="D61" s="27">
        <v>5550.8726180000003</v>
      </c>
      <c r="E61" s="27">
        <v>89.269727192000005</v>
      </c>
      <c r="F61" s="27">
        <v>7.5400512700000005E-2</v>
      </c>
      <c r="G61" s="79">
        <v>8.8760595979999994</v>
      </c>
      <c r="H61" s="27">
        <v>3.9697214E-3</v>
      </c>
      <c r="I61" s="27">
        <v>161.70883262999999</v>
      </c>
      <c r="J61" s="27">
        <v>1.0665477847</v>
      </c>
      <c r="K61" s="27">
        <v>81.905621601000007</v>
      </c>
      <c r="L61" s="27">
        <v>0.5061017552</v>
      </c>
      <c r="M61" s="27">
        <v>25.631055240999999</v>
      </c>
      <c r="N61" s="27">
        <v>0.21154617410000001</v>
      </c>
      <c r="O61" s="80" t="s">
        <v>136</v>
      </c>
      <c r="P61" s="80">
        <v>0</v>
      </c>
      <c r="Q61" s="27">
        <v>37.600030861999997</v>
      </c>
      <c r="R61" s="27">
        <v>5.5913515499999997E-2</v>
      </c>
      <c r="S61" s="80" t="s">
        <v>136</v>
      </c>
      <c r="T61" s="80">
        <v>0</v>
      </c>
      <c r="U61" s="80" t="s">
        <v>136</v>
      </c>
      <c r="V61" s="80">
        <v>0</v>
      </c>
      <c r="W61" s="27">
        <v>0.82019769340000004</v>
      </c>
      <c r="X61" s="27">
        <v>8.0070204999999998E-3</v>
      </c>
      <c r="Y61" s="27">
        <v>34.33563418</v>
      </c>
      <c r="Z61" s="27">
        <v>0.74512589829999998</v>
      </c>
      <c r="AA61" s="80" t="s">
        <v>136</v>
      </c>
      <c r="AB61" s="80">
        <v>0</v>
      </c>
      <c r="AC61" s="27">
        <v>9.3220320000000001E-4</v>
      </c>
      <c r="AD61" s="27">
        <v>2.5847500000000001E-6</v>
      </c>
      <c r="AE61" s="80" t="s">
        <v>136</v>
      </c>
      <c r="AF61" s="80">
        <v>0</v>
      </c>
      <c r="AG61" s="80" t="s">
        <v>136</v>
      </c>
      <c r="AH61" s="80">
        <v>0</v>
      </c>
      <c r="AI61" s="27">
        <f t="shared" si="4"/>
        <v>9.3220320000000001E-4</v>
      </c>
      <c r="AJ61" s="27">
        <f t="shared" si="5"/>
        <v>2.5847500000000001E-6</v>
      </c>
      <c r="AK61" s="27">
        <v>130.12341604</v>
      </c>
      <c r="AL61" s="27">
        <v>1.7027573681999999</v>
      </c>
      <c r="AM61" s="80" t="s">
        <v>136</v>
      </c>
      <c r="AN61" s="80">
        <v>0</v>
      </c>
      <c r="AO61" s="80" t="s">
        <v>136</v>
      </c>
      <c r="AP61" s="80">
        <v>0</v>
      </c>
      <c r="AQ61" s="80" t="s">
        <v>136</v>
      </c>
      <c r="AR61" s="80">
        <v>0</v>
      </c>
      <c r="AS61" s="27">
        <v>79.275078621999995</v>
      </c>
      <c r="AT61" s="27">
        <v>2.7044028348000002</v>
      </c>
      <c r="AU61" s="27">
        <v>65.259546599000004</v>
      </c>
      <c r="AV61" s="27">
        <v>0.47406454079999999</v>
      </c>
      <c r="AW61" s="27">
        <v>31.338493768999999</v>
      </c>
      <c r="AX61" s="27">
        <v>0.30856062150000002</v>
      </c>
      <c r="AY61" s="27">
        <v>8.8764940946999999</v>
      </c>
      <c r="AZ61" s="27">
        <v>7.7268699100000005E-2</v>
      </c>
      <c r="BA61" s="80">
        <f t="shared" si="6"/>
        <v>25.044558735300001</v>
      </c>
      <c r="BB61" s="80">
        <f t="shared" si="7"/>
        <v>8.8235220199999964E-2</v>
      </c>
      <c r="BC61" s="27">
        <v>0</v>
      </c>
      <c r="BD61" s="80">
        <v>0</v>
      </c>
      <c r="BE61" s="27">
        <v>184.70098666000001</v>
      </c>
      <c r="BF61" s="27">
        <v>1.8197258381000001</v>
      </c>
      <c r="BG61" s="79">
        <v>8.0487865999999998E-3</v>
      </c>
      <c r="BH61" s="80">
        <v>1.57408E-5</v>
      </c>
      <c r="BI61" s="27">
        <v>138.24867889999999</v>
      </c>
      <c r="BJ61" s="27">
        <v>4.4982178601999996</v>
      </c>
      <c r="BK61" s="27">
        <v>207.72094652999999</v>
      </c>
      <c r="BL61" s="27">
        <v>1.5461646296</v>
      </c>
      <c r="BM61" s="27">
        <v>50.019767844</v>
      </c>
      <c r="BN61" s="27">
        <v>0.26814597899999998</v>
      </c>
      <c r="BO61" s="27">
        <v>0.24460741280000001</v>
      </c>
      <c r="BP61" s="27">
        <v>5.1994970000000004E-4</v>
      </c>
      <c r="BQ61" s="27">
        <v>0</v>
      </c>
      <c r="BR61" s="92">
        <v>0</v>
      </c>
      <c r="BS61" s="80" t="s">
        <v>136</v>
      </c>
      <c r="BT61" s="80">
        <v>0</v>
      </c>
      <c r="BU61" s="27">
        <v>0.47848465540000001</v>
      </c>
      <c r="BV61" s="27">
        <v>5.3186170000000003E-3</v>
      </c>
      <c r="BW61" s="27">
        <v>25.152570586</v>
      </c>
      <c r="BX61" s="27">
        <v>0.20622755709999999</v>
      </c>
      <c r="BY61" s="80" t="s">
        <v>136</v>
      </c>
      <c r="BZ61" s="80">
        <v>0</v>
      </c>
      <c r="CA61" s="80" t="s">
        <v>136</v>
      </c>
      <c r="CB61" s="80">
        <v>0</v>
      </c>
      <c r="CC61" s="27">
        <v>18.049484152000002</v>
      </c>
      <c r="CD61" s="27">
        <v>1.4339116799999999E-2</v>
      </c>
      <c r="CE61" s="27">
        <v>19.550546709999999</v>
      </c>
      <c r="CF61" s="27">
        <v>4.1574398700000001E-2</v>
      </c>
      <c r="CG61" s="80" t="s">
        <v>136</v>
      </c>
      <c r="CH61" s="80">
        <v>0</v>
      </c>
      <c r="CI61" s="80" t="s">
        <v>136</v>
      </c>
      <c r="CJ61" s="80">
        <v>0</v>
      </c>
      <c r="CK61" s="80" t="s">
        <v>136</v>
      </c>
      <c r="CL61" s="80">
        <v>0</v>
      </c>
      <c r="CM61" s="80" t="s">
        <v>136</v>
      </c>
      <c r="CN61" s="80">
        <v>0</v>
      </c>
      <c r="CO61" s="27">
        <v>0.16807326510000001</v>
      </c>
      <c r="CP61" s="27">
        <v>1.6034686E-3</v>
      </c>
      <c r="CQ61" s="27">
        <v>0.65212442829999995</v>
      </c>
      <c r="CR61" s="27">
        <v>6.4035519000000003E-3</v>
      </c>
      <c r="CS61" s="27">
        <v>3.0878631506000001</v>
      </c>
      <c r="CT61" s="27">
        <v>3.0339082199999999E-2</v>
      </c>
      <c r="CU61" s="27">
        <v>31.247771028999999</v>
      </c>
      <c r="CV61" s="27">
        <v>0.71478681610000006</v>
      </c>
      <c r="CW61" s="80" t="s">
        <v>136</v>
      </c>
      <c r="CX61" s="80">
        <v>0</v>
      </c>
      <c r="CY61" s="80" t="s">
        <v>136</v>
      </c>
      <c r="CZ61" s="80">
        <v>0</v>
      </c>
      <c r="DA61" s="27">
        <v>19.812561536</v>
      </c>
      <c r="DB61" s="27">
        <v>0.26179477629999998</v>
      </c>
      <c r="DC61" s="27">
        <v>59.462517085999998</v>
      </c>
      <c r="DD61" s="27">
        <v>2.4426080584999998</v>
      </c>
      <c r="DE61" s="27">
        <v>35.697522026000001</v>
      </c>
      <c r="DF61" s="27">
        <v>0.56939934380000001</v>
      </c>
      <c r="DG61" s="27">
        <v>149.00346463</v>
      </c>
      <c r="DH61" s="92">
        <v>1.2503264943000001</v>
      </c>
      <c r="DI61" s="95">
        <v>3.9326309999999998E-3</v>
      </c>
      <c r="DJ61" s="96">
        <v>6.8948686000000004E-3</v>
      </c>
      <c r="DK61" s="96">
        <v>7.7598166000000003E-3</v>
      </c>
      <c r="DL61" s="96">
        <v>7.9398939999999994E-3</v>
      </c>
      <c r="DM61" s="96">
        <v>7.96673E-3</v>
      </c>
      <c r="DN61" s="96">
        <v>7.9829487000000008E-3</v>
      </c>
      <c r="DO61" s="96">
        <v>7.9937970000000004E-3</v>
      </c>
      <c r="DP61" s="96">
        <v>8.0020604999999998E-3</v>
      </c>
      <c r="DQ61" s="96">
        <v>8.0077393000000004E-3</v>
      </c>
      <c r="DR61" s="97">
        <v>8.0134182000000005E-3</v>
      </c>
      <c r="DS61" s="93">
        <v>82.249901586999997</v>
      </c>
      <c r="DT61" s="80">
        <v>0.57409482000000001</v>
      </c>
      <c r="DU61" s="80">
        <v>41.692775900999997</v>
      </c>
      <c r="DV61" s="80">
        <v>0.3030961486</v>
      </c>
      <c r="DW61" s="80">
        <v>21.312798118</v>
      </c>
      <c r="DX61" s="80">
        <v>0.1611583798</v>
      </c>
      <c r="DY61" s="80">
        <v>11.061240099000001</v>
      </c>
      <c r="DZ61" s="80">
        <v>8.7809638199999998E-2</v>
      </c>
      <c r="EA61" s="80">
        <v>5.9056639349999998</v>
      </c>
      <c r="EB61" s="80">
        <v>4.9993689899999999E-2</v>
      </c>
      <c r="EC61" s="80">
        <v>3.2949659725</v>
      </c>
      <c r="ED61" s="80">
        <v>3.0331056299999999E-2</v>
      </c>
      <c r="EE61" s="80">
        <v>1.9376637565999999</v>
      </c>
      <c r="EF61" s="80">
        <v>1.98192269E-2</v>
      </c>
      <c r="EG61" s="80">
        <v>1.2007863715</v>
      </c>
      <c r="EH61" s="80">
        <v>1.38205403E-2</v>
      </c>
      <c r="EI61" s="80">
        <v>0.78151375570000003</v>
      </c>
      <c r="EJ61" s="80">
        <v>1.02054057E-2</v>
      </c>
      <c r="EK61" s="80">
        <v>0.53573673340000005</v>
      </c>
      <c r="EL61" s="94">
        <v>7.9269244000000003E-3</v>
      </c>
    </row>
    <row r="62" spans="1:142" x14ac:dyDescent="0.2">
      <c r="A62" s="79">
        <v>5700</v>
      </c>
      <c r="B62" s="27">
        <v>848</v>
      </c>
      <c r="C62" s="79">
        <v>2213.9015562</v>
      </c>
      <c r="D62" s="27">
        <v>5649.9284704000002</v>
      </c>
      <c r="E62" s="27">
        <v>90.931530146</v>
      </c>
      <c r="F62" s="27">
        <v>7.6097682900000005E-2</v>
      </c>
      <c r="G62" s="79">
        <v>9.1482195554000008</v>
      </c>
      <c r="H62" s="27">
        <v>4.0631990999999996E-3</v>
      </c>
      <c r="I62" s="27">
        <v>162.33053337000001</v>
      </c>
      <c r="J62" s="27">
        <v>1.0705420541999999</v>
      </c>
      <c r="K62" s="27">
        <v>82.465159309000001</v>
      </c>
      <c r="L62" s="27">
        <v>0.51020103890000001</v>
      </c>
      <c r="M62" s="27">
        <v>25.925025244</v>
      </c>
      <c r="N62" s="27">
        <v>0.2137746925</v>
      </c>
      <c r="O62" s="80" t="s">
        <v>136</v>
      </c>
      <c r="P62" s="80">
        <v>0</v>
      </c>
      <c r="Q62" s="27">
        <v>38.573943450000002</v>
      </c>
      <c r="R62" s="27">
        <v>5.7119488400000001E-2</v>
      </c>
      <c r="S62" s="80" t="s">
        <v>136</v>
      </c>
      <c r="T62" s="80">
        <v>0</v>
      </c>
      <c r="U62" s="80" t="s">
        <v>136</v>
      </c>
      <c r="V62" s="80">
        <v>0</v>
      </c>
      <c r="W62" s="27">
        <v>0.83525044270000004</v>
      </c>
      <c r="X62" s="27">
        <v>8.1694187999999997E-3</v>
      </c>
      <c r="Y62" s="27">
        <v>34.764084707000002</v>
      </c>
      <c r="Z62" s="27">
        <v>0.75308426809999995</v>
      </c>
      <c r="AA62" s="80" t="s">
        <v>136</v>
      </c>
      <c r="AB62" s="80">
        <v>0</v>
      </c>
      <c r="AC62" s="27">
        <v>9.3007660000000005E-4</v>
      </c>
      <c r="AD62" s="27">
        <v>2.5788533999999999E-6</v>
      </c>
      <c r="AE62" s="80" t="s">
        <v>136</v>
      </c>
      <c r="AF62" s="80">
        <v>0</v>
      </c>
      <c r="AG62" s="80" t="s">
        <v>136</v>
      </c>
      <c r="AH62" s="80">
        <v>0</v>
      </c>
      <c r="AI62" s="27">
        <f t="shared" si="4"/>
        <v>9.3007660000000005E-4</v>
      </c>
      <c r="AJ62" s="27">
        <f t="shared" si="5"/>
        <v>2.5788533999999999E-6</v>
      </c>
      <c r="AK62" s="27">
        <v>131.15643936999999</v>
      </c>
      <c r="AL62" s="27">
        <v>1.7103927602</v>
      </c>
      <c r="AM62" s="80" t="s">
        <v>136</v>
      </c>
      <c r="AN62" s="80">
        <v>0</v>
      </c>
      <c r="AO62" s="80" t="s">
        <v>136</v>
      </c>
      <c r="AP62" s="80">
        <v>0</v>
      </c>
      <c r="AQ62" s="80" t="s">
        <v>136</v>
      </c>
      <c r="AR62" s="80">
        <v>0</v>
      </c>
      <c r="AS62" s="27">
        <v>79.933928692999999</v>
      </c>
      <c r="AT62" s="27">
        <v>2.7200371578000002</v>
      </c>
      <c r="AU62" s="27">
        <v>65.993408786000003</v>
      </c>
      <c r="AV62" s="27">
        <v>0.47794752330000001</v>
      </c>
      <c r="AW62" s="27">
        <v>31.687666086</v>
      </c>
      <c r="AX62" s="27">
        <v>0.31121228849999999</v>
      </c>
      <c r="AY62" s="27">
        <v>8.9109028640000005</v>
      </c>
      <c r="AZ62" s="27">
        <v>7.7569375900000001E-2</v>
      </c>
      <c r="BA62" s="80">
        <f t="shared" si="6"/>
        <v>25.394839836000003</v>
      </c>
      <c r="BB62" s="80">
        <f t="shared" si="7"/>
        <v>8.9165858900000006E-2</v>
      </c>
      <c r="BC62" s="27">
        <v>0</v>
      </c>
      <c r="BD62" s="80">
        <v>0</v>
      </c>
      <c r="BE62" s="27">
        <v>187.55876001999999</v>
      </c>
      <c r="BF62" s="27">
        <v>1.8355890259000001</v>
      </c>
      <c r="BG62" s="79">
        <v>8.2631458999999994E-3</v>
      </c>
      <c r="BH62" s="80">
        <v>1.5709099999999998E-5</v>
      </c>
      <c r="BI62" s="27">
        <v>138.97142833000001</v>
      </c>
      <c r="BJ62" s="27">
        <v>4.5138814580000002</v>
      </c>
      <c r="BK62" s="27">
        <v>210.80723168</v>
      </c>
      <c r="BL62" s="27">
        <v>1.5672501728999999</v>
      </c>
      <c r="BM62" s="27">
        <v>50.569011676000002</v>
      </c>
      <c r="BN62" s="27">
        <v>0.27050266740000001</v>
      </c>
      <c r="BO62" s="27">
        <v>0.25728939470000001</v>
      </c>
      <c r="BP62" s="27">
        <v>5.2535400000000001E-4</v>
      </c>
      <c r="BQ62" s="27">
        <v>0</v>
      </c>
      <c r="BR62" s="92">
        <v>0</v>
      </c>
      <c r="BS62" s="80" t="s">
        <v>136</v>
      </c>
      <c r="BT62" s="80">
        <v>0</v>
      </c>
      <c r="BU62" s="27">
        <v>0.48765792800000002</v>
      </c>
      <c r="BV62" s="27">
        <v>5.4727494E-3</v>
      </c>
      <c r="BW62" s="27">
        <v>25.437367316</v>
      </c>
      <c r="BX62" s="27">
        <v>0.2083019431</v>
      </c>
      <c r="BY62" s="80" t="s">
        <v>136</v>
      </c>
      <c r="BZ62" s="80">
        <v>0</v>
      </c>
      <c r="CA62" s="80" t="s">
        <v>136</v>
      </c>
      <c r="CB62" s="80">
        <v>0</v>
      </c>
      <c r="CC62" s="27">
        <v>18.634430646999999</v>
      </c>
      <c r="CD62" s="27">
        <v>1.47137859E-2</v>
      </c>
      <c r="CE62" s="27">
        <v>19.939512803</v>
      </c>
      <c r="CF62" s="27">
        <v>4.2405702500000003E-2</v>
      </c>
      <c r="CG62" s="80" t="s">
        <v>136</v>
      </c>
      <c r="CH62" s="80">
        <v>0</v>
      </c>
      <c r="CI62" s="80" t="s">
        <v>136</v>
      </c>
      <c r="CJ62" s="80">
        <v>0</v>
      </c>
      <c r="CK62" s="80" t="s">
        <v>136</v>
      </c>
      <c r="CL62" s="80">
        <v>0</v>
      </c>
      <c r="CM62" s="80" t="s">
        <v>136</v>
      </c>
      <c r="CN62" s="80">
        <v>0</v>
      </c>
      <c r="CO62" s="27">
        <v>0.1676633129</v>
      </c>
      <c r="CP62" s="27">
        <v>1.5996090999999999E-3</v>
      </c>
      <c r="CQ62" s="27">
        <v>0.66758712980000001</v>
      </c>
      <c r="CR62" s="27">
        <v>6.5698097E-3</v>
      </c>
      <c r="CS62" s="27">
        <v>3.1487425420999999</v>
      </c>
      <c r="CT62" s="27">
        <v>3.0921217500000001E-2</v>
      </c>
      <c r="CU62" s="27">
        <v>31.615342165000001</v>
      </c>
      <c r="CV62" s="27">
        <v>0.72216305059999997</v>
      </c>
      <c r="CW62" s="80" t="s">
        <v>136</v>
      </c>
      <c r="CX62" s="80">
        <v>0</v>
      </c>
      <c r="CY62" s="80" t="s">
        <v>136</v>
      </c>
      <c r="CZ62" s="80">
        <v>0</v>
      </c>
      <c r="DA62" s="27">
        <v>20.027919785999998</v>
      </c>
      <c r="DB62" s="27">
        <v>0.26419934490000002</v>
      </c>
      <c r="DC62" s="27">
        <v>59.906008907999997</v>
      </c>
      <c r="DD62" s="27">
        <v>2.4558378129</v>
      </c>
      <c r="DE62" s="27">
        <v>36.733269448000001</v>
      </c>
      <c r="DF62" s="27">
        <v>0.57611694879999997</v>
      </c>
      <c r="DG62" s="27">
        <v>150.82549057</v>
      </c>
      <c r="DH62" s="92">
        <v>1.2594720771000001</v>
      </c>
      <c r="DI62" s="95">
        <v>4.0230138999999996E-3</v>
      </c>
      <c r="DJ62" s="96">
        <v>7.0555302E-3</v>
      </c>
      <c r="DK62" s="96">
        <v>7.9512534999999999E-3</v>
      </c>
      <c r="DL62" s="96">
        <v>8.1417999999999994E-3</v>
      </c>
      <c r="DM62" s="96">
        <v>8.1717571999999992E-3</v>
      </c>
      <c r="DN62" s="96">
        <v>8.1911213999999993E-3</v>
      </c>
      <c r="DO62" s="96">
        <v>8.2051291999999994E-3</v>
      </c>
      <c r="DP62" s="96">
        <v>8.2165581999999997E-3</v>
      </c>
      <c r="DQ62" s="96">
        <v>8.2222214999999998E-3</v>
      </c>
      <c r="DR62" s="97">
        <v>8.2278848999999994E-3</v>
      </c>
      <c r="DS62" s="93">
        <v>82.748833388999998</v>
      </c>
      <c r="DT62" s="80">
        <v>0.57737822979999998</v>
      </c>
      <c r="DU62" s="80">
        <v>42.053626033999997</v>
      </c>
      <c r="DV62" s="80">
        <v>0.30553610669999998</v>
      </c>
      <c r="DW62" s="80">
        <v>21.557984975</v>
      </c>
      <c r="DX62" s="80">
        <v>0.16287464669999999</v>
      </c>
      <c r="DY62" s="80">
        <v>11.227334101</v>
      </c>
      <c r="DZ62" s="80">
        <v>8.9006757399999997E-2</v>
      </c>
      <c r="EA62" s="80">
        <v>6.0150814428999997</v>
      </c>
      <c r="EB62" s="80">
        <v>5.0797577300000001E-2</v>
      </c>
      <c r="EC62" s="80">
        <v>3.3697687621000001</v>
      </c>
      <c r="ED62" s="80">
        <v>3.0890279900000001E-2</v>
      </c>
      <c r="EE62" s="80">
        <v>1.9880514782000001</v>
      </c>
      <c r="EF62" s="80">
        <v>2.02112128E-2</v>
      </c>
      <c r="EG62" s="80">
        <v>1.2344188109000001</v>
      </c>
      <c r="EH62" s="80">
        <v>1.41016899E-2</v>
      </c>
      <c r="EI62" s="80">
        <v>0.80318095239999998</v>
      </c>
      <c r="EJ62" s="80">
        <v>1.0411521199999999E-2</v>
      </c>
      <c r="EK62" s="80">
        <v>0.55077071730000005</v>
      </c>
      <c r="EL62" s="94">
        <v>8.0905405E-3</v>
      </c>
    </row>
    <row r="63" spans="1:142" x14ac:dyDescent="0.2">
      <c r="A63" s="79">
        <v>5800</v>
      </c>
      <c r="B63" s="27">
        <v>917</v>
      </c>
      <c r="C63" s="79">
        <v>2235.0969358000002</v>
      </c>
      <c r="D63" s="27">
        <v>5751.4176117999996</v>
      </c>
      <c r="E63" s="27">
        <v>92.968236505999997</v>
      </c>
      <c r="F63" s="27">
        <v>7.69281515E-2</v>
      </c>
      <c r="G63" s="79">
        <v>9.4360407675999998</v>
      </c>
      <c r="H63" s="27">
        <v>4.1377007E-3</v>
      </c>
      <c r="I63" s="27">
        <v>162.96232502999999</v>
      </c>
      <c r="J63" s="27">
        <v>1.0748547802999999</v>
      </c>
      <c r="K63" s="27">
        <v>83.108774557999993</v>
      </c>
      <c r="L63" s="27">
        <v>0.51374678579999999</v>
      </c>
      <c r="M63" s="27">
        <v>26.286382347</v>
      </c>
      <c r="N63" s="27">
        <v>0.2164811589</v>
      </c>
      <c r="O63" s="80" t="s">
        <v>136</v>
      </c>
      <c r="P63" s="80">
        <v>0</v>
      </c>
      <c r="Q63" s="27">
        <v>39.424635690000002</v>
      </c>
      <c r="R63" s="27">
        <v>5.8253789399999999E-2</v>
      </c>
      <c r="S63" s="80" t="s">
        <v>136</v>
      </c>
      <c r="T63" s="80">
        <v>0</v>
      </c>
      <c r="U63" s="80" t="s">
        <v>136</v>
      </c>
      <c r="V63" s="80">
        <v>0</v>
      </c>
      <c r="W63" s="27">
        <v>0.83371301450000002</v>
      </c>
      <c r="X63" s="27">
        <v>8.1552311000000002E-3</v>
      </c>
      <c r="Y63" s="27">
        <v>35.269138566000002</v>
      </c>
      <c r="Z63" s="27">
        <v>0.76103615530000002</v>
      </c>
      <c r="AA63" s="80" t="s">
        <v>136</v>
      </c>
      <c r="AB63" s="80">
        <v>0</v>
      </c>
      <c r="AC63" s="27">
        <v>9.2759240000000001E-4</v>
      </c>
      <c r="AD63" s="27">
        <v>2.5719655999999998E-6</v>
      </c>
      <c r="AE63" s="80" t="s">
        <v>136</v>
      </c>
      <c r="AF63" s="80">
        <v>0</v>
      </c>
      <c r="AG63" s="80" t="s">
        <v>136</v>
      </c>
      <c r="AH63" s="80">
        <v>0</v>
      </c>
      <c r="AI63" s="27">
        <f t="shared" si="4"/>
        <v>9.2759240000000001E-4</v>
      </c>
      <c r="AJ63" s="27">
        <f t="shared" si="5"/>
        <v>2.5719655999999998E-6</v>
      </c>
      <c r="AK63" s="27">
        <v>131.98763363</v>
      </c>
      <c r="AL63" s="27">
        <v>1.7169204115000001</v>
      </c>
      <c r="AM63" s="80" t="s">
        <v>136</v>
      </c>
      <c r="AN63" s="80">
        <v>0</v>
      </c>
      <c r="AO63" s="80" t="s">
        <v>136</v>
      </c>
      <c r="AP63" s="80">
        <v>0</v>
      </c>
      <c r="AQ63" s="80" t="s">
        <v>136</v>
      </c>
      <c r="AR63" s="80">
        <v>0</v>
      </c>
      <c r="AS63" s="27">
        <v>80.578113173999995</v>
      </c>
      <c r="AT63" s="27">
        <v>2.7348499669000002</v>
      </c>
      <c r="AU63" s="27">
        <v>66.753818697</v>
      </c>
      <c r="AV63" s="27">
        <v>0.482147188</v>
      </c>
      <c r="AW63" s="27">
        <v>32.028792228</v>
      </c>
      <c r="AX63" s="27">
        <v>0.31409706790000003</v>
      </c>
      <c r="AY63" s="27">
        <v>8.9571935077999996</v>
      </c>
      <c r="AZ63" s="27">
        <v>7.7891681700000007E-2</v>
      </c>
      <c r="BA63" s="80">
        <f t="shared" si="6"/>
        <v>25.7678329612</v>
      </c>
      <c r="BB63" s="80">
        <f t="shared" si="7"/>
        <v>9.0158438399999985E-2</v>
      </c>
      <c r="BC63" s="27">
        <v>0</v>
      </c>
      <c r="BD63" s="80">
        <v>0</v>
      </c>
      <c r="BE63" s="27">
        <v>190.68329679000001</v>
      </c>
      <c r="BF63" s="27">
        <v>1.8517030305</v>
      </c>
      <c r="BG63" s="79">
        <v>8.3874572999999997E-3</v>
      </c>
      <c r="BH63" s="80">
        <v>1.56836E-5</v>
      </c>
      <c r="BI63" s="27">
        <v>139.60415462</v>
      </c>
      <c r="BJ63" s="27">
        <v>4.5293088728999997</v>
      </c>
      <c r="BK63" s="27">
        <v>214.47273190999999</v>
      </c>
      <c r="BL63" s="27">
        <v>1.5920771175999999</v>
      </c>
      <c r="BM63" s="27">
        <v>51.610313165000001</v>
      </c>
      <c r="BN63" s="27">
        <v>0.27463929149999999</v>
      </c>
      <c r="BO63" s="27">
        <v>0.25907283739999998</v>
      </c>
      <c r="BP63" s="27">
        <v>5.4519840000000002E-4</v>
      </c>
      <c r="BQ63" s="27">
        <v>0</v>
      </c>
      <c r="BR63" s="92">
        <v>0</v>
      </c>
      <c r="BS63" s="80" t="s">
        <v>136</v>
      </c>
      <c r="BT63" s="80">
        <v>0</v>
      </c>
      <c r="BU63" s="27">
        <v>0.5089877277</v>
      </c>
      <c r="BV63" s="27">
        <v>5.7578671999999999E-3</v>
      </c>
      <c r="BW63" s="27">
        <v>25.777394619999999</v>
      </c>
      <c r="BX63" s="27">
        <v>0.21072329170000001</v>
      </c>
      <c r="BY63" s="80" t="s">
        <v>136</v>
      </c>
      <c r="BZ63" s="80">
        <v>0</v>
      </c>
      <c r="CA63" s="80" t="s">
        <v>136</v>
      </c>
      <c r="CB63" s="80">
        <v>0</v>
      </c>
      <c r="CC63" s="27">
        <v>19.105235698000001</v>
      </c>
      <c r="CD63" s="27">
        <v>1.50667105E-2</v>
      </c>
      <c r="CE63" s="27">
        <v>20.319399992000001</v>
      </c>
      <c r="CF63" s="27">
        <v>4.3187079000000003E-2</v>
      </c>
      <c r="CG63" s="80" t="s">
        <v>136</v>
      </c>
      <c r="CH63" s="80">
        <v>0</v>
      </c>
      <c r="CI63" s="80" t="s">
        <v>136</v>
      </c>
      <c r="CJ63" s="80">
        <v>0</v>
      </c>
      <c r="CK63" s="80" t="s">
        <v>136</v>
      </c>
      <c r="CL63" s="80">
        <v>0</v>
      </c>
      <c r="CM63" s="80" t="s">
        <v>136</v>
      </c>
      <c r="CN63" s="80">
        <v>0</v>
      </c>
      <c r="CO63" s="27">
        <v>0.16722206889999999</v>
      </c>
      <c r="CP63" s="27">
        <v>1.5954105E-3</v>
      </c>
      <c r="CQ63" s="27">
        <v>0.6664909456</v>
      </c>
      <c r="CR63" s="27">
        <v>6.5598206000000003E-3</v>
      </c>
      <c r="CS63" s="27">
        <v>3.2212564535000001</v>
      </c>
      <c r="CT63" s="27">
        <v>3.1369009000000003E-2</v>
      </c>
      <c r="CU63" s="27">
        <v>32.047882113</v>
      </c>
      <c r="CV63" s="27">
        <v>0.72966714629999996</v>
      </c>
      <c r="CW63" s="80" t="s">
        <v>136</v>
      </c>
      <c r="CX63" s="80">
        <v>0</v>
      </c>
      <c r="CY63" s="80" t="s">
        <v>136</v>
      </c>
      <c r="CZ63" s="80">
        <v>0</v>
      </c>
      <c r="DA63" s="27">
        <v>20.291184778000002</v>
      </c>
      <c r="DB63" s="27">
        <v>0.26699476820000001</v>
      </c>
      <c r="DC63" s="27">
        <v>60.286928396</v>
      </c>
      <c r="DD63" s="27">
        <v>2.4678551987000001</v>
      </c>
      <c r="DE63" s="27">
        <v>38.073002842999998</v>
      </c>
      <c r="DF63" s="27">
        <v>0.58369937439999997</v>
      </c>
      <c r="DG63" s="27">
        <v>152.61029395</v>
      </c>
      <c r="DH63" s="92">
        <v>1.2680036562000001</v>
      </c>
      <c r="DI63" s="95">
        <v>4.0949625000000003E-3</v>
      </c>
      <c r="DJ63" s="96">
        <v>7.1608736000000001E-3</v>
      </c>
      <c r="DK63" s="96">
        <v>8.0675316000000004E-3</v>
      </c>
      <c r="DL63" s="96">
        <v>8.2632864999999996E-3</v>
      </c>
      <c r="DM63" s="96">
        <v>8.2963442999999994E-3</v>
      </c>
      <c r="DN63" s="96">
        <v>8.3156545999999998E-3</v>
      </c>
      <c r="DO63" s="96">
        <v>8.3296253000000008E-3</v>
      </c>
      <c r="DP63" s="96">
        <v>8.3410240000000007E-3</v>
      </c>
      <c r="DQ63" s="96">
        <v>8.346671E-3</v>
      </c>
      <c r="DR63" s="97">
        <v>8.3523179999999992E-3</v>
      </c>
      <c r="DS63" s="93">
        <v>83.267082673999994</v>
      </c>
      <c r="DT63" s="80">
        <v>0.58094560500000003</v>
      </c>
      <c r="DU63" s="80">
        <v>42.426703922000002</v>
      </c>
      <c r="DV63" s="80">
        <v>0.30817322899999999</v>
      </c>
      <c r="DW63" s="80">
        <v>21.815361439</v>
      </c>
      <c r="DX63" s="80">
        <v>0.16476488610000001</v>
      </c>
      <c r="DY63" s="80">
        <v>11.395633798</v>
      </c>
      <c r="DZ63" s="80">
        <v>9.0291768699999997E-2</v>
      </c>
      <c r="EA63" s="80">
        <v>6.1242257273999998</v>
      </c>
      <c r="EB63" s="80">
        <v>5.1664637399999998E-2</v>
      </c>
      <c r="EC63" s="80">
        <v>3.4413941489000002</v>
      </c>
      <c r="ED63" s="80">
        <v>3.1482249499999997E-2</v>
      </c>
      <c r="EE63" s="80">
        <v>2.0361923433000002</v>
      </c>
      <c r="EF63" s="80">
        <v>2.0627110899999999E-2</v>
      </c>
      <c r="EG63" s="80">
        <v>1.2666711261000001</v>
      </c>
      <c r="EH63" s="80">
        <v>1.4391477999999999E-2</v>
      </c>
      <c r="EI63" s="80">
        <v>0.82702923080000001</v>
      </c>
      <c r="EJ63" s="80">
        <v>1.0635441000000001E-2</v>
      </c>
      <c r="EK63" s="80">
        <v>0.56836781300000006</v>
      </c>
      <c r="EL63" s="94">
        <v>8.2649370999999996E-3</v>
      </c>
    </row>
    <row r="64" spans="1:142" x14ac:dyDescent="0.2">
      <c r="A64" s="79">
        <v>5900</v>
      </c>
      <c r="B64" s="27">
        <v>851</v>
      </c>
      <c r="C64" s="79">
        <v>2255.2937017999998</v>
      </c>
      <c r="D64" s="27">
        <v>5852.0820199999998</v>
      </c>
      <c r="E64" s="27">
        <v>94.211292627999995</v>
      </c>
      <c r="F64" s="27">
        <v>7.7469430000000006E-2</v>
      </c>
      <c r="G64" s="79">
        <v>9.7759993905999991</v>
      </c>
      <c r="H64" s="27">
        <v>4.2241945999999999E-3</v>
      </c>
      <c r="I64" s="27">
        <v>163.53886252999999</v>
      </c>
      <c r="J64" s="27">
        <v>1.0785764237</v>
      </c>
      <c r="K64" s="27">
        <v>83.687845096000004</v>
      </c>
      <c r="L64" s="27">
        <v>0.51733218739999998</v>
      </c>
      <c r="M64" s="27">
        <v>26.663377771</v>
      </c>
      <c r="N64" s="27">
        <v>0.21919812950000001</v>
      </c>
      <c r="O64" s="80" t="s">
        <v>136</v>
      </c>
      <c r="P64" s="80">
        <v>0</v>
      </c>
      <c r="Q64" s="27">
        <v>40.462256699999998</v>
      </c>
      <c r="R64" s="27">
        <v>5.9642766799999997E-2</v>
      </c>
      <c r="S64" s="80" t="s">
        <v>136</v>
      </c>
      <c r="T64" s="80">
        <v>0</v>
      </c>
      <c r="U64" s="80" t="s">
        <v>136</v>
      </c>
      <c r="V64" s="80">
        <v>0</v>
      </c>
      <c r="W64" s="27">
        <v>0.86876399630000001</v>
      </c>
      <c r="X64" s="27">
        <v>8.4432605000000008E-3</v>
      </c>
      <c r="Y64" s="27">
        <v>35.811951563000001</v>
      </c>
      <c r="Z64" s="27">
        <v>0.77091768890000001</v>
      </c>
      <c r="AA64" s="80" t="s">
        <v>136</v>
      </c>
      <c r="AB64" s="80">
        <v>0</v>
      </c>
      <c r="AC64" s="27">
        <v>9.2530409999999998E-4</v>
      </c>
      <c r="AD64" s="27">
        <v>2.5656207000000002E-6</v>
      </c>
      <c r="AE64" s="80" t="s">
        <v>136</v>
      </c>
      <c r="AF64" s="80">
        <v>0</v>
      </c>
      <c r="AG64" s="80" t="s">
        <v>136</v>
      </c>
      <c r="AH64" s="80">
        <v>0</v>
      </c>
      <c r="AI64" s="27">
        <f t="shared" si="4"/>
        <v>9.2530409999999998E-4</v>
      </c>
      <c r="AJ64" s="27">
        <f t="shared" si="5"/>
        <v>2.5656207000000002E-6</v>
      </c>
      <c r="AK64" s="27">
        <v>133.03629341000001</v>
      </c>
      <c r="AL64" s="27">
        <v>1.7238068437</v>
      </c>
      <c r="AM64" s="80" t="s">
        <v>136</v>
      </c>
      <c r="AN64" s="80">
        <v>0</v>
      </c>
      <c r="AO64" s="80" t="s">
        <v>136</v>
      </c>
      <c r="AP64" s="80">
        <v>0</v>
      </c>
      <c r="AQ64" s="80" t="s">
        <v>136</v>
      </c>
      <c r="AR64" s="80">
        <v>0</v>
      </c>
      <c r="AS64" s="27">
        <v>81.202911114000003</v>
      </c>
      <c r="AT64" s="27">
        <v>2.7510655267000002</v>
      </c>
      <c r="AU64" s="27">
        <v>67.530899301000005</v>
      </c>
      <c r="AV64" s="27">
        <v>0.48632878839999999</v>
      </c>
      <c r="AW64" s="27">
        <v>32.378601543000002</v>
      </c>
      <c r="AX64" s="27">
        <v>0.31688634189999998</v>
      </c>
      <c r="AY64" s="27">
        <v>9.0216560865000002</v>
      </c>
      <c r="AZ64" s="27">
        <v>7.8293356800000005E-2</v>
      </c>
      <c r="BA64" s="80">
        <f t="shared" si="6"/>
        <v>26.130641671500001</v>
      </c>
      <c r="BB64" s="80">
        <f t="shared" si="7"/>
        <v>9.1149089700000019E-2</v>
      </c>
      <c r="BC64" s="27">
        <v>0</v>
      </c>
      <c r="BD64" s="80">
        <v>0</v>
      </c>
      <c r="BE64" s="27">
        <v>193.77487248</v>
      </c>
      <c r="BF64" s="27">
        <v>1.8684564723999999</v>
      </c>
      <c r="BG64" s="79">
        <v>8.5673244999999992E-3</v>
      </c>
      <c r="BH64" s="80">
        <v>1.5658199999999999E-5</v>
      </c>
      <c r="BI64" s="27">
        <v>140.42778982999999</v>
      </c>
      <c r="BJ64" s="27">
        <v>4.5473984428999996</v>
      </c>
      <c r="BK64" s="27">
        <v>217.80907489000001</v>
      </c>
      <c r="BL64" s="27">
        <v>1.613267837</v>
      </c>
      <c r="BM64" s="27">
        <v>52.121129387000003</v>
      </c>
      <c r="BN64" s="27">
        <v>0.27686109450000002</v>
      </c>
      <c r="BO64" s="27">
        <v>0.25868624979999999</v>
      </c>
      <c r="BP64" s="27">
        <v>5.5691119999999995E-4</v>
      </c>
      <c r="BQ64" s="27">
        <v>0</v>
      </c>
      <c r="BR64" s="92">
        <v>0</v>
      </c>
      <c r="BS64" s="80" t="s">
        <v>136</v>
      </c>
      <c r="BT64" s="80">
        <v>0</v>
      </c>
      <c r="BU64" s="27">
        <v>0.50893011239999997</v>
      </c>
      <c r="BV64" s="27">
        <v>5.7566930000000002E-3</v>
      </c>
      <c r="BW64" s="27">
        <v>26.154447658999999</v>
      </c>
      <c r="BX64" s="27">
        <v>0.2134414365</v>
      </c>
      <c r="BY64" s="80" t="s">
        <v>136</v>
      </c>
      <c r="BZ64" s="80">
        <v>0</v>
      </c>
      <c r="CA64" s="80" t="s">
        <v>136</v>
      </c>
      <c r="CB64" s="80">
        <v>0</v>
      </c>
      <c r="CC64" s="27">
        <v>19.719290901000001</v>
      </c>
      <c r="CD64" s="27">
        <v>1.5527510200000001E-2</v>
      </c>
      <c r="CE64" s="27">
        <v>20.742965799</v>
      </c>
      <c r="CF64" s="27">
        <v>4.4115256499999998E-2</v>
      </c>
      <c r="CG64" s="80" t="s">
        <v>136</v>
      </c>
      <c r="CH64" s="80">
        <v>0</v>
      </c>
      <c r="CI64" s="80" t="s">
        <v>136</v>
      </c>
      <c r="CJ64" s="80">
        <v>0</v>
      </c>
      <c r="CK64" s="80" t="s">
        <v>136</v>
      </c>
      <c r="CL64" s="80">
        <v>0</v>
      </c>
      <c r="CM64" s="80" t="s">
        <v>136</v>
      </c>
      <c r="CN64" s="80">
        <v>0</v>
      </c>
      <c r="CO64" s="27">
        <v>0.17307319139999999</v>
      </c>
      <c r="CP64" s="27">
        <v>1.6126337000000001E-3</v>
      </c>
      <c r="CQ64" s="27">
        <v>0.69569080490000001</v>
      </c>
      <c r="CR64" s="27">
        <v>6.8306267999999996E-3</v>
      </c>
      <c r="CS64" s="27">
        <v>3.3164064373</v>
      </c>
      <c r="CT64" s="27">
        <v>3.1966785499999997E-2</v>
      </c>
      <c r="CU64" s="27">
        <v>32.495545126000003</v>
      </c>
      <c r="CV64" s="27">
        <v>0.73895090340000003</v>
      </c>
      <c r="CW64" s="80" t="s">
        <v>136</v>
      </c>
      <c r="CX64" s="80">
        <v>0</v>
      </c>
      <c r="CY64" s="80" t="s">
        <v>136</v>
      </c>
      <c r="CZ64" s="80">
        <v>0</v>
      </c>
      <c r="DA64" s="27">
        <v>20.495245878999999</v>
      </c>
      <c r="DB64" s="27">
        <v>0.26939723380000002</v>
      </c>
      <c r="DC64" s="27">
        <v>60.707665235999997</v>
      </c>
      <c r="DD64" s="27">
        <v>2.4816682928999998</v>
      </c>
      <c r="DE64" s="27">
        <v>39.341050516000003</v>
      </c>
      <c r="DF64" s="27">
        <v>0.59148314349999997</v>
      </c>
      <c r="DG64" s="27">
        <v>154.43382195999999</v>
      </c>
      <c r="DH64" s="92">
        <v>1.2769733288</v>
      </c>
      <c r="DI64" s="95">
        <v>4.1815797000000002E-3</v>
      </c>
      <c r="DJ64" s="96">
        <v>7.3119457000000001E-3</v>
      </c>
      <c r="DK64" s="96">
        <v>8.2406978999999998E-3</v>
      </c>
      <c r="DL64" s="96">
        <v>8.4434917999999994E-3</v>
      </c>
      <c r="DM64" s="96">
        <v>8.4764673000000002E-3</v>
      </c>
      <c r="DN64" s="96">
        <v>8.4957266999999993E-3</v>
      </c>
      <c r="DO64" s="96">
        <v>8.5096636E-3</v>
      </c>
      <c r="DP64" s="96">
        <v>8.5210349000000001E-3</v>
      </c>
      <c r="DQ64" s="96">
        <v>8.5266665000000002E-3</v>
      </c>
      <c r="DR64" s="97">
        <v>8.5322981000000003E-3</v>
      </c>
      <c r="DS64" s="93">
        <v>83.717653294000002</v>
      </c>
      <c r="DT64" s="80">
        <v>0.58390334180000003</v>
      </c>
      <c r="DU64" s="80">
        <v>42.747318620000001</v>
      </c>
      <c r="DV64" s="80">
        <v>0.31030760569999999</v>
      </c>
      <c r="DW64" s="80">
        <v>22.025631223000001</v>
      </c>
      <c r="DX64" s="80">
        <v>0.16618988030000001</v>
      </c>
      <c r="DY64" s="80">
        <v>11.529326874000001</v>
      </c>
      <c r="DZ64" s="80">
        <v>9.1212756399999997E-2</v>
      </c>
      <c r="EA64" s="80">
        <v>6.2031313899000002</v>
      </c>
      <c r="EB64" s="80">
        <v>5.2222214400000001E-2</v>
      </c>
      <c r="EC64" s="80">
        <v>3.4945451148000002</v>
      </c>
      <c r="ED64" s="80">
        <v>3.1853474200000002E-2</v>
      </c>
      <c r="EE64" s="80">
        <v>2.0717538583000001</v>
      </c>
      <c r="EF64" s="80">
        <v>2.08729413E-2</v>
      </c>
      <c r="EG64" s="80">
        <v>1.2896916989</v>
      </c>
      <c r="EH64" s="80">
        <v>1.4548302799999999E-2</v>
      </c>
      <c r="EI64" s="80">
        <v>0.84233137670000002</v>
      </c>
      <c r="EJ64" s="80">
        <v>1.0737983600000001E-2</v>
      </c>
      <c r="EK64" s="80">
        <v>0.57945203020000002</v>
      </c>
      <c r="EL64" s="94">
        <v>8.3341886000000004E-3</v>
      </c>
    </row>
    <row r="65" spans="1:142" x14ac:dyDescent="0.2">
      <c r="A65" s="79">
        <v>6000</v>
      </c>
      <c r="B65" s="27">
        <v>797</v>
      </c>
      <c r="C65" s="79">
        <v>2275.3027097999998</v>
      </c>
      <c r="D65" s="27">
        <v>5950.5354557999999</v>
      </c>
      <c r="E65" s="27">
        <v>95.534672928000006</v>
      </c>
      <c r="F65" s="27">
        <v>7.8087087400000005E-2</v>
      </c>
      <c r="G65" s="79">
        <v>9.9526722814999999</v>
      </c>
      <c r="H65" s="27">
        <v>4.2743935000000002E-3</v>
      </c>
      <c r="I65" s="27">
        <v>164.03763688000001</v>
      </c>
      <c r="J65" s="27">
        <v>1.0821579003999999</v>
      </c>
      <c r="K65" s="27">
        <v>84.151675675000007</v>
      </c>
      <c r="L65" s="27">
        <v>0.52107164719999999</v>
      </c>
      <c r="M65" s="27">
        <v>26.941880331</v>
      </c>
      <c r="N65" s="27">
        <v>0.2214463928</v>
      </c>
      <c r="O65" s="80" t="s">
        <v>136</v>
      </c>
      <c r="P65" s="80">
        <v>0</v>
      </c>
      <c r="Q65" s="27">
        <v>41.372296118000001</v>
      </c>
      <c r="R65" s="27">
        <v>6.0768099899999997E-2</v>
      </c>
      <c r="S65" s="80" t="s">
        <v>136</v>
      </c>
      <c r="T65" s="80">
        <v>0</v>
      </c>
      <c r="U65" s="80" t="s">
        <v>136</v>
      </c>
      <c r="V65" s="80">
        <v>0</v>
      </c>
      <c r="W65" s="27">
        <v>0.90024767110000004</v>
      </c>
      <c r="X65" s="27">
        <v>8.7245319000000005E-3</v>
      </c>
      <c r="Y65" s="27">
        <v>36.334888882000001</v>
      </c>
      <c r="Z65" s="27">
        <v>0.78123526210000005</v>
      </c>
      <c r="AA65" s="80" t="s">
        <v>136</v>
      </c>
      <c r="AB65" s="80">
        <v>0</v>
      </c>
      <c r="AC65" s="27">
        <v>9.2257299999999999E-4</v>
      </c>
      <c r="AD65" s="27">
        <v>2.558048E-6</v>
      </c>
      <c r="AE65" s="80" t="s">
        <v>136</v>
      </c>
      <c r="AF65" s="80">
        <v>0</v>
      </c>
      <c r="AG65" s="80" t="s">
        <v>136</v>
      </c>
      <c r="AH65" s="80">
        <v>0</v>
      </c>
      <c r="AI65" s="27">
        <f t="shared" si="4"/>
        <v>9.2257299999999999E-4</v>
      </c>
      <c r="AJ65" s="27">
        <f t="shared" si="5"/>
        <v>2.558048E-6</v>
      </c>
      <c r="AK65" s="27">
        <v>133.86675826000001</v>
      </c>
      <c r="AL65" s="27">
        <v>1.7296790655000001</v>
      </c>
      <c r="AM65" s="80" t="s">
        <v>136</v>
      </c>
      <c r="AN65" s="80">
        <v>0</v>
      </c>
      <c r="AO65" s="80" t="s">
        <v>136</v>
      </c>
      <c r="AP65" s="80">
        <v>0</v>
      </c>
      <c r="AQ65" s="80" t="s">
        <v>136</v>
      </c>
      <c r="AR65" s="80">
        <v>0</v>
      </c>
      <c r="AS65" s="27">
        <v>81.810944845999998</v>
      </c>
      <c r="AT65" s="27">
        <v>2.7650983485</v>
      </c>
      <c r="AU65" s="27">
        <v>68.174224271</v>
      </c>
      <c r="AV65" s="27">
        <v>0.48989059229999998</v>
      </c>
      <c r="AW65" s="27">
        <v>32.664000201999997</v>
      </c>
      <c r="AX65" s="27">
        <v>0.31919360279999998</v>
      </c>
      <c r="AY65" s="27">
        <v>9.1192778989000001</v>
      </c>
      <c r="AZ65" s="27">
        <v>7.8745114300000002E-2</v>
      </c>
      <c r="BA65" s="80">
        <f t="shared" si="6"/>
        <v>26.390946170100001</v>
      </c>
      <c r="BB65" s="80">
        <f t="shared" si="7"/>
        <v>9.1951875200000033E-2</v>
      </c>
      <c r="BC65" s="27">
        <v>0</v>
      </c>
      <c r="BD65" s="80">
        <v>0</v>
      </c>
      <c r="BE65" s="27">
        <v>196.86565682</v>
      </c>
      <c r="BF65" s="27">
        <v>1.884140835</v>
      </c>
      <c r="BG65" s="79">
        <v>8.6638584000000001E-3</v>
      </c>
      <c r="BH65" s="80">
        <v>1.5631E-5</v>
      </c>
      <c r="BI65" s="27">
        <v>141.13017353999999</v>
      </c>
      <c r="BJ65" s="27">
        <v>4.5617413311000004</v>
      </c>
      <c r="BK65" s="27">
        <v>221.28758848000001</v>
      </c>
      <c r="BL65" s="27">
        <v>1.6350788099</v>
      </c>
      <c r="BM65" s="27">
        <v>52.782292171999998</v>
      </c>
      <c r="BN65" s="27">
        <v>0.27952621290000002</v>
      </c>
      <c r="BO65" s="27">
        <v>0.26137547859999999</v>
      </c>
      <c r="BP65" s="27">
        <v>5.7368429999999997E-4</v>
      </c>
      <c r="BQ65" s="27">
        <v>0</v>
      </c>
      <c r="BR65" s="92">
        <v>0</v>
      </c>
      <c r="BS65" s="80" t="s">
        <v>136</v>
      </c>
      <c r="BT65" s="80">
        <v>0</v>
      </c>
      <c r="BU65" s="27">
        <v>0.50853993289999999</v>
      </c>
      <c r="BV65" s="27">
        <v>5.7472260000000002E-3</v>
      </c>
      <c r="BW65" s="27">
        <v>26.433340397999999</v>
      </c>
      <c r="BX65" s="27">
        <v>0.21569916680000001</v>
      </c>
      <c r="BY65" s="80" t="s">
        <v>136</v>
      </c>
      <c r="BZ65" s="80">
        <v>0</v>
      </c>
      <c r="CA65" s="80" t="s">
        <v>136</v>
      </c>
      <c r="CB65" s="80">
        <v>0</v>
      </c>
      <c r="CC65" s="27">
        <v>20.239027934999999</v>
      </c>
      <c r="CD65" s="27">
        <v>1.5905851499999998E-2</v>
      </c>
      <c r="CE65" s="27">
        <v>21.133268182999998</v>
      </c>
      <c r="CF65" s="27">
        <v>4.4862248399999999E-2</v>
      </c>
      <c r="CG65" s="80" t="s">
        <v>136</v>
      </c>
      <c r="CH65" s="80">
        <v>0</v>
      </c>
      <c r="CI65" s="80" t="s">
        <v>136</v>
      </c>
      <c r="CJ65" s="80">
        <v>0</v>
      </c>
      <c r="CK65" s="80" t="s">
        <v>136</v>
      </c>
      <c r="CL65" s="80">
        <v>0</v>
      </c>
      <c r="CM65" s="80" t="s">
        <v>136</v>
      </c>
      <c r="CN65" s="80">
        <v>0</v>
      </c>
      <c r="CO65" s="27">
        <v>0.181323079</v>
      </c>
      <c r="CP65" s="27">
        <v>1.7192232E-3</v>
      </c>
      <c r="CQ65" s="27">
        <v>0.71892459210000004</v>
      </c>
      <c r="CR65" s="27">
        <v>7.0053086999999998E-3</v>
      </c>
      <c r="CS65" s="27">
        <v>3.3852211618000001</v>
      </c>
      <c r="CT65" s="27">
        <v>3.2753805900000002E-2</v>
      </c>
      <c r="CU65" s="27">
        <v>32.949667720000001</v>
      </c>
      <c r="CV65" s="27">
        <v>0.74848145629999996</v>
      </c>
      <c r="CW65" s="80" t="s">
        <v>136</v>
      </c>
      <c r="CX65" s="80">
        <v>0</v>
      </c>
      <c r="CY65" s="80" t="s">
        <v>136</v>
      </c>
      <c r="CZ65" s="80">
        <v>0</v>
      </c>
      <c r="DA65" s="27">
        <v>20.734215249999998</v>
      </c>
      <c r="DB65" s="27">
        <v>0.27206296829999999</v>
      </c>
      <c r="DC65" s="27">
        <v>61.076729596</v>
      </c>
      <c r="DD65" s="27">
        <v>2.4930353801999998</v>
      </c>
      <c r="DE65" s="27">
        <v>40.648938759000004</v>
      </c>
      <c r="DF65" s="27">
        <v>0.59859408039999995</v>
      </c>
      <c r="DG65" s="27">
        <v>156.21671806000001</v>
      </c>
      <c r="DH65" s="92">
        <v>1.2855467545999999</v>
      </c>
      <c r="DI65" s="95">
        <v>4.2319000000000002E-3</v>
      </c>
      <c r="DJ65" s="96">
        <v>7.3952004999999999E-3</v>
      </c>
      <c r="DK65" s="96">
        <v>8.3381171000000004E-3</v>
      </c>
      <c r="DL65" s="96">
        <v>8.5403419999999994E-3</v>
      </c>
      <c r="DM65" s="96">
        <v>8.5732369999999992E-3</v>
      </c>
      <c r="DN65" s="96">
        <v>8.5924463000000006E-3</v>
      </c>
      <c r="DO65" s="96">
        <v>8.6063486000000008E-3</v>
      </c>
      <c r="DP65" s="96">
        <v>8.6176928E-3</v>
      </c>
      <c r="DQ65" s="96">
        <v>8.6233106999999993E-3</v>
      </c>
      <c r="DR65" s="97">
        <v>8.6289286000000003E-3</v>
      </c>
      <c r="DS65" s="93">
        <v>84.122129885999996</v>
      </c>
      <c r="DT65" s="80">
        <v>0.58683677540000001</v>
      </c>
      <c r="DU65" s="80">
        <v>43.033025342999998</v>
      </c>
      <c r="DV65" s="80">
        <v>0.31246252740000002</v>
      </c>
      <c r="DW65" s="80">
        <v>22.213589658</v>
      </c>
      <c r="DX65" s="80">
        <v>0.1676900358</v>
      </c>
      <c r="DY65" s="80">
        <v>11.650188245000001</v>
      </c>
      <c r="DZ65" s="80">
        <v>9.2241992699999997E-2</v>
      </c>
      <c r="EA65" s="80">
        <v>6.2881975710000004</v>
      </c>
      <c r="EB65" s="80">
        <v>5.3006108900000001E-2</v>
      </c>
      <c r="EC65" s="80">
        <v>3.5570110818999998</v>
      </c>
      <c r="ED65" s="80">
        <v>3.2470847599999998E-2</v>
      </c>
      <c r="EE65" s="80">
        <v>2.1156004151999999</v>
      </c>
      <c r="EF65" s="80">
        <v>2.1351177400000001E-2</v>
      </c>
      <c r="EG65" s="80">
        <v>1.3201130731999999</v>
      </c>
      <c r="EH65" s="80">
        <v>1.49202351E-2</v>
      </c>
      <c r="EI65" s="80">
        <v>0.86469772570000003</v>
      </c>
      <c r="EJ65" s="80">
        <v>1.10405998E-2</v>
      </c>
      <c r="EK65" s="80">
        <v>0.59751150909999995</v>
      </c>
      <c r="EL65" s="94">
        <v>8.5956252E-3</v>
      </c>
    </row>
    <row r="66" spans="1:142" x14ac:dyDescent="0.2">
      <c r="A66" s="79">
        <v>6100</v>
      </c>
      <c r="B66" s="27">
        <v>796</v>
      </c>
      <c r="C66" s="79">
        <v>2295.1362686000002</v>
      </c>
      <c r="D66" s="27">
        <v>6049.4730186999996</v>
      </c>
      <c r="E66" s="27">
        <v>96.939344234999993</v>
      </c>
      <c r="F66" s="27">
        <v>7.8680084999999997E-2</v>
      </c>
      <c r="G66" s="79">
        <v>10.171952962000001</v>
      </c>
      <c r="H66" s="27">
        <v>4.3388081999999996E-3</v>
      </c>
      <c r="I66" s="27">
        <v>164.54262111</v>
      </c>
      <c r="J66" s="27">
        <v>1.0853725465999999</v>
      </c>
      <c r="K66" s="27">
        <v>84.684300461000007</v>
      </c>
      <c r="L66" s="27">
        <v>0.52495280430000002</v>
      </c>
      <c r="M66" s="27">
        <v>27.209801742</v>
      </c>
      <c r="N66" s="27">
        <v>0.2232501271</v>
      </c>
      <c r="O66" s="80" t="s">
        <v>136</v>
      </c>
      <c r="P66" s="80">
        <v>0</v>
      </c>
      <c r="Q66" s="27">
        <v>42.085226464000002</v>
      </c>
      <c r="R66" s="27">
        <v>6.1676364999999997E-2</v>
      </c>
      <c r="S66" s="80" t="s">
        <v>136</v>
      </c>
      <c r="T66" s="80">
        <v>0</v>
      </c>
      <c r="U66" s="80" t="s">
        <v>136</v>
      </c>
      <c r="V66" s="80">
        <v>0</v>
      </c>
      <c r="W66" s="27">
        <v>0.94730831900000001</v>
      </c>
      <c r="X66" s="27">
        <v>9.1150384000000008E-3</v>
      </c>
      <c r="Y66" s="27">
        <v>36.908568686000002</v>
      </c>
      <c r="Z66" s="27">
        <v>0.79242200860000001</v>
      </c>
      <c r="AA66" s="80" t="s">
        <v>136</v>
      </c>
      <c r="AB66" s="80">
        <v>0</v>
      </c>
      <c r="AC66" s="27">
        <v>9.2049000000000005E-4</v>
      </c>
      <c r="AD66" s="27">
        <v>2.5522724999999999E-6</v>
      </c>
      <c r="AE66" s="80" t="s">
        <v>136</v>
      </c>
      <c r="AF66" s="80">
        <v>0</v>
      </c>
      <c r="AG66" s="80" t="s">
        <v>136</v>
      </c>
      <c r="AH66" s="80">
        <v>0</v>
      </c>
      <c r="AI66" s="27">
        <f t="shared" si="4"/>
        <v>9.2049000000000005E-4</v>
      </c>
      <c r="AJ66" s="27">
        <f t="shared" si="5"/>
        <v>2.5522724999999999E-6</v>
      </c>
      <c r="AK66" s="27">
        <v>134.64296107999999</v>
      </c>
      <c r="AL66" s="27">
        <v>1.7355134851</v>
      </c>
      <c r="AM66" s="80" t="s">
        <v>136</v>
      </c>
      <c r="AN66" s="80">
        <v>0</v>
      </c>
      <c r="AO66" s="80" t="s">
        <v>136</v>
      </c>
      <c r="AP66" s="80">
        <v>0</v>
      </c>
      <c r="AQ66" s="80" t="s">
        <v>136</v>
      </c>
      <c r="AR66" s="80">
        <v>0</v>
      </c>
      <c r="AS66" s="27">
        <v>82.420545759000007</v>
      </c>
      <c r="AT66" s="27">
        <v>2.7784002694000001</v>
      </c>
      <c r="AU66" s="27">
        <v>68.975282312999994</v>
      </c>
      <c r="AV66" s="27">
        <v>0.49370715300000001</v>
      </c>
      <c r="AW66" s="27">
        <v>32.960253293000001</v>
      </c>
      <c r="AX66" s="27">
        <v>0.3215294823</v>
      </c>
      <c r="AY66" s="27">
        <v>9.1981818899000007</v>
      </c>
      <c r="AZ66" s="27">
        <v>7.9269429099999997E-2</v>
      </c>
      <c r="BA66" s="80">
        <f t="shared" si="6"/>
        <v>26.816847130099994</v>
      </c>
      <c r="BB66" s="80">
        <f t="shared" si="7"/>
        <v>9.2908241599999997E-2</v>
      </c>
      <c r="BC66" s="27">
        <v>0</v>
      </c>
      <c r="BD66" s="80">
        <v>0</v>
      </c>
      <c r="BE66" s="27">
        <v>199.79465135999999</v>
      </c>
      <c r="BF66" s="27">
        <v>1.8984902043</v>
      </c>
      <c r="BG66" s="79">
        <v>8.7946538999999994E-3</v>
      </c>
      <c r="BH66" s="80">
        <v>1.5608899999999999E-5</v>
      </c>
      <c r="BI66" s="27">
        <v>141.8285765</v>
      </c>
      <c r="BJ66" s="27">
        <v>4.5771295852999998</v>
      </c>
      <c r="BK66" s="27">
        <v>224.81106697000001</v>
      </c>
      <c r="BL66" s="27">
        <v>1.6573871814000001</v>
      </c>
      <c r="BM66" s="27">
        <v>53.60067608</v>
      </c>
      <c r="BN66" s="27">
        <v>0.28240649709999999</v>
      </c>
      <c r="BO66" s="27">
        <v>0.26645704110000001</v>
      </c>
      <c r="BP66" s="27">
        <v>5.9457930000000002E-4</v>
      </c>
      <c r="BQ66" s="27">
        <v>0</v>
      </c>
      <c r="BR66" s="92">
        <v>0</v>
      </c>
      <c r="BS66" s="80" t="s">
        <v>136</v>
      </c>
      <c r="BT66" s="80">
        <v>0</v>
      </c>
      <c r="BU66" s="27">
        <v>0.52182478030000001</v>
      </c>
      <c r="BV66" s="27">
        <v>5.7940288E-3</v>
      </c>
      <c r="BW66" s="27">
        <v>26.687976962</v>
      </c>
      <c r="BX66" s="27">
        <v>0.21745609830000001</v>
      </c>
      <c r="BY66" s="80" t="s">
        <v>136</v>
      </c>
      <c r="BZ66" s="80">
        <v>0</v>
      </c>
      <c r="CA66" s="80" t="s">
        <v>136</v>
      </c>
      <c r="CB66" s="80">
        <v>0</v>
      </c>
      <c r="CC66" s="27">
        <v>20.598546340999999</v>
      </c>
      <c r="CD66" s="27">
        <v>1.6148054200000001E-2</v>
      </c>
      <c r="CE66" s="27">
        <v>21.486680122999999</v>
      </c>
      <c r="CF66" s="27">
        <v>4.5528310699999998E-2</v>
      </c>
      <c r="CG66" s="80" t="s">
        <v>136</v>
      </c>
      <c r="CH66" s="80">
        <v>0</v>
      </c>
      <c r="CI66" s="80" t="s">
        <v>136</v>
      </c>
      <c r="CJ66" s="80">
        <v>0</v>
      </c>
      <c r="CK66" s="80" t="s">
        <v>136</v>
      </c>
      <c r="CL66" s="80">
        <v>0</v>
      </c>
      <c r="CM66" s="80" t="s">
        <v>136</v>
      </c>
      <c r="CN66" s="80">
        <v>0</v>
      </c>
      <c r="CO66" s="27">
        <v>0.20459210789999999</v>
      </c>
      <c r="CP66" s="27">
        <v>1.8400910999999999E-3</v>
      </c>
      <c r="CQ66" s="27">
        <v>0.74271621099999996</v>
      </c>
      <c r="CR66" s="27">
        <v>7.2749473E-3</v>
      </c>
      <c r="CS66" s="27">
        <v>3.4407854692000002</v>
      </c>
      <c r="CT66" s="27">
        <v>3.3273674099999997E-2</v>
      </c>
      <c r="CU66" s="27">
        <v>33.467783216999997</v>
      </c>
      <c r="CV66" s="27">
        <v>0.75914833449999997</v>
      </c>
      <c r="CW66" s="80" t="s">
        <v>136</v>
      </c>
      <c r="CX66" s="80">
        <v>0</v>
      </c>
      <c r="CY66" s="80" t="s">
        <v>136</v>
      </c>
      <c r="CZ66" s="80">
        <v>0</v>
      </c>
      <c r="DA66" s="27">
        <v>20.902327508999999</v>
      </c>
      <c r="DB66" s="27">
        <v>0.27455053340000002</v>
      </c>
      <c r="DC66" s="27">
        <v>61.518218249999997</v>
      </c>
      <c r="DD66" s="27">
        <v>2.5038497359999998</v>
      </c>
      <c r="DE66" s="27">
        <v>41.851816040000003</v>
      </c>
      <c r="DF66" s="27">
        <v>0.60517845520000002</v>
      </c>
      <c r="DG66" s="27">
        <v>157.94283532</v>
      </c>
      <c r="DH66" s="92">
        <v>1.2933117490999999</v>
      </c>
      <c r="DI66" s="95">
        <v>4.2917859000000001E-3</v>
      </c>
      <c r="DJ66" s="96">
        <v>7.4978973000000004E-3</v>
      </c>
      <c r="DK66" s="96">
        <v>8.4567810999999996E-3</v>
      </c>
      <c r="DL66" s="96">
        <v>8.6714335000000007E-3</v>
      </c>
      <c r="DM66" s="96">
        <v>8.7042605999999995E-3</v>
      </c>
      <c r="DN66" s="96">
        <v>8.7234270000000006E-3</v>
      </c>
      <c r="DO66" s="96">
        <v>8.7372985000000007E-3</v>
      </c>
      <c r="DP66" s="96">
        <v>8.7486176999999991E-3</v>
      </c>
      <c r="DQ66" s="96">
        <v>8.7542217999999998E-3</v>
      </c>
      <c r="DR66" s="97">
        <v>8.7598259000000005E-3</v>
      </c>
      <c r="DS66" s="93">
        <v>84.518065714000002</v>
      </c>
      <c r="DT66" s="80">
        <v>0.58939884890000005</v>
      </c>
      <c r="DU66" s="80">
        <v>43.306272186999998</v>
      </c>
      <c r="DV66" s="80">
        <v>0.314263719</v>
      </c>
      <c r="DW66" s="80">
        <v>22.388208289000001</v>
      </c>
      <c r="DX66" s="80">
        <v>0.16886140529999999</v>
      </c>
      <c r="DY66" s="80">
        <v>11.756448066999999</v>
      </c>
      <c r="DZ66" s="80">
        <v>9.2964612399999993E-2</v>
      </c>
      <c r="EA66" s="80">
        <v>6.3497124117999997</v>
      </c>
      <c r="EB66" s="80">
        <v>5.3431582999999998E-2</v>
      </c>
      <c r="EC66" s="80">
        <v>3.5957408809000002</v>
      </c>
      <c r="ED66" s="80">
        <v>3.2734253900000003E-2</v>
      </c>
      <c r="EE66" s="80">
        <v>2.1382930718000002</v>
      </c>
      <c r="EF66" s="80">
        <v>2.1503960499999999E-2</v>
      </c>
      <c r="EG66" s="80">
        <v>1.3342670714</v>
      </c>
      <c r="EH66" s="80">
        <v>1.5019165399999999E-2</v>
      </c>
      <c r="EI66" s="80">
        <v>0.87380600009999998</v>
      </c>
      <c r="EJ66" s="80">
        <v>1.11056191E-2</v>
      </c>
      <c r="EK66" s="80">
        <v>0.60407010510000003</v>
      </c>
      <c r="EL66" s="94">
        <v>8.6425214000000004E-3</v>
      </c>
    </row>
    <row r="67" spans="1:142" x14ac:dyDescent="0.2">
      <c r="A67" s="79">
        <v>6200</v>
      </c>
      <c r="B67" s="27">
        <v>754</v>
      </c>
      <c r="C67" s="79">
        <v>2314.7776422000002</v>
      </c>
      <c r="D67" s="27">
        <v>6148.2151744000003</v>
      </c>
      <c r="E67" s="27">
        <v>98.401375755000004</v>
      </c>
      <c r="F67" s="27">
        <v>7.9242747799999999E-2</v>
      </c>
      <c r="G67" s="79">
        <v>10.477217944</v>
      </c>
      <c r="H67" s="27">
        <v>4.4174206000000002E-3</v>
      </c>
      <c r="I67" s="27">
        <v>165.11808113000001</v>
      </c>
      <c r="J67" s="27">
        <v>1.0890842799</v>
      </c>
      <c r="K67" s="27">
        <v>85.247470109000005</v>
      </c>
      <c r="L67" s="27">
        <v>0.52852377439999998</v>
      </c>
      <c r="M67" s="27">
        <v>27.409839050999999</v>
      </c>
      <c r="N67" s="27">
        <v>0.22483766359999999</v>
      </c>
      <c r="O67" s="80" t="s">
        <v>136</v>
      </c>
      <c r="P67" s="80">
        <v>0</v>
      </c>
      <c r="Q67" s="27">
        <v>43.079717123000002</v>
      </c>
      <c r="R67" s="27">
        <v>6.2820828699999998E-2</v>
      </c>
      <c r="S67" s="80" t="s">
        <v>136</v>
      </c>
      <c r="T67" s="80">
        <v>0</v>
      </c>
      <c r="U67" s="80" t="s">
        <v>136</v>
      </c>
      <c r="V67" s="80">
        <v>0</v>
      </c>
      <c r="W67" s="27">
        <v>0.99438195439999999</v>
      </c>
      <c r="X67" s="27">
        <v>9.4738136000000004E-3</v>
      </c>
      <c r="Y67" s="27">
        <v>37.443914855999999</v>
      </c>
      <c r="Z67" s="27">
        <v>0.80279024109999997</v>
      </c>
      <c r="AA67" s="80" t="s">
        <v>136</v>
      </c>
      <c r="AB67" s="80">
        <v>0</v>
      </c>
      <c r="AC67" s="27">
        <v>9.1922670000000001E-4</v>
      </c>
      <c r="AD67" s="27">
        <v>2.5487696999999998E-6</v>
      </c>
      <c r="AE67" s="80" t="s">
        <v>136</v>
      </c>
      <c r="AF67" s="80">
        <v>0</v>
      </c>
      <c r="AG67" s="80" t="s">
        <v>136</v>
      </c>
      <c r="AH67" s="80">
        <v>0</v>
      </c>
      <c r="AI67" s="27">
        <f t="shared" si="4"/>
        <v>9.1922670000000001E-4</v>
      </c>
      <c r="AJ67" s="27">
        <f t="shared" si="5"/>
        <v>2.5487696999999998E-6</v>
      </c>
      <c r="AK67" s="27">
        <v>135.54159049</v>
      </c>
      <c r="AL67" s="27">
        <v>1.7413280002</v>
      </c>
      <c r="AM67" s="80" t="s">
        <v>136</v>
      </c>
      <c r="AN67" s="80">
        <v>0</v>
      </c>
      <c r="AO67" s="80" t="s">
        <v>136</v>
      </c>
      <c r="AP67" s="80">
        <v>0</v>
      </c>
      <c r="AQ67" s="80" t="s">
        <v>136</v>
      </c>
      <c r="AR67" s="80">
        <v>0</v>
      </c>
      <c r="AS67" s="27">
        <v>82.958317364999999</v>
      </c>
      <c r="AT67" s="27">
        <v>2.7898163722999998</v>
      </c>
      <c r="AU67" s="27">
        <v>69.533186856</v>
      </c>
      <c r="AV67" s="27">
        <v>0.49654642989999997</v>
      </c>
      <c r="AW67" s="27">
        <v>33.249707774999997</v>
      </c>
      <c r="AX67" s="27">
        <v>0.32348195899999999</v>
      </c>
      <c r="AY67" s="27">
        <v>9.2350053593000005</v>
      </c>
      <c r="AZ67" s="27">
        <v>7.9490547800000005E-2</v>
      </c>
      <c r="BA67" s="80">
        <f t="shared" si="6"/>
        <v>27.048473721700006</v>
      </c>
      <c r="BB67" s="80">
        <f t="shared" si="7"/>
        <v>9.3573923100000012E-2</v>
      </c>
      <c r="BC67" s="27">
        <v>0</v>
      </c>
      <c r="BD67" s="80">
        <v>0</v>
      </c>
      <c r="BE67" s="27">
        <v>202.35566602</v>
      </c>
      <c r="BF67" s="27">
        <v>1.9120187956000001</v>
      </c>
      <c r="BG67" s="79">
        <v>9.0015739000000004E-3</v>
      </c>
      <c r="BH67" s="80">
        <v>1.5579599999999999E-5</v>
      </c>
      <c r="BI67" s="27">
        <v>142.52267293</v>
      </c>
      <c r="BJ67" s="27">
        <v>4.5911551772000001</v>
      </c>
      <c r="BK67" s="27">
        <v>228.03194073</v>
      </c>
      <c r="BL67" s="27">
        <v>1.680443087</v>
      </c>
      <c r="BM67" s="27">
        <v>54.371419009</v>
      </c>
      <c r="BN67" s="27">
        <v>0.28532809619999999</v>
      </c>
      <c r="BO67" s="27">
        <v>0.2841875237</v>
      </c>
      <c r="BP67" s="27">
        <v>6.2772339999999998E-4</v>
      </c>
      <c r="BQ67" s="27">
        <v>0</v>
      </c>
      <c r="BR67" s="92">
        <v>0</v>
      </c>
      <c r="BS67" s="80" t="s">
        <v>136</v>
      </c>
      <c r="BT67" s="80">
        <v>0</v>
      </c>
      <c r="BU67" s="27">
        <v>0.52375761899999995</v>
      </c>
      <c r="BV67" s="27">
        <v>5.8363316000000004E-3</v>
      </c>
      <c r="BW67" s="27">
        <v>26.886081432000001</v>
      </c>
      <c r="BX67" s="27">
        <v>0.21900133199999999</v>
      </c>
      <c r="BY67" s="80" t="s">
        <v>136</v>
      </c>
      <c r="BZ67" s="80">
        <v>0</v>
      </c>
      <c r="CA67" s="80" t="s">
        <v>136</v>
      </c>
      <c r="CB67" s="80">
        <v>0</v>
      </c>
      <c r="CC67" s="27">
        <v>21.238166148000001</v>
      </c>
      <c r="CD67" s="27">
        <v>1.6533289499999999E-2</v>
      </c>
      <c r="CE67" s="27">
        <v>21.841550975000001</v>
      </c>
      <c r="CF67" s="27">
        <v>4.62875393E-2</v>
      </c>
      <c r="CG67" s="80" t="s">
        <v>136</v>
      </c>
      <c r="CH67" s="80">
        <v>0</v>
      </c>
      <c r="CI67" s="80" t="s">
        <v>136</v>
      </c>
      <c r="CJ67" s="80">
        <v>0</v>
      </c>
      <c r="CK67" s="80" t="s">
        <v>136</v>
      </c>
      <c r="CL67" s="80">
        <v>0</v>
      </c>
      <c r="CM67" s="80" t="s">
        <v>136</v>
      </c>
      <c r="CN67" s="80">
        <v>0</v>
      </c>
      <c r="CO67" s="27">
        <v>0.2041389301</v>
      </c>
      <c r="CP67" s="27">
        <v>1.8360539999999999E-3</v>
      </c>
      <c r="CQ67" s="27">
        <v>0.79024302430000004</v>
      </c>
      <c r="CR67" s="27">
        <v>7.6377596000000002E-3</v>
      </c>
      <c r="CS67" s="27">
        <v>3.4936958774</v>
      </c>
      <c r="CT67" s="27">
        <v>3.3731142499999998E-2</v>
      </c>
      <c r="CU67" s="27">
        <v>33.950218978000002</v>
      </c>
      <c r="CV67" s="27">
        <v>0.7690590987</v>
      </c>
      <c r="CW67" s="80" t="s">
        <v>136</v>
      </c>
      <c r="CX67" s="80">
        <v>0</v>
      </c>
      <c r="CY67" s="80" t="s">
        <v>136</v>
      </c>
      <c r="CZ67" s="80">
        <v>0</v>
      </c>
      <c r="DA67" s="27">
        <v>21.115382902</v>
      </c>
      <c r="DB67" s="27">
        <v>0.2766797735</v>
      </c>
      <c r="DC67" s="27">
        <v>61.842934462999999</v>
      </c>
      <c r="DD67" s="27">
        <v>2.5131365988000001</v>
      </c>
      <c r="DE67" s="27">
        <v>42.723803957999998</v>
      </c>
      <c r="DF67" s="27">
        <v>0.61088835760000004</v>
      </c>
      <c r="DG67" s="27">
        <v>159.63186206</v>
      </c>
      <c r="DH67" s="92">
        <v>1.3011304381</v>
      </c>
      <c r="DI67" s="95">
        <v>4.3661335999999997E-3</v>
      </c>
      <c r="DJ67" s="96">
        <v>7.6351908000000003E-3</v>
      </c>
      <c r="DK67" s="96">
        <v>8.6310532000000006E-3</v>
      </c>
      <c r="DL67" s="96">
        <v>8.8639757000000003E-3</v>
      </c>
      <c r="DM67" s="96">
        <v>8.9040692999999994E-3</v>
      </c>
      <c r="DN67" s="96">
        <v>8.9305306000000001E-3</v>
      </c>
      <c r="DO67" s="96">
        <v>8.9443755000000007E-3</v>
      </c>
      <c r="DP67" s="96">
        <v>8.9556715999999995E-3</v>
      </c>
      <c r="DQ67" s="96">
        <v>8.9612609000000003E-3</v>
      </c>
      <c r="DR67" s="97">
        <v>8.9668500999999998E-3</v>
      </c>
      <c r="DS67" s="93">
        <v>84.955287127999995</v>
      </c>
      <c r="DT67" s="80">
        <v>0.59234782080000004</v>
      </c>
      <c r="DU67" s="80">
        <v>43.611212049000002</v>
      </c>
      <c r="DV67" s="80">
        <v>0.31641171219999997</v>
      </c>
      <c r="DW67" s="80">
        <v>22.587341853000002</v>
      </c>
      <c r="DX67" s="80">
        <v>0.17033755549999999</v>
      </c>
      <c r="DY67" s="80">
        <v>11.882126044</v>
      </c>
      <c r="DZ67" s="80">
        <v>9.3941654099999994E-2</v>
      </c>
      <c r="EA67" s="80">
        <v>6.4254997487000001</v>
      </c>
      <c r="EB67" s="80">
        <v>5.4062626199999998E-2</v>
      </c>
      <c r="EC67" s="80">
        <v>3.6491899379000001</v>
      </c>
      <c r="ED67" s="80">
        <v>3.3203502900000001E-2</v>
      </c>
      <c r="EE67" s="80">
        <v>2.1746611175999999</v>
      </c>
      <c r="EF67" s="80">
        <v>2.1846466500000002E-2</v>
      </c>
      <c r="EG67" s="80">
        <v>1.3591280831000001</v>
      </c>
      <c r="EH67" s="80">
        <v>1.5276405099999999E-2</v>
      </c>
      <c r="EI67" s="80">
        <v>0.89054234249999997</v>
      </c>
      <c r="EJ67" s="80">
        <v>1.13044684E-2</v>
      </c>
      <c r="EK67" s="80">
        <v>0.6154507307</v>
      </c>
      <c r="EL67" s="94">
        <v>8.8047825999999999E-3</v>
      </c>
    </row>
    <row r="68" spans="1:142" x14ac:dyDescent="0.2">
      <c r="A68" s="79">
        <v>6300</v>
      </c>
      <c r="B68" s="27">
        <v>741</v>
      </c>
      <c r="C68" s="79">
        <v>2334.1657433999999</v>
      </c>
      <c r="D68" s="27">
        <v>6250.7662974000004</v>
      </c>
      <c r="E68" s="27">
        <v>99.832250744000007</v>
      </c>
      <c r="F68" s="27">
        <v>7.9720215799999994E-2</v>
      </c>
      <c r="G68" s="79">
        <v>10.671371608999999</v>
      </c>
      <c r="H68" s="27">
        <v>4.4772950999999997E-3</v>
      </c>
      <c r="I68" s="27">
        <v>165.60485220999999</v>
      </c>
      <c r="J68" s="27">
        <v>1.0930318897</v>
      </c>
      <c r="K68" s="27">
        <v>85.827060251000006</v>
      </c>
      <c r="L68" s="27">
        <v>0.53231648149999999</v>
      </c>
      <c r="M68" s="27">
        <v>27.698322317999999</v>
      </c>
      <c r="N68" s="27">
        <v>0.22696168010000001</v>
      </c>
      <c r="O68" s="80" t="s">
        <v>136</v>
      </c>
      <c r="P68" s="80">
        <v>0</v>
      </c>
      <c r="Q68" s="27">
        <v>43.968661507999997</v>
      </c>
      <c r="R68" s="27">
        <v>6.3900640800000005E-2</v>
      </c>
      <c r="S68" s="80" t="s">
        <v>136</v>
      </c>
      <c r="T68" s="80">
        <v>0</v>
      </c>
      <c r="U68" s="80" t="s">
        <v>136</v>
      </c>
      <c r="V68" s="80">
        <v>0</v>
      </c>
      <c r="W68" s="27">
        <v>1.0045243507999999</v>
      </c>
      <c r="X68" s="27">
        <v>9.5487883999999992E-3</v>
      </c>
      <c r="Y68" s="27">
        <v>37.942246101000002</v>
      </c>
      <c r="Z68" s="27">
        <v>0.81229017690000005</v>
      </c>
      <c r="AA68" s="80" t="s">
        <v>136</v>
      </c>
      <c r="AB68" s="80">
        <v>0</v>
      </c>
      <c r="AC68" s="27">
        <v>9.1796689999999997E-4</v>
      </c>
      <c r="AD68" s="27">
        <v>2.5452765999999998E-6</v>
      </c>
      <c r="AE68" s="80" t="s">
        <v>136</v>
      </c>
      <c r="AF68" s="80">
        <v>0</v>
      </c>
      <c r="AG68" s="80" t="s">
        <v>136</v>
      </c>
      <c r="AH68" s="80">
        <v>0</v>
      </c>
      <c r="AI68" s="27">
        <f t="shared" si="4"/>
        <v>9.1796689999999997E-4</v>
      </c>
      <c r="AJ68" s="27">
        <f t="shared" si="5"/>
        <v>2.5452765999999998E-6</v>
      </c>
      <c r="AK68" s="27">
        <v>136.28867886</v>
      </c>
      <c r="AL68" s="27">
        <v>1.7470881019</v>
      </c>
      <c r="AM68" s="80" t="s">
        <v>136</v>
      </c>
      <c r="AN68" s="80">
        <v>0</v>
      </c>
      <c r="AO68" s="80" t="s">
        <v>136</v>
      </c>
      <c r="AP68" s="80">
        <v>0</v>
      </c>
      <c r="AQ68" s="80" t="s">
        <v>136</v>
      </c>
      <c r="AR68" s="80">
        <v>0</v>
      </c>
      <c r="AS68" s="27">
        <v>83.533518459000007</v>
      </c>
      <c r="AT68" s="27">
        <v>2.8029519806000001</v>
      </c>
      <c r="AU68" s="27">
        <v>70.203962926000003</v>
      </c>
      <c r="AV68" s="27">
        <v>0.49991291249999997</v>
      </c>
      <c r="AW68" s="27">
        <v>33.523163584000002</v>
      </c>
      <c r="AX68" s="27">
        <v>0.32562476870000001</v>
      </c>
      <c r="AY68" s="27">
        <v>9.2900701638999994</v>
      </c>
      <c r="AZ68" s="27">
        <v>7.9873863899999994E-2</v>
      </c>
      <c r="BA68" s="80">
        <f t="shared" si="6"/>
        <v>27.390729178100003</v>
      </c>
      <c r="BB68" s="80">
        <f t="shared" si="7"/>
        <v>9.4414279899999953E-2</v>
      </c>
      <c r="BC68" s="27">
        <v>0</v>
      </c>
      <c r="BD68" s="80">
        <v>0</v>
      </c>
      <c r="BE68" s="27">
        <v>205.16692721000001</v>
      </c>
      <c r="BF68" s="27">
        <v>1.9260617415000001</v>
      </c>
      <c r="BG68" s="79">
        <v>9.1301959000000005E-3</v>
      </c>
      <c r="BH68" s="80">
        <v>1.5550399999999999E-5</v>
      </c>
      <c r="BI68" s="27">
        <v>143.1693454</v>
      </c>
      <c r="BJ68" s="27">
        <v>4.6055335084999998</v>
      </c>
      <c r="BK68" s="27">
        <v>231.06520323999999</v>
      </c>
      <c r="BL68" s="27">
        <v>1.6997318541999999</v>
      </c>
      <c r="BM68" s="27">
        <v>54.924401795999998</v>
      </c>
      <c r="BN68" s="27">
        <v>0.28747924689999999</v>
      </c>
      <c r="BO68" s="27">
        <v>0.28339222469999997</v>
      </c>
      <c r="BP68" s="27">
        <v>6.2568560000000005E-4</v>
      </c>
      <c r="BQ68" s="27">
        <v>0</v>
      </c>
      <c r="BR68" s="92">
        <v>0</v>
      </c>
      <c r="BS68" s="80" t="s">
        <v>136</v>
      </c>
      <c r="BT68" s="80">
        <v>0</v>
      </c>
      <c r="BU68" s="27">
        <v>0.52580861469999995</v>
      </c>
      <c r="BV68" s="27">
        <v>5.8703747999999997E-3</v>
      </c>
      <c r="BW68" s="27">
        <v>27.172513703</v>
      </c>
      <c r="BX68" s="27">
        <v>0.22109130539999999</v>
      </c>
      <c r="BY68" s="80" t="s">
        <v>136</v>
      </c>
      <c r="BZ68" s="80">
        <v>0</v>
      </c>
      <c r="CA68" s="80" t="s">
        <v>136</v>
      </c>
      <c r="CB68" s="80">
        <v>0</v>
      </c>
      <c r="CC68" s="27">
        <v>21.807225317</v>
      </c>
      <c r="CD68" s="27">
        <v>1.69117752E-2</v>
      </c>
      <c r="CE68" s="27">
        <v>22.161436191</v>
      </c>
      <c r="CF68" s="27">
        <v>4.6988865599999999E-2</v>
      </c>
      <c r="CG68" s="80" t="s">
        <v>136</v>
      </c>
      <c r="CH68" s="80">
        <v>0</v>
      </c>
      <c r="CI68" s="80" t="s">
        <v>136</v>
      </c>
      <c r="CJ68" s="80">
        <v>0</v>
      </c>
      <c r="CK68" s="80" t="s">
        <v>136</v>
      </c>
      <c r="CL68" s="80">
        <v>0</v>
      </c>
      <c r="CM68" s="80" t="s">
        <v>136</v>
      </c>
      <c r="CN68" s="80">
        <v>0</v>
      </c>
      <c r="CO68" s="27">
        <v>0.20370446959999999</v>
      </c>
      <c r="CP68" s="27">
        <v>1.8321418999999999E-3</v>
      </c>
      <c r="CQ68" s="27">
        <v>0.80081988130000004</v>
      </c>
      <c r="CR68" s="27">
        <v>7.7166466E-3</v>
      </c>
      <c r="CS68" s="27">
        <v>3.5698372190000001</v>
      </c>
      <c r="CT68" s="27">
        <v>3.4411496799999997E-2</v>
      </c>
      <c r="CU68" s="27">
        <v>34.372408882000002</v>
      </c>
      <c r="CV68" s="27">
        <v>0.77787868010000005</v>
      </c>
      <c r="CW68" s="80" t="s">
        <v>136</v>
      </c>
      <c r="CX68" s="80">
        <v>0</v>
      </c>
      <c r="CY68" s="80" t="s">
        <v>136</v>
      </c>
      <c r="CZ68" s="80">
        <v>0</v>
      </c>
      <c r="DA68" s="27">
        <v>21.291968734000001</v>
      </c>
      <c r="DB68" s="27">
        <v>0.27841849419999998</v>
      </c>
      <c r="DC68" s="27">
        <v>62.241549724999999</v>
      </c>
      <c r="DD68" s="27">
        <v>2.5245334863000002</v>
      </c>
      <c r="DE68" s="27">
        <v>44.002949360999999</v>
      </c>
      <c r="DF68" s="27">
        <v>0.61673014920000002</v>
      </c>
      <c r="DG68" s="27">
        <v>161.16397785000001</v>
      </c>
      <c r="DH68" s="92">
        <v>1.3093315923</v>
      </c>
      <c r="DI68" s="95">
        <v>4.4234883000000003E-3</v>
      </c>
      <c r="DJ68" s="96">
        <v>7.7360603E-3</v>
      </c>
      <c r="DK68" s="96">
        <v>8.7519104999999996E-3</v>
      </c>
      <c r="DL68" s="96">
        <v>8.9886480999999997E-3</v>
      </c>
      <c r="DM68" s="96">
        <v>9.0329471000000008E-3</v>
      </c>
      <c r="DN68" s="96">
        <v>9.0593297999999999E-3</v>
      </c>
      <c r="DO68" s="96">
        <v>9.0731473000000007E-3</v>
      </c>
      <c r="DP68" s="96">
        <v>9.0844195999999992E-3</v>
      </c>
      <c r="DQ68" s="96">
        <v>9.0899948000000008E-3</v>
      </c>
      <c r="DR68" s="97">
        <v>9.0955698999999994E-3</v>
      </c>
      <c r="DS68" s="93">
        <v>85.355498064000003</v>
      </c>
      <c r="DT68" s="80">
        <v>0.59567604600000001</v>
      </c>
      <c r="DU68" s="80">
        <v>43.906975723999999</v>
      </c>
      <c r="DV68" s="80">
        <v>0.31904662890000002</v>
      </c>
      <c r="DW68" s="80">
        <v>22.797095594999998</v>
      </c>
      <c r="DX68" s="80">
        <v>0.17239258939999999</v>
      </c>
      <c r="DY68" s="80">
        <v>12.035360286</v>
      </c>
      <c r="DZ68" s="80">
        <v>9.5585840199999994E-2</v>
      </c>
      <c r="EA68" s="80">
        <v>6.5401014888000004</v>
      </c>
      <c r="EB68" s="80">
        <v>5.5421794699999999E-2</v>
      </c>
      <c r="EC68" s="80">
        <v>3.7378558707999998</v>
      </c>
      <c r="ED68" s="80">
        <v>3.4353398899999998E-2</v>
      </c>
      <c r="EE68" s="80">
        <v>2.2458761594999999</v>
      </c>
      <c r="EF68" s="80">
        <v>2.2852957E-2</v>
      </c>
      <c r="EG68" s="80">
        <v>1.4163199033</v>
      </c>
      <c r="EH68" s="80">
        <v>1.6165899599999999E-2</v>
      </c>
      <c r="EI68" s="80">
        <v>0.93723518579999998</v>
      </c>
      <c r="EJ68" s="80">
        <v>1.2099946800000001E-2</v>
      </c>
      <c r="EK68" s="80">
        <v>0.65571240320000002</v>
      </c>
      <c r="EL68" s="94">
        <v>9.5355787999999997E-3</v>
      </c>
    </row>
    <row r="69" spans="1:142" x14ac:dyDescent="0.2">
      <c r="A69" s="79">
        <v>6400</v>
      </c>
      <c r="B69" s="27">
        <v>740</v>
      </c>
      <c r="C69" s="79">
        <v>2353.1514431999999</v>
      </c>
      <c r="D69" s="27">
        <v>6350.5168708000001</v>
      </c>
      <c r="E69" s="27">
        <v>101.07131158999999</v>
      </c>
      <c r="F69" s="27">
        <v>8.0198707899999999E-2</v>
      </c>
      <c r="G69" s="79">
        <v>11.065169490000001</v>
      </c>
      <c r="H69" s="27">
        <v>4.5754738999999999E-3</v>
      </c>
      <c r="I69" s="27">
        <v>166.01154729000001</v>
      </c>
      <c r="J69" s="27">
        <v>1.0956682936</v>
      </c>
      <c r="K69" s="27">
        <v>86.429634522000001</v>
      </c>
      <c r="L69" s="27">
        <v>0.53548820200000002</v>
      </c>
      <c r="M69" s="27">
        <v>27.997516228999999</v>
      </c>
      <c r="N69" s="27">
        <v>0.2291253462</v>
      </c>
      <c r="O69" s="80" t="s">
        <v>136</v>
      </c>
      <c r="P69" s="80">
        <v>0</v>
      </c>
      <c r="Q69" s="27">
        <v>44.621131005000002</v>
      </c>
      <c r="R69" s="27">
        <v>6.4769822099999999E-2</v>
      </c>
      <c r="S69" s="80" t="s">
        <v>136</v>
      </c>
      <c r="T69" s="80">
        <v>0</v>
      </c>
      <c r="U69" s="80" t="s">
        <v>136</v>
      </c>
      <c r="V69" s="80">
        <v>0</v>
      </c>
      <c r="W69" s="27">
        <v>1.0276413763000001</v>
      </c>
      <c r="X69" s="27">
        <v>9.7816854999999998E-3</v>
      </c>
      <c r="Y69" s="27">
        <v>38.346322223000001</v>
      </c>
      <c r="Z69" s="27">
        <v>0.81912963370000003</v>
      </c>
      <c r="AA69" s="80" t="s">
        <v>136</v>
      </c>
      <c r="AB69" s="80">
        <v>0</v>
      </c>
      <c r="AC69" s="27">
        <v>9.1590469999999996E-4</v>
      </c>
      <c r="AD69" s="27">
        <v>2.5395585E-6</v>
      </c>
      <c r="AE69" s="80" t="s">
        <v>136</v>
      </c>
      <c r="AF69" s="80">
        <v>0</v>
      </c>
      <c r="AG69" s="80" t="s">
        <v>136</v>
      </c>
      <c r="AH69" s="80">
        <v>0</v>
      </c>
      <c r="AI69" s="27">
        <f t="shared" ref="AI69:AI88" si="8">AC69</f>
        <v>9.1590469999999996E-4</v>
      </c>
      <c r="AJ69" s="27">
        <f t="shared" ref="AJ69:AJ88" si="9">AD69</f>
        <v>2.5395585E-6</v>
      </c>
      <c r="AK69" s="27">
        <v>137.09702737999999</v>
      </c>
      <c r="AL69" s="27">
        <v>1.7533369942000001</v>
      </c>
      <c r="AM69" s="80" t="s">
        <v>136</v>
      </c>
      <c r="AN69" s="80">
        <v>0</v>
      </c>
      <c r="AO69" s="80" t="s">
        <v>136</v>
      </c>
      <c r="AP69" s="80">
        <v>0</v>
      </c>
      <c r="AQ69" s="80" t="s">
        <v>136</v>
      </c>
      <c r="AR69" s="80">
        <v>0</v>
      </c>
      <c r="AS69" s="27">
        <v>84.164644478</v>
      </c>
      <c r="AT69" s="27">
        <v>2.8164533518999999</v>
      </c>
      <c r="AU69" s="27">
        <v>70.871307360000003</v>
      </c>
      <c r="AV69" s="27">
        <v>0.50326671720000005</v>
      </c>
      <c r="AW69" s="27">
        <v>33.860995441</v>
      </c>
      <c r="AX69" s="27">
        <v>0.32791972870000002</v>
      </c>
      <c r="AY69" s="27">
        <v>9.3586532636000008</v>
      </c>
      <c r="AZ69" s="27">
        <v>8.0290986300000006E-2</v>
      </c>
      <c r="BA69" s="80">
        <f t="shared" si="6"/>
        <v>27.651658655399999</v>
      </c>
      <c r="BB69" s="80">
        <f t="shared" si="7"/>
        <v>9.5056002199999989E-2</v>
      </c>
      <c r="BC69" s="27">
        <v>0</v>
      </c>
      <c r="BD69" s="80">
        <v>0</v>
      </c>
      <c r="BE69" s="27">
        <v>208.35458025</v>
      </c>
      <c r="BF69" s="27">
        <v>1.9415724253</v>
      </c>
      <c r="BG69" s="79">
        <v>9.3273378999999997E-3</v>
      </c>
      <c r="BH69" s="80">
        <v>1.5526300000000001E-5</v>
      </c>
      <c r="BI69" s="27">
        <v>143.95398363999999</v>
      </c>
      <c r="BJ69" s="27">
        <v>4.6209412437999999</v>
      </c>
      <c r="BK69" s="27">
        <v>234.34004565000001</v>
      </c>
      <c r="BL69" s="27">
        <v>1.7202203841999999</v>
      </c>
      <c r="BM69" s="27">
        <v>55.506348996</v>
      </c>
      <c r="BN69" s="27">
        <v>0.28972846079999998</v>
      </c>
      <c r="BO69" s="27">
        <v>0.28622223409999997</v>
      </c>
      <c r="BP69" s="27">
        <v>7.2436669999999996E-4</v>
      </c>
      <c r="BQ69" s="27">
        <v>0</v>
      </c>
      <c r="BR69" s="92">
        <v>0</v>
      </c>
      <c r="BS69" s="80" t="s">
        <v>136</v>
      </c>
      <c r="BT69" s="80">
        <v>0</v>
      </c>
      <c r="BU69" s="27">
        <v>0.53594435559999998</v>
      </c>
      <c r="BV69" s="27">
        <v>5.9556803000000002E-3</v>
      </c>
      <c r="BW69" s="27">
        <v>27.461571874000001</v>
      </c>
      <c r="BX69" s="27">
        <v>0.22316966599999999</v>
      </c>
      <c r="BY69" s="80" t="s">
        <v>136</v>
      </c>
      <c r="BZ69" s="80">
        <v>0</v>
      </c>
      <c r="CA69" s="80" t="s">
        <v>136</v>
      </c>
      <c r="CB69" s="80">
        <v>0</v>
      </c>
      <c r="CC69" s="27">
        <v>22.184420269</v>
      </c>
      <c r="CD69" s="27">
        <v>1.7177417899999999E-2</v>
      </c>
      <c r="CE69" s="27">
        <v>22.436710735999998</v>
      </c>
      <c r="CF69" s="27">
        <v>4.7592404099999999E-2</v>
      </c>
      <c r="CG69" s="80" t="s">
        <v>136</v>
      </c>
      <c r="CH69" s="80">
        <v>0</v>
      </c>
      <c r="CI69" s="80" t="s">
        <v>136</v>
      </c>
      <c r="CJ69" s="80">
        <v>0</v>
      </c>
      <c r="CK69" s="80" t="s">
        <v>136</v>
      </c>
      <c r="CL69" s="80">
        <v>0</v>
      </c>
      <c r="CM69" s="80" t="s">
        <v>136</v>
      </c>
      <c r="CN69" s="80">
        <v>0</v>
      </c>
      <c r="CO69" s="27">
        <v>0.20325050880000001</v>
      </c>
      <c r="CP69" s="27">
        <v>1.8280735000000001E-3</v>
      </c>
      <c r="CQ69" s="27">
        <v>0.82439086760000002</v>
      </c>
      <c r="CR69" s="27">
        <v>7.9536120000000005E-3</v>
      </c>
      <c r="CS69" s="27">
        <v>3.6927780171000002</v>
      </c>
      <c r="CT69" s="27">
        <v>3.5407342799999998E-2</v>
      </c>
      <c r="CU69" s="27">
        <v>34.653544205999999</v>
      </c>
      <c r="CV69" s="27">
        <v>0.78372229090000001</v>
      </c>
      <c r="CW69" s="80" t="s">
        <v>136</v>
      </c>
      <c r="CX69" s="80">
        <v>0</v>
      </c>
      <c r="CY69" s="80" t="s">
        <v>136</v>
      </c>
      <c r="CZ69" s="80">
        <v>0</v>
      </c>
      <c r="DA69" s="27">
        <v>21.519619337000002</v>
      </c>
      <c r="DB69" s="27">
        <v>0.28084864949999999</v>
      </c>
      <c r="DC69" s="27">
        <v>62.645025140999998</v>
      </c>
      <c r="DD69" s="27">
        <v>2.5356047024000001</v>
      </c>
      <c r="DE69" s="27">
        <v>45.187119414999998</v>
      </c>
      <c r="DF69" s="27">
        <v>0.62320541630000004</v>
      </c>
      <c r="DG69" s="27">
        <v>163.16746083999999</v>
      </c>
      <c r="DH69" s="92">
        <v>1.3183670088999999</v>
      </c>
      <c r="DI69" s="95">
        <v>4.5217998000000002E-3</v>
      </c>
      <c r="DJ69" s="96">
        <v>7.8973538999999992E-3</v>
      </c>
      <c r="DK69" s="96">
        <v>8.9382110999999993E-3</v>
      </c>
      <c r="DL69" s="96">
        <v>9.1844826999999997E-3</v>
      </c>
      <c r="DM69" s="96">
        <v>9.2303794000000005E-3</v>
      </c>
      <c r="DN69" s="96">
        <v>9.2566698000000006E-3</v>
      </c>
      <c r="DO69" s="96">
        <v>9.2704564E-3</v>
      </c>
      <c r="DP69" s="96">
        <v>9.2817034000000007E-3</v>
      </c>
      <c r="DQ69" s="96">
        <v>9.2872635000000002E-3</v>
      </c>
      <c r="DR69" s="97">
        <v>9.2928235000000001E-3</v>
      </c>
      <c r="DS69" s="93">
        <v>85.674876886999996</v>
      </c>
      <c r="DT69" s="80">
        <v>0.59775382539999999</v>
      </c>
      <c r="DU69" s="80">
        <v>44.128119691999999</v>
      </c>
      <c r="DV69" s="80">
        <v>0.32052802450000001</v>
      </c>
      <c r="DW69" s="80">
        <v>22.945040018</v>
      </c>
      <c r="DX69" s="80">
        <v>0.1734109479</v>
      </c>
      <c r="DY69" s="80">
        <v>12.131145305</v>
      </c>
      <c r="DZ69" s="80">
        <v>9.6258227599999996E-2</v>
      </c>
      <c r="EA69" s="80">
        <v>6.6026312809999999</v>
      </c>
      <c r="EB69" s="80">
        <v>5.5869737000000003E-2</v>
      </c>
      <c r="EC69" s="80">
        <v>3.7757794577000001</v>
      </c>
      <c r="ED69" s="80">
        <v>3.4643288899999999E-2</v>
      </c>
      <c r="EE69" s="80">
        <v>2.2704421809999999</v>
      </c>
      <c r="EF69" s="80">
        <v>2.3053657599999999E-2</v>
      </c>
      <c r="EG69" s="80">
        <v>1.4337947438</v>
      </c>
      <c r="EH69" s="80">
        <v>1.6312428899999998E-2</v>
      </c>
      <c r="EI69" s="80">
        <v>0.95007045649999999</v>
      </c>
      <c r="EJ69" s="80">
        <v>1.2205692000000001E-2</v>
      </c>
      <c r="EK69" s="80">
        <v>0.66397985510000002</v>
      </c>
      <c r="EL69" s="94">
        <v>9.6006470000000003E-3</v>
      </c>
    </row>
    <row r="70" spans="1:142" x14ac:dyDescent="0.2">
      <c r="A70" s="79">
        <v>6500</v>
      </c>
      <c r="B70" s="27">
        <v>719</v>
      </c>
      <c r="C70" s="79">
        <v>2372.2270085999999</v>
      </c>
      <c r="D70" s="27">
        <v>6451.0197909999997</v>
      </c>
      <c r="E70" s="27">
        <v>102.65475911</v>
      </c>
      <c r="F70" s="27">
        <v>8.0849225799999994E-2</v>
      </c>
      <c r="G70" s="79">
        <v>11.311264388</v>
      </c>
      <c r="H70" s="27">
        <v>4.6306307E-3</v>
      </c>
      <c r="I70" s="27">
        <v>166.46566849000001</v>
      </c>
      <c r="J70" s="27">
        <v>1.0987084537</v>
      </c>
      <c r="K70" s="27">
        <v>86.952615484999995</v>
      </c>
      <c r="L70" s="27">
        <v>0.53898778759999999</v>
      </c>
      <c r="M70" s="27">
        <v>28.242600930999998</v>
      </c>
      <c r="N70" s="27">
        <v>0.230880635</v>
      </c>
      <c r="O70" s="80" t="s">
        <v>136</v>
      </c>
      <c r="P70" s="80">
        <v>0</v>
      </c>
      <c r="Q70" s="27">
        <v>45.496957637000001</v>
      </c>
      <c r="R70" s="27">
        <v>6.5745928199999998E-2</v>
      </c>
      <c r="S70" s="80" t="s">
        <v>136</v>
      </c>
      <c r="T70" s="80">
        <v>0</v>
      </c>
      <c r="U70" s="80" t="s">
        <v>136</v>
      </c>
      <c r="V70" s="80">
        <v>0</v>
      </c>
      <c r="W70" s="27">
        <v>1.0256127408</v>
      </c>
      <c r="X70" s="27">
        <v>9.7624779000000002E-3</v>
      </c>
      <c r="Y70" s="27">
        <v>38.898969829000002</v>
      </c>
      <c r="Z70" s="27">
        <v>0.82986770759999995</v>
      </c>
      <c r="AA70" s="80" t="s">
        <v>136</v>
      </c>
      <c r="AB70" s="80">
        <v>0</v>
      </c>
      <c r="AC70" s="27">
        <v>9.1411889999999999E-4</v>
      </c>
      <c r="AD70" s="27">
        <v>2.5346071000000002E-6</v>
      </c>
      <c r="AE70" s="80" t="s">
        <v>136</v>
      </c>
      <c r="AF70" s="80">
        <v>0</v>
      </c>
      <c r="AG70" s="80" t="s">
        <v>136</v>
      </c>
      <c r="AH70" s="80">
        <v>0</v>
      </c>
      <c r="AI70" s="27">
        <f t="shared" si="8"/>
        <v>9.1411889999999999E-4</v>
      </c>
      <c r="AJ70" s="27">
        <f t="shared" si="9"/>
        <v>2.5346071000000002E-6</v>
      </c>
      <c r="AK70" s="27">
        <v>137.85686111999999</v>
      </c>
      <c r="AL70" s="27">
        <v>1.7580565037</v>
      </c>
      <c r="AM70" s="80" t="s">
        <v>136</v>
      </c>
      <c r="AN70" s="80">
        <v>0</v>
      </c>
      <c r="AO70" s="80" t="s">
        <v>136</v>
      </c>
      <c r="AP70" s="80">
        <v>0</v>
      </c>
      <c r="AQ70" s="80" t="s">
        <v>136</v>
      </c>
      <c r="AR70" s="80">
        <v>0</v>
      </c>
      <c r="AS70" s="27">
        <v>84.648331772000006</v>
      </c>
      <c r="AT70" s="27">
        <v>2.8265784088000001</v>
      </c>
      <c r="AU70" s="27">
        <v>71.542363429999995</v>
      </c>
      <c r="AV70" s="27">
        <v>0.50662868459999999</v>
      </c>
      <c r="AW70" s="27">
        <v>34.134160604999998</v>
      </c>
      <c r="AX70" s="27">
        <v>0.3300302208</v>
      </c>
      <c r="AY70" s="27">
        <v>9.4250689900999998</v>
      </c>
      <c r="AZ70" s="27">
        <v>8.0744365900000004E-2</v>
      </c>
      <c r="BA70" s="80">
        <f t="shared" ref="BA70:BA88" si="10">AU70-(AW70+AY70)</f>
        <v>27.983133834899995</v>
      </c>
      <c r="BB70" s="80">
        <f t="shared" ref="BB70:BB88" si="11">AV70-(AX70+AZ70)</f>
        <v>9.585409789999999E-2</v>
      </c>
      <c r="BC70" s="27">
        <v>0</v>
      </c>
      <c r="BD70" s="80">
        <v>0</v>
      </c>
      <c r="BE70" s="27">
        <v>211.31094906999999</v>
      </c>
      <c r="BF70" s="27">
        <v>1.955190652</v>
      </c>
      <c r="BG70" s="79">
        <v>9.4483746E-3</v>
      </c>
      <c r="BH70" s="80">
        <v>1.5502299999999999E-5</v>
      </c>
      <c r="BI70" s="27">
        <v>144.63006317</v>
      </c>
      <c r="BJ70" s="27">
        <v>4.6359018134000003</v>
      </c>
      <c r="BK70" s="27">
        <v>237.54667165000001</v>
      </c>
      <c r="BL70" s="27">
        <v>1.7406912808999999</v>
      </c>
      <c r="BM70" s="27">
        <v>56.029166527000001</v>
      </c>
      <c r="BN70" s="27">
        <v>0.29166224590000001</v>
      </c>
      <c r="BO70" s="27">
        <v>0.2886409157</v>
      </c>
      <c r="BP70" s="27">
        <v>7.2798779999999998E-4</v>
      </c>
      <c r="BQ70" s="27">
        <v>0</v>
      </c>
      <c r="BR70" s="92">
        <v>0</v>
      </c>
      <c r="BS70" s="80" t="s">
        <v>136</v>
      </c>
      <c r="BT70" s="80">
        <v>0</v>
      </c>
      <c r="BU70" s="27">
        <v>0.55410465259999997</v>
      </c>
      <c r="BV70" s="27">
        <v>6.0770987000000002E-3</v>
      </c>
      <c r="BW70" s="27">
        <v>27.688496277999999</v>
      </c>
      <c r="BX70" s="27">
        <v>0.2248035364</v>
      </c>
      <c r="BY70" s="80" t="s">
        <v>136</v>
      </c>
      <c r="BZ70" s="80">
        <v>0</v>
      </c>
      <c r="CA70" s="80" t="s">
        <v>136</v>
      </c>
      <c r="CB70" s="80">
        <v>0</v>
      </c>
      <c r="CC70" s="27">
        <v>22.650149500000001</v>
      </c>
      <c r="CD70" s="27">
        <v>1.7444481899999999E-2</v>
      </c>
      <c r="CE70" s="27">
        <v>22.846808137</v>
      </c>
      <c r="CF70" s="27">
        <v>4.8301446400000003E-2</v>
      </c>
      <c r="CG70" s="80" t="s">
        <v>136</v>
      </c>
      <c r="CH70" s="80">
        <v>0</v>
      </c>
      <c r="CI70" s="80" t="s">
        <v>136</v>
      </c>
      <c r="CJ70" s="80">
        <v>0</v>
      </c>
      <c r="CK70" s="80" t="s">
        <v>136</v>
      </c>
      <c r="CL70" s="80">
        <v>0</v>
      </c>
      <c r="CM70" s="80" t="s">
        <v>136</v>
      </c>
      <c r="CN70" s="80">
        <v>0</v>
      </c>
      <c r="CO70" s="27">
        <v>0.2028353</v>
      </c>
      <c r="CP70" s="27">
        <v>1.8244240000000001E-3</v>
      </c>
      <c r="CQ70" s="27">
        <v>0.82277744080000004</v>
      </c>
      <c r="CR70" s="27">
        <v>7.9380539000000003E-3</v>
      </c>
      <c r="CS70" s="27">
        <v>3.7708905263000001</v>
      </c>
      <c r="CT70" s="27">
        <v>3.5768776600000003E-2</v>
      </c>
      <c r="CU70" s="27">
        <v>35.128079303</v>
      </c>
      <c r="CV70" s="27">
        <v>0.79409893099999995</v>
      </c>
      <c r="CW70" s="80" t="s">
        <v>136</v>
      </c>
      <c r="CX70" s="80">
        <v>0</v>
      </c>
      <c r="CY70" s="80" t="s">
        <v>136</v>
      </c>
      <c r="CZ70" s="80">
        <v>0</v>
      </c>
      <c r="DA70" s="27">
        <v>21.669415377</v>
      </c>
      <c r="DB70" s="27">
        <v>0.2825291217</v>
      </c>
      <c r="DC70" s="27">
        <v>62.978916394999999</v>
      </c>
      <c r="DD70" s="27">
        <v>2.5440492871</v>
      </c>
      <c r="DE70" s="27">
        <v>46.441063112999998</v>
      </c>
      <c r="DF70" s="27">
        <v>0.62978019009999997</v>
      </c>
      <c r="DG70" s="27">
        <v>164.86988595</v>
      </c>
      <c r="DH70" s="92">
        <v>1.3254104619</v>
      </c>
      <c r="DI70" s="95">
        <v>4.5770695999999998E-3</v>
      </c>
      <c r="DJ70" s="96">
        <v>7.9982713999999996E-3</v>
      </c>
      <c r="DK70" s="96">
        <v>9.0534581999999995E-3</v>
      </c>
      <c r="DL70" s="96">
        <v>9.3008757000000008E-3</v>
      </c>
      <c r="DM70" s="96">
        <v>9.3483290000000007E-3</v>
      </c>
      <c r="DN70" s="96">
        <v>9.3762111999999998E-3</v>
      </c>
      <c r="DO70" s="96">
        <v>9.3916443999999995E-3</v>
      </c>
      <c r="DP70" s="96">
        <v>9.4028681999999992E-3</v>
      </c>
      <c r="DQ70" s="96">
        <v>9.4084144000000005E-3</v>
      </c>
      <c r="DR70" s="97">
        <v>9.4139606999999997E-3</v>
      </c>
      <c r="DS70" s="93">
        <v>86.045832528000005</v>
      </c>
      <c r="DT70" s="80">
        <v>0.60027609900000001</v>
      </c>
      <c r="DU70" s="80">
        <v>44.400370090999999</v>
      </c>
      <c r="DV70" s="80">
        <v>0.32244792929999999</v>
      </c>
      <c r="DW70" s="80">
        <v>23.121922230999999</v>
      </c>
      <c r="DX70" s="80">
        <v>0.17474640050000001</v>
      </c>
      <c r="DY70" s="80">
        <v>12.236647474</v>
      </c>
      <c r="DZ70" s="80">
        <v>9.7117965400000006E-2</v>
      </c>
      <c r="EA70" s="80">
        <v>6.6645735260999999</v>
      </c>
      <c r="EB70" s="80">
        <v>5.6429080700000002E-2</v>
      </c>
      <c r="EC70" s="80">
        <v>3.8101664102999999</v>
      </c>
      <c r="ED70" s="80">
        <v>3.5011265399999998E-2</v>
      </c>
      <c r="EE70" s="80">
        <v>2.2913318459999998</v>
      </c>
      <c r="EF70" s="80">
        <v>2.3310648E-2</v>
      </c>
      <c r="EG70" s="80">
        <v>1.4466221511999999</v>
      </c>
      <c r="EH70" s="80">
        <v>1.65048717E-2</v>
      </c>
      <c r="EI70" s="80">
        <v>0.95738874299999999</v>
      </c>
      <c r="EJ70" s="80">
        <v>1.2350666499999999E-2</v>
      </c>
      <c r="EK70" s="80">
        <v>0.66972761940000003</v>
      </c>
      <c r="EL70" s="94">
        <v>9.7276233999999996E-3</v>
      </c>
    </row>
    <row r="71" spans="1:142" x14ac:dyDescent="0.2">
      <c r="A71" s="79">
        <v>7500</v>
      </c>
      <c r="B71" s="27">
        <v>6352</v>
      </c>
      <c r="C71" s="79">
        <v>2549.9711335000002</v>
      </c>
      <c r="D71" s="27">
        <v>6982.5665533000001</v>
      </c>
      <c r="E71" s="27">
        <v>116.74391193</v>
      </c>
      <c r="F71" s="27">
        <v>8.6152492499999997E-2</v>
      </c>
      <c r="G71" s="79">
        <v>14.392214359</v>
      </c>
      <c r="H71" s="27">
        <v>5.3343084000000004E-3</v>
      </c>
      <c r="I71" s="27">
        <v>170.74390012000001</v>
      </c>
      <c r="J71" s="27">
        <v>1.1274175731</v>
      </c>
      <c r="K71" s="27">
        <v>91.904928975000004</v>
      </c>
      <c r="L71" s="27">
        <v>0.56958006230000002</v>
      </c>
      <c r="M71" s="27">
        <v>30.747242721999999</v>
      </c>
      <c r="N71" s="27">
        <v>0.25060134509999998</v>
      </c>
      <c r="O71" s="80" t="s">
        <v>136</v>
      </c>
      <c r="P71" s="80">
        <v>0</v>
      </c>
      <c r="Q71" s="27">
        <v>54.350130323000002</v>
      </c>
      <c r="R71" s="27">
        <v>7.6185894700000006E-2</v>
      </c>
      <c r="S71" s="80" t="s">
        <v>136</v>
      </c>
      <c r="T71" s="80">
        <v>0</v>
      </c>
      <c r="U71" s="80" t="s">
        <v>136</v>
      </c>
      <c r="V71" s="80">
        <v>0</v>
      </c>
      <c r="W71" s="27">
        <v>1.2453982188999999</v>
      </c>
      <c r="X71" s="27">
        <v>1.2043400399999999E-2</v>
      </c>
      <c r="Y71" s="27">
        <v>43.878594155999998</v>
      </c>
      <c r="Z71" s="27">
        <v>0.92632951019999998</v>
      </c>
      <c r="AA71" s="80" t="s">
        <v>136</v>
      </c>
      <c r="AB71" s="80">
        <v>0</v>
      </c>
      <c r="AC71" s="27">
        <v>9.0077159999999996E-4</v>
      </c>
      <c r="AD71" s="27">
        <v>2.4975985000000001E-6</v>
      </c>
      <c r="AE71" s="80" t="s">
        <v>136</v>
      </c>
      <c r="AF71" s="80">
        <v>0</v>
      </c>
      <c r="AG71" s="80" t="s">
        <v>136</v>
      </c>
      <c r="AH71" s="80">
        <v>0</v>
      </c>
      <c r="AI71" s="27">
        <f t="shared" si="8"/>
        <v>9.0077159999999996E-4</v>
      </c>
      <c r="AJ71" s="27">
        <f t="shared" si="9"/>
        <v>2.4975985000000001E-6</v>
      </c>
      <c r="AK71" s="27">
        <v>144.73039306000001</v>
      </c>
      <c r="AL71" s="27">
        <v>1.8100581381</v>
      </c>
      <c r="AM71" s="80" t="s">
        <v>136</v>
      </c>
      <c r="AN71" s="80">
        <v>0</v>
      </c>
      <c r="AO71" s="80" t="s">
        <v>136</v>
      </c>
      <c r="AP71" s="80">
        <v>0</v>
      </c>
      <c r="AQ71" s="80" t="s">
        <v>136</v>
      </c>
      <c r="AR71" s="80">
        <v>0</v>
      </c>
      <c r="AS71" s="27">
        <v>90.331524505999994</v>
      </c>
      <c r="AT71" s="27">
        <v>2.9529139167</v>
      </c>
      <c r="AU71" s="27">
        <v>77.837503046999998</v>
      </c>
      <c r="AV71" s="27">
        <v>0.54005103889999995</v>
      </c>
      <c r="AW71" s="27">
        <v>36.856644066000001</v>
      </c>
      <c r="AX71" s="27">
        <v>0.35192846449999998</v>
      </c>
      <c r="AY71" s="27">
        <v>9.9934066253000005</v>
      </c>
      <c r="AZ71" s="27">
        <v>8.4190839599999998E-2</v>
      </c>
      <c r="BA71" s="80">
        <f t="shared" si="10"/>
        <v>30.9874523557</v>
      </c>
      <c r="BB71" s="80">
        <f t="shared" si="11"/>
        <v>0.10393173479999995</v>
      </c>
      <c r="BC71" s="27">
        <v>0</v>
      </c>
      <c r="BD71" s="80">
        <v>0</v>
      </c>
      <c r="BE71" s="27">
        <v>240.62878486</v>
      </c>
      <c r="BF71" s="27">
        <v>2.0952638445999998</v>
      </c>
      <c r="BG71" s="79">
        <v>1.08957924E-2</v>
      </c>
      <c r="BH71" s="80">
        <v>1.53048E-5</v>
      </c>
      <c r="BI71" s="27">
        <v>150.58518647</v>
      </c>
      <c r="BJ71" s="27">
        <v>4.7641408000999999</v>
      </c>
      <c r="BK71" s="27">
        <v>266.61305418000001</v>
      </c>
      <c r="BL71" s="27">
        <v>1.9230278350000001</v>
      </c>
      <c r="BM71" s="27">
        <v>62.062059069</v>
      </c>
      <c r="BN71" s="27">
        <v>0.3129301377</v>
      </c>
      <c r="BO71" s="27">
        <v>0.3904661036</v>
      </c>
      <c r="BP71" s="27">
        <v>7.8381070000000004E-4</v>
      </c>
      <c r="BQ71" s="27">
        <v>0</v>
      </c>
      <c r="BR71" s="92">
        <v>0</v>
      </c>
      <c r="BS71" s="80" t="s">
        <v>136</v>
      </c>
      <c r="BT71" s="80">
        <v>0</v>
      </c>
      <c r="BU71" s="27">
        <v>0.59055384619999995</v>
      </c>
      <c r="BV71" s="27">
        <v>6.2995851000000004E-3</v>
      </c>
      <c r="BW71" s="27">
        <v>30.156688876</v>
      </c>
      <c r="BX71" s="27">
        <v>0.24430176000000001</v>
      </c>
      <c r="BY71" s="80" t="s">
        <v>136</v>
      </c>
      <c r="BZ71" s="80">
        <v>0</v>
      </c>
      <c r="CA71" s="80" t="s">
        <v>136</v>
      </c>
      <c r="CB71" s="80">
        <v>0</v>
      </c>
      <c r="CC71" s="27">
        <v>28.018639415999999</v>
      </c>
      <c r="CD71" s="27">
        <v>2.0770752900000002E-2</v>
      </c>
      <c r="CE71" s="27">
        <v>26.331490906999999</v>
      </c>
      <c r="CF71" s="27">
        <v>5.5415141799999998E-2</v>
      </c>
      <c r="CG71" s="80" t="s">
        <v>136</v>
      </c>
      <c r="CH71" s="80">
        <v>0</v>
      </c>
      <c r="CI71" s="80" t="s">
        <v>136</v>
      </c>
      <c r="CJ71" s="80">
        <v>0</v>
      </c>
      <c r="CK71" s="80" t="s">
        <v>136</v>
      </c>
      <c r="CL71" s="80">
        <v>0</v>
      </c>
      <c r="CM71" s="80" t="s">
        <v>136</v>
      </c>
      <c r="CN71" s="80">
        <v>0</v>
      </c>
      <c r="CO71" s="27">
        <v>0.27237932609999999</v>
      </c>
      <c r="CP71" s="27">
        <v>2.5440196E-3</v>
      </c>
      <c r="CQ71" s="27">
        <v>0.97301889279999998</v>
      </c>
      <c r="CR71" s="27">
        <v>9.4993808999999998E-3</v>
      </c>
      <c r="CS71" s="27">
        <v>4.3896750875999997</v>
      </c>
      <c r="CT71" s="27">
        <v>4.1436065899999999E-2</v>
      </c>
      <c r="CU71" s="27">
        <v>39.488919068000001</v>
      </c>
      <c r="CV71" s="27">
        <v>0.88489344430000005</v>
      </c>
      <c r="CW71" s="80" t="s">
        <v>136</v>
      </c>
      <c r="CX71" s="80">
        <v>0</v>
      </c>
      <c r="CY71" s="80" t="s">
        <v>136</v>
      </c>
      <c r="CZ71" s="80">
        <v>0</v>
      </c>
      <c r="DA71" s="27">
        <v>23.867062803</v>
      </c>
      <c r="DB71" s="27">
        <v>0.30550389570000003</v>
      </c>
      <c r="DC71" s="27">
        <v>66.464461702999998</v>
      </c>
      <c r="DD71" s="27">
        <v>2.6474100209999998</v>
      </c>
      <c r="DE71" s="27">
        <v>58.594331859</v>
      </c>
      <c r="DF71" s="27">
        <v>0.6935172771</v>
      </c>
      <c r="DG71" s="27">
        <v>182.03445300000001</v>
      </c>
      <c r="DH71" s="92">
        <v>1.4017465674</v>
      </c>
      <c r="DI71" s="95">
        <v>5.2377051999999997E-3</v>
      </c>
      <c r="DJ71" s="96">
        <v>9.1054199999999995E-3</v>
      </c>
      <c r="DK71" s="96">
        <v>1.03819056E-2</v>
      </c>
      <c r="DL71" s="96">
        <v>1.07119272E-2</v>
      </c>
      <c r="DM71" s="96">
        <v>1.07815228E-2</v>
      </c>
      <c r="DN71" s="96">
        <v>1.08184974E-2</v>
      </c>
      <c r="DO71" s="96">
        <v>1.08378764E-2</v>
      </c>
      <c r="DP71" s="96">
        <v>1.08513998E-2</v>
      </c>
      <c r="DQ71" s="96">
        <v>1.08568268E-2</v>
      </c>
      <c r="DR71" s="97">
        <v>1.0862253800000001E-2</v>
      </c>
      <c r="DS71" s="93">
        <v>89.532281845</v>
      </c>
      <c r="DT71" s="80">
        <v>0.62405848860000002</v>
      </c>
      <c r="DU71" s="80">
        <v>46.939994118000001</v>
      </c>
      <c r="DV71" s="80">
        <v>0.34023130060000001</v>
      </c>
      <c r="DW71" s="80">
        <v>24.858412659999999</v>
      </c>
      <c r="DX71" s="80">
        <v>0.18731205740000001</v>
      </c>
      <c r="DY71" s="80">
        <v>13.386729561999999</v>
      </c>
      <c r="DZ71" s="80">
        <v>0.1057404928</v>
      </c>
      <c r="EA71" s="80">
        <v>7.4295403860000002</v>
      </c>
      <c r="EB71" s="80">
        <v>6.24357382E-2</v>
      </c>
      <c r="EC71" s="80">
        <v>4.3148232711999999</v>
      </c>
      <c r="ED71" s="80">
        <v>3.91879028E-2</v>
      </c>
      <c r="EE71" s="80">
        <v>2.6309894753999998</v>
      </c>
      <c r="EF71" s="80">
        <v>2.6317236099999999E-2</v>
      </c>
      <c r="EG71" s="80">
        <v>1.6776375582</v>
      </c>
      <c r="EH71" s="80">
        <v>1.8733411200000001E-2</v>
      </c>
      <c r="EI71" s="80">
        <v>1.1210240936</v>
      </c>
      <c r="EJ71" s="80">
        <v>1.4086899599999999E-2</v>
      </c>
      <c r="EK71" s="80">
        <v>0.79132031300000005</v>
      </c>
      <c r="EL71" s="94">
        <v>1.11298917E-2</v>
      </c>
    </row>
    <row r="72" spans="1:142" x14ac:dyDescent="0.2">
      <c r="A72" s="79">
        <v>10000</v>
      </c>
      <c r="B72" s="27">
        <v>11257</v>
      </c>
      <c r="C72" s="79">
        <v>2917.9338413999999</v>
      </c>
      <c r="D72" s="27">
        <v>8660.5293345999999</v>
      </c>
      <c r="E72" s="27">
        <v>147.29630130999999</v>
      </c>
      <c r="F72" s="27">
        <v>9.6456178399999995E-2</v>
      </c>
      <c r="G72" s="79">
        <v>27.461725049000002</v>
      </c>
      <c r="H72" s="27">
        <v>7.4147991999999998E-3</v>
      </c>
      <c r="I72" s="27">
        <v>178.62268233</v>
      </c>
      <c r="J72" s="27">
        <v>1.1801560656000001</v>
      </c>
      <c r="K72" s="27">
        <v>102.60014132000001</v>
      </c>
      <c r="L72" s="27">
        <v>0.63520560670000004</v>
      </c>
      <c r="M72" s="27">
        <v>36.167012411999998</v>
      </c>
      <c r="N72" s="27">
        <v>0.28918262210000001</v>
      </c>
      <c r="O72" s="80" t="s">
        <v>136</v>
      </c>
      <c r="P72" s="80">
        <v>0</v>
      </c>
      <c r="Q72" s="27">
        <v>71.645288872999998</v>
      </c>
      <c r="R72" s="27">
        <v>9.6455461500000006E-2</v>
      </c>
      <c r="S72" s="80" t="s">
        <v>136</v>
      </c>
      <c r="T72" s="80">
        <v>0</v>
      </c>
      <c r="U72" s="80" t="s">
        <v>136</v>
      </c>
      <c r="V72" s="80">
        <v>0</v>
      </c>
      <c r="W72" s="27">
        <v>1.6237486875</v>
      </c>
      <c r="X72" s="27">
        <v>1.55165927E-2</v>
      </c>
      <c r="Y72" s="27">
        <v>54.906648158000003</v>
      </c>
      <c r="Z72" s="27">
        <v>1.1138799671999999</v>
      </c>
      <c r="AA72" s="80" t="s">
        <v>136</v>
      </c>
      <c r="AB72" s="80">
        <v>0</v>
      </c>
      <c r="AC72" s="27">
        <v>8.8179730000000002E-4</v>
      </c>
      <c r="AD72" s="27">
        <v>2.4449878000000001E-6</v>
      </c>
      <c r="AE72" s="80" t="s">
        <v>136</v>
      </c>
      <c r="AF72" s="80">
        <v>0</v>
      </c>
      <c r="AG72" s="80" t="s">
        <v>136</v>
      </c>
      <c r="AH72" s="80">
        <v>0</v>
      </c>
      <c r="AI72" s="27">
        <f t="shared" si="8"/>
        <v>8.8179730000000002E-4</v>
      </c>
      <c r="AJ72" s="27">
        <f t="shared" si="9"/>
        <v>2.4449878000000001E-6</v>
      </c>
      <c r="AK72" s="27">
        <v>156.08612955999999</v>
      </c>
      <c r="AL72" s="27">
        <v>1.9024395736999999</v>
      </c>
      <c r="AM72" s="80" t="s">
        <v>136</v>
      </c>
      <c r="AN72" s="80">
        <v>0</v>
      </c>
      <c r="AO72" s="80" t="s">
        <v>136</v>
      </c>
      <c r="AP72" s="80">
        <v>0</v>
      </c>
      <c r="AQ72" s="80" t="s">
        <v>136</v>
      </c>
      <c r="AR72" s="80">
        <v>0</v>
      </c>
      <c r="AS72" s="27">
        <v>102.62524572</v>
      </c>
      <c r="AT72" s="27">
        <v>3.2003068856999999</v>
      </c>
      <c r="AU72" s="27">
        <v>91.048357198999994</v>
      </c>
      <c r="AV72" s="27">
        <v>0.60638235190000001</v>
      </c>
      <c r="AW72" s="27">
        <v>42.501737886999997</v>
      </c>
      <c r="AX72" s="27">
        <v>0.39591920959999999</v>
      </c>
      <c r="AY72" s="27">
        <v>11.000442917000001</v>
      </c>
      <c r="AZ72" s="27">
        <v>9.0629462999999993E-2</v>
      </c>
      <c r="BA72" s="80">
        <f t="shared" si="10"/>
        <v>37.546176394999996</v>
      </c>
      <c r="BB72" s="80">
        <f t="shared" si="11"/>
        <v>0.1198336793</v>
      </c>
      <c r="BC72" s="27">
        <v>8.9495706999999994E-3</v>
      </c>
      <c r="BD72" s="80">
        <v>1.667656E-6</v>
      </c>
      <c r="BE72" s="27">
        <v>313.66495215999998</v>
      </c>
      <c r="BF72" s="27">
        <v>2.3906798825000002</v>
      </c>
      <c r="BG72" s="79">
        <v>1.5526175600000001E-2</v>
      </c>
      <c r="BH72" s="80">
        <v>1.50089E-5</v>
      </c>
      <c r="BI72" s="27">
        <v>160.04096078000001</v>
      </c>
      <c r="BJ72" s="27">
        <v>4.9774246786000003</v>
      </c>
      <c r="BK72" s="27">
        <v>328.85810749000001</v>
      </c>
      <c r="BL72" s="27">
        <v>2.2934084811000002</v>
      </c>
      <c r="BM72" s="27">
        <v>74.956005067000007</v>
      </c>
      <c r="BN72" s="27">
        <v>0.35863660110000001</v>
      </c>
      <c r="BO72" s="27">
        <v>0.928481683</v>
      </c>
      <c r="BP72" s="27">
        <v>1.1482421999999999E-3</v>
      </c>
      <c r="BQ72" s="27">
        <v>0</v>
      </c>
      <c r="BR72" s="92">
        <v>0</v>
      </c>
      <c r="BS72" s="80" t="s">
        <v>136</v>
      </c>
      <c r="BT72" s="80">
        <v>0</v>
      </c>
      <c r="BU72" s="27">
        <v>0.75434988940000003</v>
      </c>
      <c r="BV72" s="27">
        <v>7.2577570999999997E-3</v>
      </c>
      <c r="BW72" s="27">
        <v>35.412662521999998</v>
      </c>
      <c r="BX72" s="27">
        <v>0.28192486500000002</v>
      </c>
      <c r="BY72" s="80" t="s">
        <v>136</v>
      </c>
      <c r="BZ72" s="80">
        <v>0</v>
      </c>
      <c r="CA72" s="80" t="s">
        <v>136</v>
      </c>
      <c r="CB72" s="80">
        <v>0</v>
      </c>
      <c r="CC72" s="27">
        <v>38.917511263000002</v>
      </c>
      <c r="CD72" s="27">
        <v>2.7608078300000002E-2</v>
      </c>
      <c r="CE72" s="27">
        <v>32.727777609999997</v>
      </c>
      <c r="CF72" s="27">
        <v>6.8847383200000001E-2</v>
      </c>
      <c r="CG72" s="80" t="s">
        <v>136</v>
      </c>
      <c r="CH72" s="80">
        <v>0</v>
      </c>
      <c r="CI72" s="80" t="s">
        <v>136</v>
      </c>
      <c r="CJ72" s="80">
        <v>0</v>
      </c>
      <c r="CK72" s="80" t="s">
        <v>136</v>
      </c>
      <c r="CL72" s="80">
        <v>0</v>
      </c>
      <c r="CM72" s="80" t="s">
        <v>136</v>
      </c>
      <c r="CN72" s="80">
        <v>0</v>
      </c>
      <c r="CO72" s="27">
        <v>0.338402168</v>
      </c>
      <c r="CP72" s="27">
        <v>2.9427100999999999E-3</v>
      </c>
      <c r="CQ72" s="27">
        <v>1.2853465195</v>
      </c>
      <c r="CR72" s="27">
        <v>1.2573882600000001E-2</v>
      </c>
      <c r="CS72" s="27">
        <v>6.1545402928000001</v>
      </c>
      <c r="CT72" s="27">
        <v>5.3107471500000003E-2</v>
      </c>
      <c r="CU72" s="27">
        <v>48.752107864999999</v>
      </c>
      <c r="CV72" s="27">
        <v>1.0607724957</v>
      </c>
      <c r="CW72" s="80" t="s">
        <v>136</v>
      </c>
      <c r="CX72" s="80">
        <v>0</v>
      </c>
      <c r="CY72" s="80" t="s">
        <v>136</v>
      </c>
      <c r="CZ72" s="80">
        <v>0</v>
      </c>
      <c r="DA72" s="27">
        <v>28.459340772000001</v>
      </c>
      <c r="DB72" s="27">
        <v>0.3543824438</v>
      </c>
      <c r="DC72" s="27">
        <v>74.165904947000001</v>
      </c>
      <c r="DD72" s="27">
        <v>2.8459244418999998</v>
      </c>
      <c r="DE72" s="27">
        <v>92.832097469999994</v>
      </c>
      <c r="DF72" s="27">
        <v>0.83741929020000005</v>
      </c>
      <c r="DG72" s="27">
        <v>220.83285469</v>
      </c>
      <c r="DH72" s="92">
        <v>1.5532605923</v>
      </c>
      <c r="DI72" s="95">
        <v>7.2501731E-3</v>
      </c>
      <c r="DJ72" s="96">
        <v>1.25052667E-2</v>
      </c>
      <c r="DK72" s="96">
        <v>1.43819126E-2</v>
      </c>
      <c r="DL72" s="96">
        <v>1.4991963800000001E-2</v>
      </c>
      <c r="DM72" s="96">
        <v>1.5198505100000001E-2</v>
      </c>
      <c r="DN72" s="96">
        <v>1.5319429900000001E-2</v>
      </c>
      <c r="DO72" s="96">
        <v>1.53997953E-2</v>
      </c>
      <c r="DP72" s="96">
        <v>1.5439740800000001E-2</v>
      </c>
      <c r="DQ72" s="96">
        <v>1.54572331E-2</v>
      </c>
      <c r="DR72" s="97">
        <v>1.5472468E-2</v>
      </c>
      <c r="DS72" s="93">
        <v>96.113616875000005</v>
      </c>
      <c r="DT72" s="80">
        <v>0.66837640200000004</v>
      </c>
      <c r="DU72" s="80">
        <v>51.906191157000002</v>
      </c>
      <c r="DV72" s="80">
        <v>0.3742956348</v>
      </c>
      <c r="DW72" s="80">
        <v>28.403679007000001</v>
      </c>
      <c r="DX72" s="80">
        <v>0.21211845369999999</v>
      </c>
      <c r="DY72" s="80">
        <v>15.839026035</v>
      </c>
      <c r="DZ72" s="80">
        <v>0.1233705385</v>
      </c>
      <c r="EA72" s="80">
        <v>9.1043361263999998</v>
      </c>
      <c r="EB72" s="80">
        <v>7.4904899400000002E-2</v>
      </c>
      <c r="EC72" s="80">
        <v>5.4580469199000001</v>
      </c>
      <c r="ED72" s="80">
        <v>4.8051971700000001E-2</v>
      </c>
      <c r="EE72" s="80">
        <v>3.4260868068999999</v>
      </c>
      <c r="EF72" s="80">
        <v>3.2756550699999998E-2</v>
      </c>
      <c r="EG72" s="80">
        <v>2.2392921415</v>
      </c>
      <c r="EH72" s="80">
        <v>2.3542595499999999E-2</v>
      </c>
      <c r="EI72" s="80">
        <v>1.5371827488000001</v>
      </c>
      <c r="EJ72" s="80">
        <v>1.78060856E-2</v>
      </c>
      <c r="EK72" s="80">
        <v>1.1109372653</v>
      </c>
      <c r="EL72" s="94">
        <v>1.41117329E-2</v>
      </c>
    </row>
    <row r="73" spans="1:142" x14ac:dyDescent="0.2">
      <c r="A73" s="79">
        <v>15000</v>
      </c>
      <c r="B73" s="27">
        <v>13071</v>
      </c>
      <c r="C73" s="79">
        <v>3437.5316714999999</v>
      </c>
      <c r="D73" s="27">
        <v>12240.307278</v>
      </c>
      <c r="E73" s="27">
        <v>190.80800794000001</v>
      </c>
      <c r="F73" s="27">
        <v>0.1097411086</v>
      </c>
      <c r="G73" s="79">
        <v>90.941415453000005</v>
      </c>
      <c r="H73" s="27">
        <v>1.47998495E-2</v>
      </c>
      <c r="I73" s="27">
        <v>187.17065407000001</v>
      </c>
      <c r="J73" s="27">
        <v>1.2376437654000001</v>
      </c>
      <c r="K73" s="27">
        <v>115.60027006</v>
      </c>
      <c r="L73" s="27">
        <v>0.71171387850000001</v>
      </c>
      <c r="M73" s="27">
        <v>43.050875390000002</v>
      </c>
      <c r="N73" s="27">
        <v>0.33788615700000002</v>
      </c>
      <c r="O73" s="80" t="s">
        <v>136</v>
      </c>
      <c r="P73" s="80">
        <v>0</v>
      </c>
      <c r="Q73" s="27">
        <v>98.914242502999997</v>
      </c>
      <c r="R73" s="27">
        <v>0.12761392890000001</v>
      </c>
      <c r="S73" s="80" t="s">
        <v>136</v>
      </c>
      <c r="T73" s="80">
        <v>0</v>
      </c>
      <c r="U73" s="80" t="s">
        <v>136</v>
      </c>
      <c r="V73" s="80">
        <v>0</v>
      </c>
      <c r="W73" s="27">
        <v>2.3054598365999999</v>
      </c>
      <c r="X73" s="27">
        <v>2.1174488000000002E-2</v>
      </c>
      <c r="Y73" s="27">
        <v>72.329157636000005</v>
      </c>
      <c r="Z73" s="27">
        <v>1.3914323996</v>
      </c>
      <c r="AA73" s="80" t="s">
        <v>136</v>
      </c>
      <c r="AB73" s="80">
        <v>0</v>
      </c>
      <c r="AC73" s="27">
        <v>8.6647869999999997E-4</v>
      </c>
      <c r="AD73" s="27">
        <v>2.4025134000000002E-6</v>
      </c>
      <c r="AE73" s="80" t="s">
        <v>136</v>
      </c>
      <c r="AF73" s="80">
        <v>0</v>
      </c>
      <c r="AG73" s="80" t="s">
        <v>136</v>
      </c>
      <c r="AH73" s="80">
        <v>0</v>
      </c>
      <c r="AI73" s="27">
        <f t="shared" si="8"/>
        <v>8.6647869999999997E-4</v>
      </c>
      <c r="AJ73" s="27">
        <f t="shared" si="9"/>
        <v>2.4025134000000002E-6</v>
      </c>
      <c r="AK73" s="27">
        <v>169.23709220999999</v>
      </c>
      <c r="AL73" s="27">
        <v>2.0185773404999998</v>
      </c>
      <c r="AM73" s="80" t="s">
        <v>136</v>
      </c>
      <c r="AN73" s="80">
        <v>0</v>
      </c>
      <c r="AO73" s="80" t="s">
        <v>136</v>
      </c>
      <c r="AP73" s="80">
        <v>0</v>
      </c>
      <c r="AQ73" s="80" t="s">
        <v>136</v>
      </c>
      <c r="AR73" s="80">
        <v>0</v>
      </c>
      <c r="AS73" s="27">
        <v>119.01439813</v>
      </c>
      <c r="AT73" s="27">
        <v>3.5279084957000002</v>
      </c>
      <c r="AU73" s="27">
        <v>111.72349249</v>
      </c>
      <c r="AV73" s="27">
        <v>0.70793197200000002</v>
      </c>
      <c r="AW73" s="27">
        <v>50.907272044000003</v>
      </c>
      <c r="AX73" s="27">
        <v>0.46178193579999999</v>
      </c>
      <c r="AY73" s="27">
        <v>12.830798894999999</v>
      </c>
      <c r="AZ73" s="27">
        <v>0.10091584419999999</v>
      </c>
      <c r="BA73" s="80">
        <f t="shared" si="10"/>
        <v>47.985421550999995</v>
      </c>
      <c r="BB73" s="80">
        <f t="shared" si="11"/>
        <v>0.1452341920000001</v>
      </c>
      <c r="BC73" s="27">
        <v>1.0841728700000001E-2</v>
      </c>
      <c r="BD73" s="80">
        <v>5.0633375000000004E-6</v>
      </c>
      <c r="BE73" s="27">
        <v>450.81740747999999</v>
      </c>
      <c r="BF73" s="27">
        <v>2.8523409186999999</v>
      </c>
      <c r="BG73" s="79">
        <v>3.2836282899999999E-2</v>
      </c>
      <c r="BH73" s="80">
        <v>6.6136400000000006E-5</v>
      </c>
      <c r="BI73" s="27">
        <v>171.13094224</v>
      </c>
      <c r="BJ73" s="27">
        <v>5.2296400468000002</v>
      </c>
      <c r="BK73" s="27">
        <v>407.22891691000001</v>
      </c>
      <c r="BL73" s="27">
        <v>2.7164321282000001</v>
      </c>
      <c r="BM73" s="27">
        <v>90.757025773999999</v>
      </c>
      <c r="BN73" s="27">
        <v>0.41214365600000002</v>
      </c>
      <c r="BO73" s="27">
        <v>2.5678292251000001</v>
      </c>
      <c r="BP73" s="27">
        <v>2.2443538E-3</v>
      </c>
      <c r="BQ73" s="27">
        <v>0</v>
      </c>
      <c r="BR73" s="92">
        <v>0</v>
      </c>
      <c r="BS73" s="80" t="s">
        <v>136</v>
      </c>
      <c r="BT73" s="80">
        <v>0</v>
      </c>
      <c r="BU73" s="27">
        <v>1.0730635445000001</v>
      </c>
      <c r="BV73" s="27">
        <v>9.2612690000000008E-3</v>
      </c>
      <c r="BW73" s="27">
        <v>41.977811846000002</v>
      </c>
      <c r="BX73" s="27">
        <v>0.328624888</v>
      </c>
      <c r="BY73" s="80" t="s">
        <v>136</v>
      </c>
      <c r="BZ73" s="80">
        <v>0</v>
      </c>
      <c r="CA73" s="80" t="s">
        <v>136</v>
      </c>
      <c r="CB73" s="80">
        <v>0</v>
      </c>
      <c r="CC73" s="27">
        <v>56.329591993999998</v>
      </c>
      <c r="CD73" s="27">
        <v>3.8015292899999997E-2</v>
      </c>
      <c r="CE73" s="27">
        <v>42.584650508999999</v>
      </c>
      <c r="CF73" s="27">
        <v>8.9598635999999995E-2</v>
      </c>
      <c r="CG73" s="80" t="s">
        <v>136</v>
      </c>
      <c r="CH73" s="80">
        <v>0</v>
      </c>
      <c r="CI73" s="80" t="s">
        <v>136</v>
      </c>
      <c r="CJ73" s="80">
        <v>0</v>
      </c>
      <c r="CK73" s="80" t="s">
        <v>136</v>
      </c>
      <c r="CL73" s="80">
        <v>0</v>
      </c>
      <c r="CM73" s="80" t="s">
        <v>136</v>
      </c>
      <c r="CN73" s="80">
        <v>0</v>
      </c>
      <c r="CO73" s="27">
        <v>0.55948970499999995</v>
      </c>
      <c r="CP73" s="27">
        <v>4.2180511E-3</v>
      </c>
      <c r="CQ73" s="27">
        <v>1.7459701316</v>
      </c>
      <c r="CR73" s="27">
        <v>1.6956436799999999E-2</v>
      </c>
      <c r="CS73" s="27">
        <v>9.6759698323999999</v>
      </c>
      <c r="CT73" s="27">
        <v>7.5478214500000002E-2</v>
      </c>
      <c r="CU73" s="27">
        <v>62.653187803999998</v>
      </c>
      <c r="CV73" s="27">
        <v>1.3159541851000001</v>
      </c>
      <c r="CW73" s="80" t="s">
        <v>136</v>
      </c>
      <c r="CX73" s="80">
        <v>0</v>
      </c>
      <c r="CY73" s="80" t="s">
        <v>136</v>
      </c>
      <c r="CZ73" s="80">
        <v>0</v>
      </c>
      <c r="DA73" s="27">
        <v>35.043660674000002</v>
      </c>
      <c r="DB73" s="27">
        <v>0.42451625139999999</v>
      </c>
      <c r="DC73" s="27">
        <v>83.970737456999998</v>
      </c>
      <c r="DD73" s="27">
        <v>3.1033922444000002</v>
      </c>
      <c r="DE73" s="27">
        <v>164.03614942999999</v>
      </c>
      <c r="DF73" s="27">
        <v>1.0827494464</v>
      </c>
      <c r="DG73" s="27">
        <v>286.78125805000002</v>
      </c>
      <c r="DH73" s="92">
        <v>1.7695914722999999</v>
      </c>
      <c r="DI73" s="95">
        <v>1.41307936E-2</v>
      </c>
      <c r="DJ73" s="96">
        <v>2.4803019499999999E-2</v>
      </c>
      <c r="DK73" s="96">
        <v>2.89190512E-2</v>
      </c>
      <c r="DL73" s="96">
        <v>3.05571787E-2</v>
      </c>
      <c r="DM73" s="96">
        <v>3.1214933199999999E-2</v>
      </c>
      <c r="DN73" s="96">
        <v>3.1630878000000001E-2</v>
      </c>
      <c r="DO73" s="96">
        <v>3.1916042300000003E-2</v>
      </c>
      <c r="DP73" s="96">
        <v>3.2074759299999998E-2</v>
      </c>
      <c r="DQ73" s="96">
        <v>3.2182559700000002E-2</v>
      </c>
      <c r="DR73" s="97">
        <v>3.2272787400000003E-2</v>
      </c>
      <c r="DS73" s="93">
        <v>103.42413329</v>
      </c>
      <c r="DT73" s="80">
        <v>0.71775892789999995</v>
      </c>
      <c r="DU73" s="80">
        <v>57.558126977000001</v>
      </c>
      <c r="DV73" s="80">
        <v>0.41318988130000001</v>
      </c>
      <c r="DW73" s="80">
        <v>32.520429362000002</v>
      </c>
      <c r="DX73" s="80">
        <v>0.24117257449999999</v>
      </c>
      <c r="DY73" s="80">
        <v>18.767150776000001</v>
      </c>
      <c r="DZ73" s="80">
        <v>0.14454602389999999</v>
      </c>
      <c r="EA73" s="80">
        <v>11.134293578999999</v>
      </c>
      <c r="EB73" s="80">
        <v>9.0042234999999998E-2</v>
      </c>
      <c r="EC73" s="80">
        <v>6.8870830190000003</v>
      </c>
      <c r="ED73" s="80">
        <v>5.90903625E-2</v>
      </c>
      <c r="EE73" s="80">
        <v>4.4596098580000003</v>
      </c>
      <c r="EF73" s="80">
        <v>4.1046188800000001E-2</v>
      </c>
      <c r="EG73" s="80">
        <v>2.9980099014000001</v>
      </c>
      <c r="EH73" s="80">
        <v>2.9890813799999999E-2</v>
      </c>
      <c r="EI73" s="80">
        <v>2.1021779196999999</v>
      </c>
      <c r="EJ73" s="80">
        <v>2.2750633100000001E-2</v>
      </c>
      <c r="EK73" s="80">
        <v>1.5406643045999999</v>
      </c>
      <c r="EL73" s="94">
        <v>1.80622366E-2</v>
      </c>
    </row>
    <row r="74" spans="1:142" x14ac:dyDescent="0.2">
      <c r="A74" s="79">
        <v>20000</v>
      </c>
      <c r="B74" s="27">
        <v>7114</v>
      </c>
      <c r="C74" s="79">
        <v>3784.3372889000002</v>
      </c>
      <c r="D74" s="27">
        <v>17274.568265000002</v>
      </c>
      <c r="E74" s="27">
        <v>219.26004037000001</v>
      </c>
      <c r="F74" s="27">
        <v>0.1175123324</v>
      </c>
      <c r="G74" s="79">
        <v>173.56781989000001</v>
      </c>
      <c r="H74" s="27">
        <v>2.2477239400000001E-2</v>
      </c>
      <c r="I74" s="27">
        <v>191.82499956000001</v>
      </c>
      <c r="J74" s="27">
        <v>1.2683050576999999</v>
      </c>
      <c r="K74" s="27">
        <v>123.18893069000001</v>
      </c>
      <c r="L74" s="27">
        <v>0.7565218453</v>
      </c>
      <c r="M74" s="27">
        <v>47.475747689000002</v>
      </c>
      <c r="N74" s="27">
        <v>0.36772434549999999</v>
      </c>
      <c r="O74" s="80" t="s">
        <v>136</v>
      </c>
      <c r="P74" s="80">
        <v>0</v>
      </c>
      <c r="Q74" s="27">
        <v>115.53517956</v>
      </c>
      <c r="R74" s="27">
        <v>0.1474281469</v>
      </c>
      <c r="S74" s="80" t="s">
        <v>136</v>
      </c>
      <c r="T74" s="80">
        <v>0</v>
      </c>
      <c r="U74" s="80" t="s">
        <v>136</v>
      </c>
      <c r="V74" s="80">
        <v>0</v>
      </c>
      <c r="W74" s="27">
        <v>2.8149500761000001</v>
      </c>
      <c r="X74" s="27">
        <v>2.5625871800000002E-2</v>
      </c>
      <c r="Y74" s="27">
        <v>85.262412327000007</v>
      </c>
      <c r="Z74" s="27">
        <v>1.5799943618000001</v>
      </c>
      <c r="AA74" s="80" t="s">
        <v>136</v>
      </c>
      <c r="AB74" s="80">
        <v>0</v>
      </c>
      <c r="AC74" s="27">
        <v>8.6091E-4</v>
      </c>
      <c r="AD74" s="27">
        <v>2.3870730999999998E-6</v>
      </c>
      <c r="AE74" s="80" t="s">
        <v>136</v>
      </c>
      <c r="AF74" s="80">
        <v>0</v>
      </c>
      <c r="AG74" s="80" t="s">
        <v>136</v>
      </c>
      <c r="AH74" s="80">
        <v>0</v>
      </c>
      <c r="AI74" s="27">
        <f t="shared" si="8"/>
        <v>8.6091E-4</v>
      </c>
      <c r="AJ74" s="27">
        <f t="shared" si="9"/>
        <v>2.3870730999999998E-6</v>
      </c>
      <c r="AK74" s="27">
        <v>176.46750876999999</v>
      </c>
      <c r="AL74" s="27">
        <v>2.0894633845000001</v>
      </c>
      <c r="AM74" s="80" t="s">
        <v>136</v>
      </c>
      <c r="AN74" s="80">
        <v>0</v>
      </c>
      <c r="AO74" s="80" t="s">
        <v>136</v>
      </c>
      <c r="AP74" s="80">
        <v>0</v>
      </c>
      <c r="AQ74" s="80" t="s">
        <v>136</v>
      </c>
      <c r="AR74" s="80">
        <v>0</v>
      </c>
      <c r="AS74" s="27">
        <v>130.25431964000001</v>
      </c>
      <c r="AT74" s="27">
        <v>3.7443533974999998</v>
      </c>
      <c r="AU74" s="27">
        <v>126.54984604000001</v>
      </c>
      <c r="AV74" s="27">
        <v>0.7783348994</v>
      </c>
      <c r="AW74" s="27">
        <v>56.679862237999998</v>
      </c>
      <c r="AX74" s="27">
        <v>0.50702149090000004</v>
      </c>
      <c r="AY74" s="27">
        <v>14.453876416</v>
      </c>
      <c r="AZ74" s="27">
        <v>0.10877134870000001</v>
      </c>
      <c r="BA74" s="80">
        <f t="shared" si="10"/>
        <v>55.416107386000007</v>
      </c>
      <c r="BB74" s="80">
        <f t="shared" si="11"/>
        <v>0.16254205979999992</v>
      </c>
      <c r="BC74" s="27">
        <v>5.9536603399999999E-2</v>
      </c>
      <c r="BD74" s="80">
        <v>1.4826499999999999E-5</v>
      </c>
      <c r="BE74" s="27">
        <v>562.33029138999996</v>
      </c>
      <c r="BF74" s="27">
        <v>3.1692050884</v>
      </c>
      <c r="BG74" s="79">
        <v>5.2459308000000003E-2</v>
      </c>
      <c r="BH74" s="80">
        <v>1.5565110000000001E-4</v>
      </c>
      <c r="BI74" s="27">
        <v>177.29618205</v>
      </c>
      <c r="BJ74" s="27">
        <v>5.3856442335999999</v>
      </c>
      <c r="BK74" s="27">
        <v>452.01103696000001</v>
      </c>
      <c r="BL74" s="27">
        <v>2.9458744482000001</v>
      </c>
      <c r="BM74" s="27">
        <v>99.556322348999998</v>
      </c>
      <c r="BN74" s="27">
        <v>0.44177188769999998</v>
      </c>
      <c r="BO74" s="27">
        <v>5.5993148188999999</v>
      </c>
      <c r="BP74" s="27">
        <v>3.7327994999999999E-3</v>
      </c>
      <c r="BQ74" s="27">
        <v>0</v>
      </c>
      <c r="BR74" s="92">
        <v>0</v>
      </c>
      <c r="BS74" s="80" t="s">
        <v>136</v>
      </c>
      <c r="BT74" s="80">
        <v>0</v>
      </c>
      <c r="BU74" s="27">
        <v>1.5121464748</v>
      </c>
      <c r="BV74" s="27">
        <v>1.21350881E-2</v>
      </c>
      <c r="BW74" s="27">
        <v>45.963601214000001</v>
      </c>
      <c r="BX74" s="27">
        <v>0.35558925740000003</v>
      </c>
      <c r="BY74" s="80" t="s">
        <v>136</v>
      </c>
      <c r="BZ74" s="80">
        <v>0</v>
      </c>
      <c r="CA74" s="80" t="s">
        <v>136</v>
      </c>
      <c r="CB74" s="80">
        <v>0</v>
      </c>
      <c r="CC74" s="27">
        <v>66.866864663000001</v>
      </c>
      <c r="CD74" s="27">
        <v>4.4519023499999998E-2</v>
      </c>
      <c r="CE74" s="27">
        <v>48.668314895000002</v>
      </c>
      <c r="CF74" s="27">
        <v>0.1029091234</v>
      </c>
      <c r="CG74" s="80" t="s">
        <v>136</v>
      </c>
      <c r="CH74" s="80">
        <v>0</v>
      </c>
      <c r="CI74" s="80" t="s">
        <v>136</v>
      </c>
      <c r="CJ74" s="80">
        <v>0</v>
      </c>
      <c r="CK74" s="80" t="s">
        <v>136</v>
      </c>
      <c r="CL74" s="80">
        <v>0</v>
      </c>
      <c r="CM74" s="80" t="s">
        <v>136</v>
      </c>
      <c r="CN74" s="80">
        <v>0</v>
      </c>
      <c r="CO74" s="27">
        <v>0.71683447069999995</v>
      </c>
      <c r="CP74" s="27">
        <v>5.2029077999999999E-3</v>
      </c>
      <c r="CQ74" s="27">
        <v>2.0981156052999999</v>
      </c>
      <c r="CR74" s="27">
        <v>2.0422963999999998E-2</v>
      </c>
      <c r="CS74" s="27">
        <v>13.216727248</v>
      </c>
      <c r="CT74" s="27">
        <v>9.5544473199999994E-2</v>
      </c>
      <c r="CU74" s="27">
        <v>72.045685078999995</v>
      </c>
      <c r="CV74" s="27">
        <v>1.4844498885999999</v>
      </c>
      <c r="CW74" s="80" t="s">
        <v>136</v>
      </c>
      <c r="CX74" s="80">
        <v>0</v>
      </c>
      <c r="CY74" s="80" t="s">
        <v>136</v>
      </c>
      <c r="CZ74" s="80">
        <v>0</v>
      </c>
      <c r="DA74" s="27">
        <v>39.969359762000003</v>
      </c>
      <c r="DB74" s="27">
        <v>0.47516905100000001</v>
      </c>
      <c r="DC74" s="27">
        <v>90.284959880000002</v>
      </c>
      <c r="DD74" s="27">
        <v>3.2691843464999999</v>
      </c>
      <c r="DE74" s="27">
        <v>226.94988140000001</v>
      </c>
      <c r="DF74" s="27">
        <v>1.2607078209</v>
      </c>
      <c r="DG74" s="27">
        <v>335.38040998999998</v>
      </c>
      <c r="DH74" s="92">
        <v>1.9084972675</v>
      </c>
      <c r="DI74" s="95">
        <v>2.0983467799999999E-2</v>
      </c>
      <c r="DJ74" s="96">
        <v>3.7247237400000001E-2</v>
      </c>
      <c r="DK74" s="96">
        <v>4.4520269799999998E-2</v>
      </c>
      <c r="DL74" s="96">
        <v>4.7685162900000001E-2</v>
      </c>
      <c r="DM74" s="96">
        <v>4.9017389799999998E-2</v>
      </c>
      <c r="DN74" s="96">
        <v>4.9816754999999997E-2</v>
      </c>
      <c r="DO74" s="96">
        <v>5.0336453199999999E-2</v>
      </c>
      <c r="DP74" s="96">
        <v>5.06582561E-2</v>
      </c>
      <c r="DQ74" s="96">
        <v>5.0892533400000002E-2</v>
      </c>
      <c r="DR74" s="97">
        <v>5.1092379799999997E-2</v>
      </c>
      <c r="DS74" s="93">
        <v>107.50809125000001</v>
      </c>
      <c r="DT74" s="80">
        <v>0.74466312550000002</v>
      </c>
      <c r="DU74" s="80">
        <v>60.827672024999998</v>
      </c>
      <c r="DV74" s="80">
        <v>0.43501417669999998</v>
      </c>
      <c r="DW74" s="80">
        <v>34.981774147000003</v>
      </c>
      <c r="DX74" s="80">
        <v>0.25781446050000001</v>
      </c>
      <c r="DY74" s="80">
        <v>20.587290309</v>
      </c>
      <c r="DZ74" s="80">
        <v>0.15700734020000001</v>
      </c>
      <c r="EA74" s="80">
        <v>12.458257892000001</v>
      </c>
      <c r="EB74" s="80">
        <v>9.9254580699999997E-2</v>
      </c>
      <c r="EC74" s="80">
        <v>7.8496660656000001</v>
      </c>
      <c r="ED74" s="80">
        <v>6.5926321900000001E-2</v>
      </c>
      <c r="EE74" s="80">
        <v>5.1506394861000002</v>
      </c>
      <c r="EF74" s="80">
        <v>4.6116108500000003E-2</v>
      </c>
      <c r="EG74" s="80">
        <v>3.4971679761000001</v>
      </c>
      <c r="EH74" s="80">
        <v>3.3671473600000001E-2</v>
      </c>
      <c r="EI74" s="80">
        <v>2.4622114120999998</v>
      </c>
      <c r="EJ74" s="80">
        <v>2.5612036299999998E-2</v>
      </c>
      <c r="EK74" s="80">
        <v>1.8167445954000001</v>
      </c>
      <c r="EL74" s="94">
        <v>2.03644259E-2</v>
      </c>
    </row>
    <row r="75" spans="1:142" x14ac:dyDescent="0.2">
      <c r="A75" s="79">
        <v>25000</v>
      </c>
      <c r="B75" s="27">
        <v>4313</v>
      </c>
      <c r="C75" s="79">
        <v>4032.4147389999998</v>
      </c>
      <c r="D75" s="27">
        <v>22299.277086999999</v>
      </c>
      <c r="E75" s="27">
        <v>239.98092839</v>
      </c>
      <c r="F75" s="27">
        <v>0.1231839169</v>
      </c>
      <c r="G75" s="79">
        <v>244.88108905999999</v>
      </c>
      <c r="H75" s="27">
        <v>2.8052672899999999E-2</v>
      </c>
      <c r="I75" s="27">
        <v>195.13186934999999</v>
      </c>
      <c r="J75" s="27">
        <v>1.2893450368999999</v>
      </c>
      <c r="K75" s="27">
        <v>128.35826560000001</v>
      </c>
      <c r="L75" s="27">
        <v>0.78497488699999995</v>
      </c>
      <c r="M75" s="27">
        <v>50.267354511999997</v>
      </c>
      <c r="N75" s="27">
        <v>0.38467880030000001</v>
      </c>
      <c r="O75" s="80" t="s">
        <v>136</v>
      </c>
      <c r="P75" s="80">
        <v>0</v>
      </c>
      <c r="Q75" s="27">
        <v>127.41793957</v>
      </c>
      <c r="R75" s="27">
        <v>0.16129877549999999</v>
      </c>
      <c r="S75" s="80" t="s">
        <v>136</v>
      </c>
      <c r="T75" s="80">
        <v>0</v>
      </c>
      <c r="U75" s="80" t="s">
        <v>136</v>
      </c>
      <c r="V75" s="80">
        <v>0</v>
      </c>
      <c r="W75" s="27">
        <v>3.3830609179</v>
      </c>
      <c r="X75" s="27">
        <v>3.0310957699999998E-2</v>
      </c>
      <c r="Y75" s="27">
        <v>94.305112303000001</v>
      </c>
      <c r="Z75" s="27">
        <v>1.7048214141</v>
      </c>
      <c r="AA75" s="80" t="s">
        <v>136</v>
      </c>
      <c r="AB75" s="80">
        <v>0</v>
      </c>
      <c r="AC75" s="27">
        <v>8.5681940000000001E-4</v>
      </c>
      <c r="AD75" s="27">
        <v>2.3757310000000002E-6</v>
      </c>
      <c r="AE75" s="80" t="s">
        <v>136</v>
      </c>
      <c r="AF75" s="80">
        <v>0</v>
      </c>
      <c r="AG75" s="80" t="s">
        <v>136</v>
      </c>
      <c r="AH75" s="80">
        <v>0</v>
      </c>
      <c r="AI75" s="27">
        <f t="shared" si="8"/>
        <v>8.5681940000000001E-4</v>
      </c>
      <c r="AJ75" s="27">
        <f t="shared" si="9"/>
        <v>2.3757310000000002E-6</v>
      </c>
      <c r="AK75" s="27">
        <v>180.95228804999999</v>
      </c>
      <c r="AL75" s="27">
        <v>2.1338815707999998</v>
      </c>
      <c r="AM75" s="80" t="s">
        <v>136</v>
      </c>
      <c r="AN75" s="80">
        <v>0</v>
      </c>
      <c r="AO75" s="80" t="s">
        <v>136</v>
      </c>
      <c r="AP75" s="80">
        <v>0</v>
      </c>
      <c r="AQ75" s="80" t="s">
        <v>136</v>
      </c>
      <c r="AR75" s="80">
        <v>0</v>
      </c>
      <c r="AS75" s="27">
        <v>138.45381323000001</v>
      </c>
      <c r="AT75" s="27">
        <v>3.8966594461000001</v>
      </c>
      <c r="AU75" s="27">
        <v>138.34907627999999</v>
      </c>
      <c r="AV75" s="27">
        <v>0.83266641649999995</v>
      </c>
      <c r="AW75" s="27">
        <v>61.119963691999999</v>
      </c>
      <c r="AX75" s="27">
        <v>0.54123639739999996</v>
      </c>
      <c r="AY75" s="27">
        <v>15.761427718</v>
      </c>
      <c r="AZ75" s="27">
        <v>0.11528845510000001</v>
      </c>
      <c r="BA75" s="80">
        <f t="shared" si="10"/>
        <v>61.467684869999999</v>
      </c>
      <c r="BB75" s="80">
        <f t="shared" si="11"/>
        <v>0.17614156400000003</v>
      </c>
      <c r="BC75" s="27">
        <v>8.6987816100000004E-2</v>
      </c>
      <c r="BD75" s="80">
        <v>1.8430599999999999E-5</v>
      </c>
      <c r="BE75" s="27">
        <v>653.69363247000001</v>
      </c>
      <c r="BF75" s="27">
        <v>3.4079760497999998</v>
      </c>
      <c r="BG75" s="79">
        <v>6.9171570900000007E-2</v>
      </c>
      <c r="BH75" s="80">
        <v>2.0316379999999999E-4</v>
      </c>
      <c r="BI75" s="27">
        <v>181.60627048000001</v>
      </c>
      <c r="BJ75" s="27">
        <v>5.4916320633</v>
      </c>
      <c r="BK75" s="27">
        <v>480.58709143999999</v>
      </c>
      <c r="BL75" s="27">
        <v>3.0841639632</v>
      </c>
      <c r="BM75" s="27">
        <v>105.31611362</v>
      </c>
      <c r="BN75" s="27">
        <v>0.45856856979999999</v>
      </c>
      <c r="BO75" s="27">
        <v>11.323494187</v>
      </c>
      <c r="BP75" s="27">
        <v>6.2557213999999998E-3</v>
      </c>
      <c r="BQ75" s="27">
        <v>0</v>
      </c>
      <c r="BR75" s="92">
        <v>0</v>
      </c>
      <c r="BS75" s="80" t="s">
        <v>136</v>
      </c>
      <c r="BT75" s="80">
        <v>0</v>
      </c>
      <c r="BU75" s="27">
        <v>1.9801849948000001</v>
      </c>
      <c r="BV75" s="27">
        <v>1.36487385E-2</v>
      </c>
      <c r="BW75" s="27">
        <v>48.287169517000002</v>
      </c>
      <c r="BX75" s="27">
        <v>0.37103006179999998</v>
      </c>
      <c r="BY75" s="80" t="s">
        <v>136</v>
      </c>
      <c r="BZ75" s="80">
        <v>0</v>
      </c>
      <c r="CA75" s="80" t="s">
        <v>136</v>
      </c>
      <c r="CB75" s="80">
        <v>0</v>
      </c>
      <c r="CC75" s="27">
        <v>74.638955930999998</v>
      </c>
      <c r="CD75" s="27">
        <v>4.9074630799999998E-2</v>
      </c>
      <c r="CE75" s="27">
        <v>52.778983636</v>
      </c>
      <c r="CF75" s="27">
        <v>0.1122241447</v>
      </c>
      <c r="CG75" s="80" t="s">
        <v>136</v>
      </c>
      <c r="CH75" s="80">
        <v>0</v>
      </c>
      <c r="CI75" s="80" t="s">
        <v>136</v>
      </c>
      <c r="CJ75" s="80">
        <v>0</v>
      </c>
      <c r="CK75" s="80" t="s">
        <v>136</v>
      </c>
      <c r="CL75" s="80">
        <v>0</v>
      </c>
      <c r="CM75" s="80" t="s">
        <v>136</v>
      </c>
      <c r="CN75" s="80">
        <v>0</v>
      </c>
      <c r="CO75" s="27">
        <v>0.90144576160000001</v>
      </c>
      <c r="CP75" s="27">
        <v>5.8747935000000003E-3</v>
      </c>
      <c r="CQ75" s="27">
        <v>2.4816151562000002</v>
      </c>
      <c r="CR75" s="27">
        <v>2.4436164100000001E-2</v>
      </c>
      <c r="CS75" s="27">
        <v>15.899754348</v>
      </c>
      <c r="CT75" s="27">
        <v>0.1111224133</v>
      </c>
      <c r="CU75" s="27">
        <v>78.405357956000003</v>
      </c>
      <c r="CV75" s="27">
        <v>1.5936990008</v>
      </c>
      <c r="CW75" s="80" t="s">
        <v>136</v>
      </c>
      <c r="CX75" s="80">
        <v>0</v>
      </c>
      <c r="CY75" s="80" t="s">
        <v>136</v>
      </c>
      <c r="CZ75" s="80">
        <v>0</v>
      </c>
      <c r="DA75" s="27">
        <v>43.824183750000003</v>
      </c>
      <c r="DB75" s="27">
        <v>0.51362492510000002</v>
      </c>
      <c r="DC75" s="27">
        <v>94.629629480999995</v>
      </c>
      <c r="DD75" s="27">
        <v>3.3830345208999999</v>
      </c>
      <c r="DE75" s="27">
        <v>280.59566265000001</v>
      </c>
      <c r="DF75" s="27">
        <v>1.3964907875000001</v>
      </c>
      <c r="DG75" s="27">
        <v>373.09796982</v>
      </c>
      <c r="DH75" s="92">
        <v>2.0114852622999999</v>
      </c>
      <c r="DI75" s="95">
        <v>2.5788009800000001E-2</v>
      </c>
      <c r="DJ75" s="96">
        <v>4.6097447700000002E-2</v>
      </c>
      <c r="DK75" s="96">
        <v>5.6163856700000001E-2</v>
      </c>
      <c r="DL75" s="96">
        <v>6.0871774199999999E-2</v>
      </c>
      <c r="DM75" s="96">
        <v>6.3034194000000002E-2</v>
      </c>
      <c r="DN75" s="96">
        <v>6.4378722999999999E-2</v>
      </c>
      <c r="DO75" s="96">
        <v>6.5219478799999994E-2</v>
      </c>
      <c r="DP75" s="96">
        <v>6.5739949300000003E-2</v>
      </c>
      <c r="DQ75" s="96">
        <v>6.6126005200000004E-2</v>
      </c>
      <c r="DR75" s="97">
        <v>6.6460712500000005E-2</v>
      </c>
      <c r="DS75" s="93">
        <v>110.4066847</v>
      </c>
      <c r="DT75" s="80">
        <v>0.76322420710000005</v>
      </c>
      <c r="DU75" s="80">
        <v>63.146490827999997</v>
      </c>
      <c r="DV75" s="80">
        <v>0.45008234650000001</v>
      </c>
      <c r="DW75" s="80">
        <v>36.744809644999997</v>
      </c>
      <c r="DX75" s="80">
        <v>0.26947679410000003</v>
      </c>
      <c r="DY75" s="80">
        <v>21.888616906999999</v>
      </c>
      <c r="DZ75" s="80">
        <v>0.1658080438</v>
      </c>
      <c r="EA75" s="80">
        <v>13.391626023000001</v>
      </c>
      <c r="EB75" s="80">
        <v>0.1057510774</v>
      </c>
      <c r="EC75" s="80">
        <v>8.5108432861000001</v>
      </c>
      <c r="ED75" s="80">
        <v>7.0712622099999997E-2</v>
      </c>
      <c r="EE75" s="80">
        <v>5.6303172723000001</v>
      </c>
      <c r="EF75" s="80">
        <v>4.9662739099999999E-2</v>
      </c>
      <c r="EG75" s="80">
        <v>3.8475731611000001</v>
      </c>
      <c r="EH75" s="80">
        <v>3.63293674E-2</v>
      </c>
      <c r="EI75" s="80">
        <v>2.7152899604999998</v>
      </c>
      <c r="EJ75" s="80">
        <v>2.76020958E-2</v>
      </c>
      <c r="EK75" s="80">
        <v>2.0024578236999999</v>
      </c>
      <c r="EL75" s="94">
        <v>2.1880160999999999E-2</v>
      </c>
    </row>
    <row r="76" spans="1:142" x14ac:dyDescent="0.2">
      <c r="A76" s="79">
        <v>30000</v>
      </c>
      <c r="B76" s="27">
        <v>2692</v>
      </c>
      <c r="C76" s="79">
        <v>4219.9122975</v>
      </c>
      <c r="D76" s="27">
        <v>27313.066568999999</v>
      </c>
      <c r="E76" s="27">
        <v>256.35313716000002</v>
      </c>
      <c r="F76" s="27">
        <v>0.1271084394</v>
      </c>
      <c r="G76" s="79">
        <v>300.56746608999998</v>
      </c>
      <c r="H76" s="27">
        <v>3.1933741299999999E-2</v>
      </c>
      <c r="I76" s="27">
        <v>197.19968015000001</v>
      </c>
      <c r="J76" s="27">
        <v>1.3027025816</v>
      </c>
      <c r="K76" s="27">
        <v>132.29497982999999</v>
      </c>
      <c r="L76" s="27">
        <v>0.80595988259999995</v>
      </c>
      <c r="M76" s="27">
        <v>52.608467468999997</v>
      </c>
      <c r="N76" s="27">
        <v>0.40059433309999998</v>
      </c>
      <c r="O76" s="80" t="s">
        <v>136</v>
      </c>
      <c r="P76" s="80">
        <v>0</v>
      </c>
      <c r="Q76" s="27">
        <v>136.91839149</v>
      </c>
      <c r="R76" s="27">
        <v>0.17204905679999999</v>
      </c>
      <c r="S76" s="80" t="s">
        <v>136</v>
      </c>
      <c r="T76" s="80">
        <v>0</v>
      </c>
      <c r="U76" s="80" t="s">
        <v>136</v>
      </c>
      <c r="V76" s="80">
        <v>0</v>
      </c>
      <c r="W76" s="27">
        <v>3.8236760798999998</v>
      </c>
      <c r="X76" s="27">
        <v>3.2800551999999997E-2</v>
      </c>
      <c r="Y76" s="27">
        <v>101.03494791</v>
      </c>
      <c r="Z76" s="27">
        <v>1.7797028614999999</v>
      </c>
      <c r="AA76" s="80" t="s">
        <v>136</v>
      </c>
      <c r="AB76" s="80">
        <v>0</v>
      </c>
      <c r="AC76" s="27">
        <v>8.5416579999999999E-4</v>
      </c>
      <c r="AD76" s="27">
        <v>2.3683730999999999E-6</v>
      </c>
      <c r="AE76" s="80" t="s">
        <v>136</v>
      </c>
      <c r="AF76" s="80">
        <v>0</v>
      </c>
      <c r="AG76" s="80" t="s">
        <v>136</v>
      </c>
      <c r="AH76" s="80">
        <v>0</v>
      </c>
      <c r="AI76" s="27">
        <f t="shared" si="8"/>
        <v>8.5416579999999999E-4</v>
      </c>
      <c r="AJ76" s="27">
        <f t="shared" si="9"/>
        <v>2.3683730999999999E-6</v>
      </c>
      <c r="AK76" s="27">
        <v>184.17449249000001</v>
      </c>
      <c r="AL76" s="27">
        <v>2.1614770951</v>
      </c>
      <c r="AM76" s="80" t="s">
        <v>136</v>
      </c>
      <c r="AN76" s="80">
        <v>0</v>
      </c>
      <c r="AO76" s="80" t="s">
        <v>136</v>
      </c>
      <c r="AP76" s="80">
        <v>0</v>
      </c>
      <c r="AQ76" s="80" t="s">
        <v>136</v>
      </c>
      <c r="AR76" s="80">
        <v>0</v>
      </c>
      <c r="AS76" s="27">
        <v>144.25531063</v>
      </c>
      <c r="AT76" s="27">
        <v>3.9989052906000002</v>
      </c>
      <c r="AU76" s="27">
        <v>146.74587783000001</v>
      </c>
      <c r="AV76" s="27">
        <v>0.86932362289999998</v>
      </c>
      <c r="AW76" s="27">
        <v>64.190398411000004</v>
      </c>
      <c r="AX76" s="27">
        <v>0.56429763060000004</v>
      </c>
      <c r="AY76" s="27">
        <v>16.509790723999998</v>
      </c>
      <c r="AZ76" s="27">
        <v>0.11912968910000001</v>
      </c>
      <c r="BA76" s="80">
        <f t="shared" si="10"/>
        <v>66.04568869500001</v>
      </c>
      <c r="BB76" s="80">
        <f t="shared" si="11"/>
        <v>0.18589630319999995</v>
      </c>
      <c r="BC76" s="27">
        <v>8.57574792E-2</v>
      </c>
      <c r="BD76" s="80">
        <v>1.8191099999999999E-5</v>
      </c>
      <c r="BE76" s="27">
        <v>723.13889419999998</v>
      </c>
      <c r="BF76" s="27">
        <v>3.5792686889000001</v>
      </c>
      <c r="BG76" s="79">
        <v>8.1642516299999995E-2</v>
      </c>
      <c r="BH76" s="80">
        <v>2.0053930000000001E-4</v>
      </c>
      <c r="BI76" s="27">
        <v>184.61436422</v>
      </c>
      <c r="BJ76" s="27">
        <v>5.5645003271000002</v>
      </c>
      <c r="BK76" s="27">
        <v>502.61424333999997</v>
      </c>
      <c r="BL76" s="27">
        <v>3.1752451511999999</v>
      </c>
      <c r="BM76" s="27">
        <v>109.88732727</v>
      </c>
      <c r="BN76" s="27">
        <v>0.46980961700000001</v>
      </c>
      <c r="BO76" s="27">
        <v>18.062447056</v>
      </c>
      <c r="BP76" s="27">
        <v>9.2248873999999995E-3</v>
      </c>
      <c r="BQ76" s="27">
        <v>0</v>
      </c>
      <c r="BR76" s="92">
        <v>0</v>
      </c>
      <c r="BS76" s="80" t="s">
        <v>136</v>
      </c>
      <c r="BT76" s="80">
        <v>0</v>
      </c>
      <c r="BU76" s="27">
        <v>2.3355515798000002</v>
      </c>
      <c r="BV76" s="27">
        <v>1.55597932E-2</v>
      </c>
      <c r="BW76" s="27">
        <v>50.272915888999997</v>
      </c>
      <c r="BX76" s="27">
        <v>0.38503453989999997</v>
      </c>
      <c r="BY76" s="80" t="s">
        <v>136</v>
      </c>
      <c r="BZ76" s="80">
        <v>0</v>
      </c>
      <c r="CA76" s="80" t="s">
        <v>136</v>
      </c>
      <c r="CB76" s="80">
        <v>0</v>
      </c>
      <c r="CC76" s="27">
        <v>80.835782270999999</v>
      </c>
      <c r="CD76" s="27">
        <v>5.2563957500000001E-2</v>
      </c>
      <c r="CE76" s="27">
        <v>56.082609218999998</v>
      </c>
      <c r="CF76" s="27">
        <v>0.1194850992</v>
      </c>
      <c r="CG76" s="80" t="s">
        <v>136</v>
      </c>
      <c r="CH76" s="80">
        <v>0</v>
      </c>
      <c r="CI76" s="80" t="s">
        <v>136</v>
      </c>
      <c r="CJ76" s="80">
        <v>0</v>
      </c>
      <c r="CK76" s="80" t="s">
        <v>136</v>
      </c>
      <c r="CL76" s="80">
        <v>0</v>
      </c>
      <c r="CM76" s="80" t="s">
        <v>136</v>
      </c>
      <c r="CN76" s="80">
        <v>0</v>
      </c>
      <c r="CO76" s="27">
        <v>1.1577714724999999</v>
      </c>
      <c r="CP76" s="27">
        <v>6.9260982000000004E-3</v>
      </c>
      <c r="CQ76" s="27">
        <v>2.6659046074999999</v>
      </c>
      <c r="CR76" s="27">
        <v>2.5874453799999999E-2</v>
      </c>
      <c r="CS76" s="27">
        <v>18.602628320000001</v>
      </c>
      <c r="CT76" s="27">
        <v>0.1212109131</v>
      </c>
      <c r="CU76" s="27">
        <v>82.432319585000002</v>
      </c>
      <c r="CV76" s="27">
        <v>1.6584919484</v>
      </c>
      <c r="CW76" s="80" t="s">
        <v>136</v>
      </c>
      <c r="CX76" s="80">
        <v>0</v>
      </c>
      <c r="CY76" s="80" t="s">
        <v>136</v>
      </c>
      <c r="CZ76" s="80">
        <v>0</v>
      </c>
      <c r="DA76" s="27">
        <v>46.728848014</v>
      </c>
      <c r="DB76" s="27">
        <v>0.54027302109999997</v>
      </c>
      <c r="DC76" s="27">
        <v>97.526462616000003</v>
      </c>
      <c r="DD76" s="27">
        <v>3.4586322694999998</v>
      </c>
      <c r="DE76" s="27">
        <v>321.82957021999999</v>
      </c>
      <c r="DF76" s="27">
        <v>1.4941635183999999</v>
      </c>
      <c r="DG76" s="27">
        <v>401.30932397999999</v>
      </c>
      <c r="DH76" s="92">
        <v>2.0851051704999999</v>
      </c>
      <c r="DI76" s="95">
        <v>2.90582393E-2</v>
      </c>
      <c r="DJ76" s="96">
        <v>5.2013679100000001E-2</v>
      </c>
      <c r="DK76" s="96">
        <v>6.3951172799999997E-2</v>
      </c>
      <c r="DL76" s="96">
        <v>6.9890574699999999E-2</v>
      </c>
      <c r="DM76" s="96">
        <v>7.2807391499999999E-2</v>
      </c>
      <c r="DN76" s="96">
        <v>7.4695126799999997E-2</v>
      </c>
      <c r="DO76" s="96">
        <v>7.5870678499999997E-2</v>
      </c>
      <c r="DP76" s="96">
        <v>7.66316794E-2</v>
      </c>
      <c r="DQ76" s="96">
        <v>7.71930371E-2</v>
      </c>
      <c r="DR76" s="97">
        <v>7.7682430600000005E-2</v>
      </c>
      <c r="DS76" s="93">
        <v>112.24004952</v>
      </c>
      <c r="DT76" s="80">
        <v>0.77508312599999996</v>
      </c>
      <c r="DU76" s="80">
        <v>64.657375045999999</v>
      </c>
      <c r="DV76" s="80">
        <v>0.4599776183</v>
      </c>
      <c r="DW76" s="80">
        <v>37.930961158999999</v>
      </c>
      <c r="DX76" s="80">
        <v>0.2773954193</v>
      </c>
      <c r="DY76" s="80">
        <v>22.778057320999999</v>
      </c>
      <c r="DZ76" s="80">
        <v>0.17189789120000001</v>
      </c>
      <c r="EA76" s="80">
        <v>14.050384569</v>
      </c>
      <c r="EB76" s="80">
        <v>0.11036171760000001</v>
      </c>
      <c r="EC76" s="80">
        <v>8.9941656941999995</v>
      </c>
      <c r="ED76" s="80">
        <v>7.4180860299999998E-2</v>
      </c>
      <c r="EE76" s="80">
        <v>5.9865334049000003</v>
      </c>
      <c r="EF76" s="80">
        <v>5.2297435500000003E-2</v>
      </c>
      <c r="EG76" s="80">
        <v>4.1167687010999998</v>
      </c>
      <c r="EH76" s="80">
        <v>3.8396254099999999E-2</v>
      </c>
      <c r="EI76" s="80">
        <v>2.9203434010999998</v>
      </c>
      <c r="EJ76" s="80">
        <v>2.9241137699999999E-2</v>
      </c>
      <c r="EK76" s="80">
        <v>2.1611143527999999</v>
      </c>
      <c r="EL76" s="94">
        <v>2.32125327E-2</v>
      </c>
    </row>
    <row r="77" spans="1:142" x14ac:dyDescent="0.2">
      <c r="A77" s="79">
        <v>35000</v>
      </c>
      <c r="B77" s="27">
        <v>1825</v>
      </c>
      <c r="C77" s="79">
        <v>4366.4115038</v>
      </c>
      <c r="D77" s="27">
        <v>32337.410104999999</v>
      </c>
      <c r="E77" s="27">
        <v>268.10967540000001</v>
      </c>
      <c r="F77" s="27">
        <v>0.13012927630000001</v>
      </c>
      <c r="G77" s="79">
        <v>349.17601165000002</v>
      </c>
      <c r="H77" s="27">
        <v>3.49275946E-2</v>
      </c>
      <c r="I77" s="27">
        <v>198.71691132000001</v>
      </c>
      <c r="J77" s="27">
        <v>1.3126748385</v>
      </c>
      <c r="K77" s="27">
        <v>134.86434654999999</v>
      </c>
      <c r="L77" s="27">
        <v>0.81973777699999995</v>
      </c>
      <c r="M77" s="27">
        <v>54.990218359000004</v>
      </c>
      <c r="N77" s="27">
        <v>0.41543245940000001</v>
      </c>
      <c r="O77" s="80" t="s">
        <v>136</v>
      </c>
      <c r="P77" s="80">
        <v>0</v>
      </c>
      <c r="Q77" s="27">
        <v>143.78869578999999</v>
      </c>
      <c r="R77" s="27">
        <v>0.17958046110000001</v>
      </c>
      <c r="S77" s="80" t="s">
        <v>136</v>
      </c>
      <c r="T77" s="80">
        <v>0</v>
      </c>
      <c r="U77" s="80" t="s">
        <v>136</v>
      </c>
      <c r="V77" s="80">
        <v>0</v>
      </c>
      <c r="W77" s="27">
        <v>3.9745085740000001</v>
      </c>
      <c r="X77" s="27">
        <v>3.4068913399999998E-2</v>
      </c>
      <c r="Y77" s="27">
        <v>105.81352244999999</v>
      </c>
      <c r="Z77" s="27">
        <v>1.8276407029999999</v>
      </c>
      <c r="AA77" s="80" t="s">
        <v>136</v>
      </c>
      <c r="AB77" s="80">
        <v>0</v>
      </c>
      <c r="AC77" s="27">
        <v>8.5261250000000005E-4</v>
      </c>
      <c r="AD77" s="27">
        <v>2.3640662000000002E-6</v>
      </c>
      <c r="AE77" s="80" t="s">
        <v>136</v>
      </c>
      <c r="AF77" s="80">
        <v>0</v>
      </c>
      <c r="AG77" s="80" t="s">
        <v>136</v>
      </c>
      <c r="AH77" s="80">
        <v>0</v>
      </c>
      <c r="AI77" s="27">
        <f t="shared" si="8"/>
        <v>8.5261250000000005E-4</v>
      </c>
      <c r="AJ77" s="27">
        <f t="shared" si="9"/>
        <v>2.3640662000000002E-6</v>
      </c>
      <c r="AK77" s="27">
        <v>186.16559430999999</v>
      </c>
      <c r="AL77" s="27">
        <v>2.1815316101</v>
      </c>
      <c r="AM77" s="80" t="s">
        <v>136</v>
      </c>
      <c r="AN77" s="80">
        <v>0</v>
      </c>
      <c r="AO77" s="80" t="s">
        <v>136</v>
      </c>
      <c r="AP77" s="80">
        <v>0</v>
      </c>
      <c r="AQ77" s="80" t="s">
        <v>136</v>
      </c>
      <c r="AR77" s="80">
        <v>0</v>
      </c>
      <c r="AS77" s="27">
        <v>148.85856508000001</v>
      </c>
      <c r="AT77" s="27">
        <v>4.0806504071000003</v>
      </c>
      <c r="AU77" s="27">
        <v>153.20223077</v>
      </c>
      <c r="AV77" s="27">
        <v>0.89741055420000004</v>
      </c>
      <c r="AW77" s="27">
        <v>66.727814756000001</v>
      </c>
      <c r="AX77" s="27">
        <v>0.5822718777</v>
      </c>
      <c r="AY77" s="27">
        <v>17.124477991999999</v>
      </c>
      <c r="AZ77" s="27">
        <v>0.1220547662</v>
      </c>
      <c r="BA77" s="80">
        <f t="shared" si="10"/>
        <v>69.349938022000003</v>
      </c>
      <c r="BB77" s="80">
        <f t="shared" si="11"/>
        <v>0.19308391030000005</v>
      </c>
      <c r="BC77" s="27">
        <v>9.1003585100000006E-2</v>
      </c>
      <c r="BD77" s="80">
        <v>2.18334E-5</v>
      </c>
      <c r="BE77" s="27">
        <v>776.94624268999996</v>
      </c>
      <c r="BF77" s="27">
        <v>3.7031858771000001</v>
      </c>
      <c r="BG77" s="79">
        <v>9.2228433700000001E-2</v>
      </c>
      <c r="BH77" s="80">
        <v>2.025036E-4</v>
      </c>
      <c r="BI77" s="27">
        <v>186.96376487000001</v>
      </c>
      <c r="BJ77" s="27">
        <v>5.6245193050999998</v>
      </c>
      <c r="BK77" s="27">
        <v>519.93753067</v>
      </c>
      <c r="BL77" s="27">
        <v>3.2413792186000001</v>
      </c>
      <c r="BM77" s="27">
        <v>113.63062164999999</v>
      </c>
      <c r="BN77" s="27">
        <v>0.47756529409999998</v>
      </c>
      <c r="BO77" s="27">
        <v>27.969572993</v>
      </c>
      <c r="BP77" s="27">
        <v>1.3012369399999999E-2</v>
      </c>
      <c r="BQ77" s="27">
        <v>0</v>
      </c>
      <c r="BR77" s="92">
        <v>0</v>
      </c>
      <c r="BS77" s="80" t="s">
        <v>136</v>
      </c>
      <c r="BT77" s="80">
        <v>0</v>
      </c>
      <c r="BU77" s="27">
        <v>2.9390565822000001</v>
      </c>
      <c r="BV77" s="27">
        <v>1.8191264200000001E-2</v>
      </c>
      <c r="BW77" s="27">
        <v>52.051161776999997</v>
      </c>
      <c r="BX77" s="27">
        <v>0.39724119520000001</v>
      </c>
      <c r="BY77" s="80" t="s">
        <v>136</v>
      </c>
      <c r="BZ77" s="80">
        <v>0</v>
      </c>
      <c r="CA77" s="80" t="s">
        <v>136</v>
      </c>
      <c r="CB77" s="80">
        <v>0</v>
      </c>
      <c r="CC77" s="27">
        <v>85.255870453</v>
      </c>
      <c r="CD77" s="27">
        <v>5.5070786500000003E-2</v>
      </c>
      <c r="CE77" s="27">
        <v>58.532825332000002</v>
      </c>
      <c r="CF77" s="27">
        <v>0.12450967459999999</v>
      </c>
      <c r="CG77" s="80" t="s">
        <v>136</v>
      </c>
      <c r="CH77" s="80">
        <v>0</v>
      </c>
      <c r="CI77" s="80" t="s">
        <v>136</v>
      </c>
      <c r="CJ77" s="80">
        <v>0</v>
      </c>
      <c r="CK77" s="80" t="s">
        <v>136</v>
      </c>
      <c r="CL77" s="80">
        <v>0</v>
      </c>
      <c r="CM77" s="80" t="s">
        <v>136</v>
      </c>
      <c r="CN77" s="80">
        <v>0</v>
      </c>
      <c r="CO77" s="27">
        <v>1.2019888117999999</v>
      </c>
      <c r="CP77" s="27">
        <v>7.1560047000000003E-3</v>
      </c>
      <c r="CQ77" s="27">
        <v>2.7725197621</v>
      </c>
      <c r="CR77" s="27">
        <v>2.6912908700000002E-2</v>
      </c>
      <c r="CS77" s="27">
        <v>20.943974312999998</v>
      </c>
      <c r="CT77" s="27">
        <v>0.1321110549</v>
      </c>
      <c r="CU77" s="27">
        <v>84.869548140000006</v>
      </c>
      <c r="CV77" s="27">
        <v>1.6955296479999999</v>
      </c>
      <c r="CW77" s="80" t="s">
        <v>136</v>
      </c>
      <c r="CX77" s="80">
        <v>0</v>
      </c>
      <c r="CY77" s="80" t="s">
        <v>136</v>
      </c>
      <c r="CZ77" s="80">
        <v>0</v>
      </c>
      <c r="DA77" s="27">
        <v>48.926598734000002</v>
      </c>
      <c r="DB77" s="27">
        <v>0.56103859239999998</v>
      </c>
      <c r="DC77" s="27">
        <v>99.931966344000003</v>
      </c>
      <c r="DD77" s="27">
        <v>3.5196118147000002</v>
      </c>
      <c r="DE77" s="27">
        <v>354.46320386000002</v>
      </c>
      <c r="DF77" s="27">
        <v>1.5651319852000001</v>
      </c>
      <c r="DG77" s="27">
        <v>422.48303883</v>
      </c>
      <c r="DH77" s="92">
        <v>2.1380538918999998</v>
      </c>
      <c r="DI77" s="95">
        <v>3.1505703900000001E-2</v>
      </c>
      <c r="DJ77" s="96">
        <v>5.6403615599999998E-2</v>
      </c>
      <c r="DK77" s="96">
        <v>6.9795928500000007E-2</v>
      </c>
      <c r="DL77" s="96">
        <v>7.6689689899999997E-2</v>
      </c>
      <c r="DM77" s="96">
        <v>8.0251130500000004E-2</v>
      </c>
      <c r="DN77" s="96">
        <v>8.2645808200000004E-2</v>
      </c>
      <c r="DO77" s="96">
        <v>8.4191361000000006E-2</v>
      </c>
      <c r="DP77" s="96">
        <v>8.52491836E-2</v>
      </c>
      <c r="DQ77" s="96">
        <v>8.6038795400000007E-2</v>
      </c>
      <c r="DR77" s="97">
        <v>8.6707809299999994E-2</v>
      </c>
      <c r="DS77" s="93">
        <v>113.60208043</v>
      </c>
      <c r="DT77" s="80">
        <v>0.78400151709999999</v>
      </c>
      <c r="DU77" s="80">
        <v>65.784491097</v>
      </c>
      <c r="DV77" s="80">
        <v>0.467398967</v>
      </c>
      <c r="DW77" s="80">
        <v>38.798631135000001</v>
      </c>
      <c r="DX77" s="80">
        <v>0.28316006649999997</v>
      </c>
      <c r="DY77" s="80">
        <v>23.432760429999998</v>
      </c>
      <c r="DZ77" s="80">
        <v>0.17628414780000001</v>
      </c>
      <c r="EA77" s="80">
        <v>14.538407475</v>
      </c>
      <c r="EB77" s="80">
        <v>0.11366522950000001</v>
      </c>
      <c r="EC77" s="80">
        <v>9.3611386412000002</v>
      </c>
      <c r="ED77" s="80">
        <v>7.6674008500000002E-2</v>
      </c>
      <c r="EE77" s="80">
        <v>6.2613171120000004</v>
      </c>
      <c r="EF77" s="80">
        <v>5.4156778500000002E-2</v>
      </c>
      <c r="EG77" s="80">
        <v>4.3146702294999999</v>
      </c>
      <c r="EH77" s="80">
        <v>3.9731027299999999E-2</v>
      </c>
      <c r="EI77" s="80">
        <v>3.0634099570000002</v>
      </c>
      <c r="EJ77" s="80">
        <v>3.01916105E-2</v>
      </c>
      <c r="EK77" s="80">
        <v>2.2688148673000001</v>
      </c>
      <c r="EL77" s="94">
        <v>2.3921053800000001E-2</v>
      </c>
    </row>
    <row r="78" spans="1:142" x14ac:dyDescent="0.2">
      <c r="A78" s="79">
        <v>40000</v>
      </c>
      <c r="B78" s="27">
        <v>1281</v>
      </c>
      <c r="C78" s="79">
        <v>4483.0321559000004</v>
      </c>
      <c r="D78" s="27">
        <v>37357.561143999999</v>
      </c>
      <c r="E78" s="27">
        <v>275.34243841</v>
      </c>
      <c r="F78" s="27">
        <v>0.1321169858</v>
      </c>
      <c r="G78" s="79">
        <v>392.34027603999999</v>
      </c>
      <c r="H78" s="27">
        <v>3.7200516000000003E-2</v>
      </c>
      <c r="I78" s="27">
        <v>199.88153474999999</v>
      </c>
      <c r="J78" s="27">
        <v>1.3202731631</v>
      </c>
      <c r="K78" s="27">
        <v>137.38311969</v>
      </c>
      <c r="L78" s="27">
        <v>0.83148024180000002</v>
      </c>
      <c r="M78" s="27">
        <v>56.323701145999998</v>
      </c>
      <c r="N78" s="27">
        <v>0.4234018189</v>
      </c>
      <c r="O78" s="80" t="s">
        <v>136</v>
      </c>
      <c r="P78" s="80">
        <v>0</v>
      </c>
      <c r="Q78" s="27">
        <v>149.9985365</v>
      </c>
      <c r="R78" s="27">
        <v>0.18623932100000001</v>
      </c>
      <c r="S78" s="80" t="s">
        <v>136</v>
      </c>
      <c r="T78" s="80">
        <v>0</v>
      </c>
      <c r="U78" s="80" t="s">
        <v>136</v>
      </c>
      <c r="V78" s="80">
        <v>0</v>
      </c>
      <c r="W78" s="27">
        <v>4.0560206632</v>
      </c>
      <c r="X78" s="27">
        <v>3.46364641E-2</v>
      </c>
      <c r="Y78" s="27">
        <v>109.39517889</v>
      </c>
      <c r="Z78" s="27">
        <v>1.8639011399000001</v>
      </c>
      <c r="AA78" s="80" t="s">
        <v>136</v>
      </c>
      <c r="AB78" s="80">
        <v>0</v>
      </c>
      <c r="AC78" s="27">
        <v>8.517606E-4</v>
      </c>
      <c r="AD78" s="27">
        <v>2.3617040999999998E-6</v>
      </c>
      <c r="AE78" s="80" t="s">
        <v>136</v>
      </c>
      <c r="AF78" s="80">
        <v>0</v>
      </c>
      <c r="AG78" s="80" t="s">
        <v>136</v>
      </c>
      <c r="AH78" s="80">
        <v>0</v>
      </c>
      <c r="AI78" s="27">
        <f t="shared" si="8"/>
        <v>8.517606E-4</v>
      </c>
      <c r="AJ78" s="27">
        <f t="shared" si="9"/>
        <v>2.3617040999999998E-6</v>
      </c>
      <c r="AK78" s="27">
        <v>187.66279660000001</v>
      </c>
      <c r="AL78" s="27">
        <v>2.1950967774999999</v>
      </c>
      <c r="AM78" s="80" t="s">
        <v>136</v>
      </c>
      <c r="AN78" s="80">
        <v>0</v>
      </c>
      <c r="AO78" s="80" t="s">
        <v>136</v>
      </c>
      <c r="AP78" s="80">
        <v>0</v>
      </c>
      <c r="AQ78" s="80" t="s">
        <v>136</v>
      </c>
      <c r="AR78" s="80">
        <v>0</v>
      </c>
      <c r="AS78" s="27">
        <v>152.66969331999999</v>
      </c>
      <c r="AT78" s="27">
        <v>4.1462814104000003</v>
      </c>
      <c r="AU78" s="27">
        <v>158.65156078999999</v>
      </c>
      <c r="AV78" s="27">
        <v>0.91969894299999999</v>
      </c>
      <c r="AW78" s="27">
        <v>68.877605031000002</v>
      </c>
      <c r="AX78" s="27">
        <v>0.59713028180000005</v>
      </c>
      <c r="AY78" s="27">
        <v>17.380961958</v>
      </c>
      <c r="AZ78" s="27">
        <v>0.1237317498</v>
      </c>
      <c r="BA78" s="80">
        <f t="shared" si="10"/>
        <v>72.392993800999989</v>
      </c>
      <c r="BB78" s="80">
        <f t="shared" si="11"/>
        <v>0.19883691139999993</v>
      </c>
      <c r="BC78" s="27">
        <v>0.12998612879999999</v>
      </c>
      <c r="BD78" s="80">
        <v>3.0045200000000002E-5</v>
      </c>
      <c r="BE78" s="27">
        <v>821.12538032999998</v>
      </c>
      <c r="BF78" s="27">
        <v>3.8036329155000002</v>
      </c>
      <c r="BG78" s="79">
        <v>0.10028440600000001</v>
      </c>
      <c r="BH78" s="80">
        <v>2.3826089999999999E-4</v>
      </c>
      <c r="BI78" s="27">
        <v>188.71962313</v>
      </c>
      <c r="BJ78" s="27">
        <v>5.6701250423999996</v>
      </c>
      <c r="BK78" s="27">
        <v>533.37865913999997</v>
      </c>
      <c r="BL78" s="27">
        <v>3.2909270781000002</v>
      </c>
      <c r="BM78" s="27">
        <v>117.21290052000001</v>
      </c>
      <c r="BN78" s="27">
        <v>0.48478766080000002</v>
      </c>
      <c r="BO78" s="27">
        <v>37.090813175999997</v>
      </c>
      <c r="BP78" s="27">
        <v>1.6308629200000001E-2</v>
      </c>
      <c r="BQ78" s="27">
        <v>0</v>
      </c>
      <c r="BR78" s="92">
        <v>0</v>
      </c>
      <c r="BS78" s="80" t="s">
        <v>136</v>
      </c>
      <c r="BT78" s="80">
        <v>0</v>
      </c>
      <c r="BU78" s="27">
        <v>3.2855235428</v>
      </c>
      <c r="BV78" s="27">
        <v>1.9539798000000001E-2</v>
      </c>
      <c r="BW78" s="27">
        <v>53.038177603000001</v>
      </c>
      <c r="BX78" s="27">
        <v>0.40386202090000001</v>
      </c>
      <c r="BY78" s="80" t="s">
        <v>136</v>
      </c>
      <c r="BZ78" s="80">
        <v>0</v>
      </c>
      <c r="CA78" s="80" t="s">
        <v>136</v>
      </c>
      <c r="CB78" s="80">
        <v>0</v>
      </c>
      <c r="CC78" s="27">
        <v>89.246811652000005</v>
      </c>
      <c r="CD78" s="27">
        <v>5.7225799000000001E-2</v>
      </c>
      <c r="CE78" s="27">
        <v>60.751724850000002</v>
      </c>
      <c r="CF78" s="27">
        <v>0.12901352199999999</v>
      </c>
      <c r="CG78" s="80" t="s">
        <v>136</v>
      </c>
      <c r="CH78" s="80">
        <v>0</v>
      </c>
      <c r="CI78" s="80" t="s">
        <v>136</v>
      </c>
      <c r="CJ78" s="80">
        <v>0</v>
      </c>
      <c r="CK78" s="80" t="s">
        <v>136</v>
      </c>
      <c r="CL78" s="80">
        <v>0</v>
      </c>
      <c r="CM78" s="80" t="s">
        <v>136</v>
      </c>
      <c r="CN78" s="80">
        <v>0</v>
      </c>
      <c r="CO78" s="27">
        <v>1.238397639</v>
      </c>
      <c r="CP78" s="27">
        <v>7.3839096999999999E-3</v>
      </c>
      <c r="CQ78" s="27">
        <v>2.8176230241</v>
      </c>
      <c r="CR78" s="27">
        <v>2.72525544E-2</v>
      </c>
      <c r="CS78" s="27">
        <v>22.805589973</v>
      </c>
      <c r="CT78" s="27">
        <v>0.1400293571</v>
      </c>
      <c r="CU78" s="27">
        <v>86.589588915999997</v>
      </c>
      <c r="CV78" s="27">
        <v>1.7238717828000001</v>
      </c>
      <c r="CW78" s="80" t="s">
        <v>136</v>
      </c>
      <c r="CX78" s="80">
        <v>0</v>
      </c>
      <c r="CY78" s="80" t="s">
        <v>136</v>
      </c>
      <c r="CZ78" s="80">
        <v>0</v>
      </c>
      <c r="DA78" s="27">
        <v>50.735758326999999</v>
      </c>
      <c r="DB78" s="27">
        <v>0.57875935479999996</v>
      </c>
      <c r="DC78" s="27">
        <v>101.93393500000001</v>
      </c>
      <c r="DD78" s="27">
        <v>3.5675220556</v>
      </c>
      <c r="DE78" s="27">
        <v>380.65661892000003</v>
      </c>
      <c r="DF78" s="27">
        <v>1.6218945423</v>
      </c>
      <c r="DG78" s="27">
        <v>440.46876141000001</v>
      </c>
      <c r="DH78" s="92">
        <v>2.1817383732</v>
      </c>
      <c r="DI78" s="95">
        <v>3.33120607E-2</v>
      </c>
      <c r="DJ78" s="96">
        <v>5.9673581699999999E-2</v>
      </c>
      <c r="DK78" s="96">
        <v>7.4181107299999993E-2</v>
      </c>
      <c r="DL78" s="96">
        <v>8.1836581199999994E-2</v>
      </c>
      <c r="DM78" s="96">
        <v>8.5888931399999993E-2</v>
      </c>
      <c r="DN78" s="96">
        <v>8.8679600999999997E-2</v>
      </c>
      <c r="DO78" s="96">
        <v>9.0521797099999995E-2</v>
      </c>
      <c r="DP78" s="96">
        <v>9.1803872199999997E-2</v>
      </c>
      <c r="DQ78" s="96">
        <v>9.2751106599999994E-2</v>
      </c>
      <c r="DR78" s="97">
        <v>9.3537089700000006E-2</v>
      </c>
      <c r="DS78" s="93">
        <v>114.62624298</v>
      </c>
      <c r="DT78" s="80">
        <v>0.79086682610000003</v>
      </c>
      <c r="DU78" s="80">
        <v>66.629507071999996</v>
      </c>
      <c r="DV78" s="80">
        <v>0.47320999699999999</v>
      </c>
      <c r="DW78" s="80">
        <v>39.471866118000001</v>
      </c>
      <c r="DX78" s="80">
        <v>0.28789926139999999</v>
      </c>
      <c r="DY78" s="80">
        <v>23.955483873999999</v>
      </c>
      <c r="DZ78" s="80">
        <v>0.180071905</v>
      </c>
      <c r="EA78" s="80">
        <v>14.940812147000001</v>
      </c>
      <c r="EB78" s="80">
        <v>0.1166687507</v>
      </c>
      <c r="EC78" s="80">
        <v>9.6716071490999997</v>
      </c>
      <c r="ED78" s="80">
        <v>7.9071978400000006E-2</v>
      </c>
      <c r="EE78" s="80">
        <v>6.5032406724999996</v>
      </c>
      <c r="EF78" s="80">
        <v>5.6089096400000003E-2</v>
      </c>
      <c r="EG78" s="80">
        <v>4.5044102719000003</v>
      </c>
      <c r="EH78" s="80">
        <v>4.1308028300000001E-2</v>
      </c>
      <c r="EI78" s="80">
        <v>3.2119285460000002</v>
      </c>
      <c r="EJ78" s="80">
        <v>3.1486454900000002E-2</v>
      </c>
      <c r="EK78" s="80">
        <v>2.3865372327999999</v>
      </c>
      <c r="EL78" s="94">
        <v>2.49988654E-2</v>
      </c>
    </row>
    <row r="79" spans="1:142" x14ac:dyDescent="0.2">
      <c r="A79" s="79">
        <v>45000</v>
      </c>
      <c r="B79" s="27">
        <v>655</v>
      </c>
      <c r="C79" s="79">
        <v>4579.0639772000004</v>
      </c>
      <c r="D79" s="27">
        <v>41546.011773999999</v>
      </c>
      <c r="E79" s="27">
        <v>279.66331027000001</v>
      </c>
      <c r="F79" s="27">
        <v>0.1332723777</v>
      </c>
      <c r="G79" s="79">
        <v>421.93519426</v>
      </c>
      <c r="H79" s="27">
        <v>3.8577512199999997E-2</v>
      </c>
      <c r="I79" s="27">
        <v>200.37581077999999</v>
      </c>
      <c r="J79" s="27">
        <v>1.3233524479000001</v>
      </c>
      <c r="K79" s="27">
        <v>138.62607206999999</v>
      </c>
      <c r="L79" s="27">
        <v>0.83682352069999999</v>
      </c>
      <c r="M79" s="27">
        <v>56.796418744</v>
      </c>
      <c r="N79" s="27">
        <v>0.42604761130000002</v>
      </c>
      <c r="O79" s="80" t="s">
        <v>136</v>
      </c>
      <c r="P79" s="80">
        <v>0</v>
      </c>
      <c r="Q79" s="27">
        <v>153.08047422000001</v>
      </c>
      <c r="R79" s="27">
        <v>0.18954691870000001</v>
      </c>
      <c r="S79" s="80" t="s">
        <v>136</v>
      </c>
      <c r="T79" s="80">
        <v>0</v>
      </c>
      <c r="U79" s="80" t="s">
        <v>136</v>
      </c>
      <c r="V79" s="80">
        <v>0</v>
      </c>
      <c r="W79" s="27">
        <v>4.2841369700999996</v>
      </c>
      <c r="X79" s="27">
        <v>3.6376405100000002E-2</v>
      </c>
      <c r="Y79" s="27">
        <v>111.46572553</v>
      </c>
      <c r="Z79" s="27">
        <v>1.8818995827</v>
      </c>
      <c r="AA79" s="80" t="s">
        <v>136</v>
      </c>
      <c r="AB79" s="80">
        <v>0</v>
      </c>
      <c r="AC79" s="27">
        <v>8.5083309999999998E-4</v>
      </c>
      <c r="AD79" s="27">
        <v>2.3591326000000001E-6</v>
      </c>
      <c r="AE79" s="80" t="s">
        <v>136</v>
      </c>
      <c r="AF79" s="80">
        <v>0</v>
      </c>
      <c r="AG79" s="80" t="s">
        <v>136</v>
      </c>
      <c r="AH79" s="80">
        <v>0</v>
      </c>
      <c r="AI79" s="27">
        <f t="shared" si="8"/>
        <v>8.5083309999999998E-4</v>
      </c>
      <c r="AJ79" s="27">
        <f t="shared" si="9"/>
        <v>2.3591326000000001E-6</v>
      </c>
      <c r="AK79" s="27">
        <v>188.46662479</v>
      </c>
      <c r="AL79" s="27">
        <v>2.2014341574</v>
      </c>
      <c r="AM79" s="80" t="s">
        <v>136</v>
      </c>
      <c r="AN79" s="80">
        <v>0</v>
      </c>
      <c r="AO79" s="80" t="s">
        <v>136</v>
      </c>
      <c r="AP79" s="80">
        <v>0</v>
      </c>
      <c r="AQ79" s="80" t="s">
        <v>136</v>
      </c>
      <c r="AR79" s="80">
        <v>0</v>
      </c>
      <c r="AS79" s="27">
        <v>154.62697713</v>
      </c>
      <c r="AT79" s="27">
        <v>4.1771368349999998</v>
      </c>
      <c r="AU79" s="27">
        <v>161.30912914999999</v>
      </c>
      <c r="AV79" s="27">
        <v>0.93153653270000003</v>
      </c>
      <c r="AW79" s="27">
        <v>70.013135223000006</v>
      </c>
      <c r="AX79" s="27">
        <v>0.60506387569999998</v>
      </c>
      <c r="AY79" s="27">
        <v>17.533003601000001</v>
      </c>
      <c r="AZ79" s="27">
        <v>0.1245954719</v>
      </c>
      <c r="BA79" s="80">
        <f t="shared" si="10"/>
        <v>73.762990325999979</v>
      </c>
      <c r="BB79" s="80">
        <f t="shared" si="11"/>
        <v>0.20187718510000008</v>
      </c>
      <c r="BC79" s="27">
        <v>0.14538948600000001</v>
      </c>
      <c r="BD79" s="80">
        <v>3.2814200000000002E-5</v>
      </c>
      <c r="BE79" s="27">
        <v>845.02372797999999</v>
      </c>
      <c r="BF79" s="27">
        <v>3.8577797216</v>
      </c>
      <c r="BG79" s="79">
        <v>0.1051294324</v>
      </c>
      <c r="BH79" s="80">
        <v>2.719558E-4</v>
      </c>
      <c r="BI79" s="27">
        <v>189.59508514999999</v>
      </c>
      <c r="BJ79" s="27">
        <v>5.6922224438000004</v>
      </c>
      <c r="BK79" s="27">
        <v>540.44514634999996</v>
      </c>
      <c r="BL79" s="27">
        <v>3.3173856292999999</v>
      </c>
      <c r="BM79" s="27">
        <v>118.81151293000001</v>
      </c>
      <c r="BN79" s="27">
        <v>0.4874834757</v>
      </c>
      <c r="BO79" s="27">
        <v>41.692325255</v>
      </c>
      <c r="BP79" s="27">
        <v>1.7725158500000001E-2</v>
      </c>
      <c r="BQ79" s="27">
        <v>0</v>
      </c>
      <c r="BR79" s="92">
        <v>0</v>
      </c>
      <c r="BS79" s="80" t="s">
        <v>136</v>
      </c>
      <c r="BT79" s="80">
        <v>0</v>
      </c>
      <c r="BU79" s="27">
        <v>3.37047257</v>
      </c>
      <c r="BV79" s="27">
        <v>1.9770390400000001E-2</v>
      </c>
      <c r="BW79" s="27">
        <v>53.425946174000003</v>
      </c>
      <c r="BX79" s="27">
        <v>0.40627722090000001</v>
      </c>
      <c r="BY79" s="80" t="s">
        <v>136</v>
      </c>
      <c r="BZ79" s="80">
        <v>0</v>
      </c>
      <c r="CA79" s="80" t="s">
        <v>136</v>
      </c>
      <c r="CB79" s="80">
        <v>0</v>
      </c>
      <c r="CC79" s="27">
        <v>91.384091486000003</v>
      </c>
      <c r="CD79" s="27">
        <v>5.8415825999999997E-2</v>
      </c>
      <c r="CE79" s="27">
        <v>61.696382737</v>
      </c>
      <c r="CF79" s="27">
        <v>0.13113109270000001</v>
      </c>
      <c r="CG79" s="80" t="s">
        <v>136</v>
      </c>
      <c r="CH79" s="80">
        <v>0</v>
      </c>
      <c r="CI79" s="80" t="s">
        <v>136</v>
      </c>
      <c r="CJ79" s="80">
        <v>0</v>
      </c>
      <c r="CK79" s="80" t="s">
        <v>136</v>
      </c>
      <c r="CL79" s="80">
        <v>0</v>
      </c>
      <c r="CM79" s="80" t="s">
        <v>136</v>
      </c>
      <c r="CN79" s="80">
        <v>0</v>
      </c>
      <c r="CO79" s="27">
        <v>1.3990104103000001</v>
      </c>
      <c r="CP79" s="27">
        <v>8.5952202999999994E-3</v>
      </c>
      <c r="CQ79" s="27">
        <v>2.8851265598000002</v>
      </c>
      <c r="CR79" s="27">
        <v>2.7781184800000001E-2</v>
      </c>
      <c r="CS79" s="27">
        <v>23.956923174</v>
      </c>
      <c r="CT79" s="27">
        <v>0.1442744675</v>
      </c>
      <c r="CU79" s="27">
        <v>87.508802356999993</v>
      </c>
      <c r="CV79" s="27">
        <v>1.7376251152</v>
      </c>
      <c r="CW79" s="80" t="s">
        <v>136</v>
      </c>
      <c r="CX79" s="80">
        <v>0</v>
      </c>
      <c r="CY79" s="80" t="s">
        <v>136</v>
      </c>
      <c r="CZ79" s="80">
        <v>0</v>
      </c>
      <c r="DA79" s="27">
        <v>51.846444196</v>
      </c>
      <c r="DB79" s="27">
        <v>0.58883784009999995</v>
      </c>
      <c r="DC79" s="27">
        <v>102.78053293000001</v>
      </c>
      <c r="DD79" s="27">
        <v>3.5882989948000001</v>
      </c>
      <c r="DE79" s="27">
        <v>394.91484036000003</v>
      </c>
      <c r="DF79" s="27">
        <v>1.6540796815000001</v>
      </c>
      <c r="DG79" s="27">
        <v>450.10888762000002</v>
      </c>
      <c r="DH79" s="92">
        <v>2.2037000401000002</v>
      </c>
      <c r="DI79" s="95">
        <v>3.4414648999999999E-2</v>
      </c>
      <c r="DJ79" s="96">
        <v>6.1726613600000001E-2</v>
      </c>
      <c r="DK79" s="96">
        <v>7.6924458299999998E-2</v>
      </c>
      <c r="DL79" s="96">
        <v>8.5075466500000002E-2</v>
      </c>
      <c r="DM79" s="96">
        <v>8.94801031E-2</v>
      </c>
      <c r="DN79" s="96">
        <v>9.2525493900000005E-2</v>
      </c>
      <c r="DO79" s="96">
        <v>9.4564424100000002E-2</v>
      </c>
      <c r="DP79" s="96">
        <v>9.6007024999999996E-2</v>
      </c>
      <c r="DQ79" s="96">
        <v>9.7071825E-2</v>
      </c>
      <c r="DR79" s="97">
        <v>9.7956590900000001E-2</v>
      </c>
      <c r="DS79" s="93">
        <v>115.04774157</v>
      </c>
      <c r="DT79" s="80">
        <v>0.79352524950000003</v>
      </c>
      <c r="DU79" s="80">
        <v>66.973964788999993</v>
      </c>
      <c r="DV79" s="80">
        <v>0.47540081940000001</v>
      </c>
      <c r="DW79" s="80">
        <v>39.735901224999999</v>
      </c>
      <c r="DX79" s="80">
        <v>0.28959858420000001</v>
      </c>
      <c r="DY79" s="80">
        <v>24.152730291000001</v>
      </c>
      <c r="DZ79" s="80">
        <v>0.18135581810000001</v>
      </c>
      <c r="EA79" s="80">
        <v>15.081609415000001</v>
      </c>
      <c r="EB79" s="80">
        <v>0.117592743</v>
      </c>
      <c r="EC79" s="80">
        <v>9.7725943967000006</v>
      </c>
      <c r="ED79" s="80">
        <v>7.9731958000000006E-2</v>
      </c>
      <c r="EE79" s="80">
        <v>6.5787938071000003</v>
      </c>
      <c r="EF79" s="80">
        <v>5.6575416400000002E-2</v>
      </c>
      <c r="EG79" s="80">
        <v>4.5626547516000002</v>
      </c>
      <c r="EH79" s="80">
        <v>4.1680895500000002E-2</v>
      </c>
      <c r="EI79" s="80">
        <v>3.2588718599000002</v>
      </c>
      <c r="EJ79" s="80">
        <v>3.1786528500000001E-2</v>
      </c>
      <c r="EK79" s="80">
        <v>2.4246633016999999</v>
      </c>
      <c r="EL79" s="94">
        <v>2.5242357399999998E-2</v>
      </c>
    </row>
    <row r="80" spans="1:142" x14ac:dyDescent="0.2">
      <c r="A80" s="79">
        <v>50000</v>
      </c>
      <c r="B80" s="27">
        <v>758</v>
      </c>
      <c r="C80" s="79">
        <v>4666.3040898999998</v>
      </c>
      <c r="D80" s="27">
        <v>47395.202388999998</v>
      </c>
      <c r="E80" s="27">
        <v>285.64978085000001</v>
      </c>
      <c r="F80" s="27">
        <v>0.13472046439999999</v>
      </c>
      <c r="G80" s="79">
        <v>464.66207524999999</v>
      </c>
      <c r="H80" s="27">
        <v>4.0462819499999997E-2</v>
      </c>
      <c r="I80" s="27">
        <v>201.22066057000001</v>
      </c>
      <c r="J80" s="27">
        <v>1.3276941120000001</v>
      </c>
      <c r="K80" s="27">
        <v>140.85487222</v>
      </c>
      <c r="L80" s="27">
        <v>0.84430409549999996</v>
      </c>
      <c r="M80" s="27">
        <v>57.574943926000003</v>
      </c>
      <c r="N80" s="27">
        <v>0.43065640690000001</v>
      </c>
      <c r="O80" s="80" t="s">
        <v>136</v>
      </c>
      <c r="P80" s="80">
        <v>0</v>
      </c>
      <c r="Q80" s="27">
        <v>156.61262091</v>
      </c>
      <c r="R80" s="27">
        <v>0.19342696209999999</v>
      </c>
      <c r="S80" s="80" t="s">
        <v>136</v>
      </c>
      <c r="T80" s="80">
        <v>0</v>
      </c>
      <c r="U80" s="80" t="s">
        <v>136</v>
      </c>
      <c r="V80" s="80">
        <v>0</v>
      </c>
      <c r="W80" s="27">
        <v>4.4207681616999999</v>
      </c>
      <c r="X80" s="27">
        <v>3.72690803E-2</v>
      </c>
      <c r="Y80" s="27">
        <v>113.84184075</v>
      </c>
      <c r="Z80" s="27">
        <v>1.9029084421</v>
      </c>
      <c r="AA80" s="80" t="s">
        <v>136</v>
      </c>
      <c r="AB80" s="80">
        <v>0</v>
      </c>
      <c r="AC80" s="27">
        <v>8.5021599999999999E-4</v>
      </c>
      <c r="AD80" s="27">
        <v>2.3574212999999998E-6</v>
      </c>
      <c r="AE80" s="80" t="s">
        <v>136</v>
      </c>
      <c r="AF80" s="80">
        <v>0</v>
      </c>
      <c r="AG80" s="80" t="s">
        <v>136</v>
      </c>
      <c r="AH80" s="80">
        <v>0</v>
      </c>
      <c r="AI80" s="27">
        <f t="shared" si="8"/>
        <v>8.5021599999999999E-4</v>
      </c>
      <c r="AJ80" s="27">
        <f t="shared" si="9"/>
        <v>2.3574212999999998E-6</v>
      </c>
      <c r="AK80" s="27">
        <v>189.42693353000001</v>
      </c>
      <c r="AL80" s="27">
        <v>2.2092148377999998</v>
      </c>
      <c r="AM80" s="80" t="s">
        <v>136</v>
      </c>
      <c r="AN80" s="80">
        <v>0</v>
      </c>
      <c r="AO80" s="80" t="s">
        <v>136</v>
      </c>
      <c r="AP80" s="80">
        <v>0</v>
      </c>
      <c r="AQ80" s="80" t="s">
        <v>136</v>
      </c>
      <c r="AR80" s="80">
        <v>0</v>
      </c>
      <c r="AS80" s="27">
        <v>156.99400309999999</v>
      </c>
      <c r="AT80" s="27">
        <v>4.2150851390000001</v>
      </c>
      <c r="AU80" s="27">
        <v>164.87560343999999</v>
      </c>
      <c r="AV80" s="27">
        <v>0.94589779780000005</v>
      </c>
      <c r="AW80" s="27">
        <v>71.405736344000005</v>
      </c>
      <c r="AX80" s="27">
        <v>0.61455260020000002</v>
      </c>
      <c r="AY80" s="27">
        <v>17.708678712000001</v>
      </c>
      <c r="AZ80" s="27">
        <v>0.12553957539999999</v>
      </c>
      <c r="BA80" s="80">
        <f t="shared" si="10"/>
        <v>75.761188383999979</v>
      </c>
      <c r="BB80" s="80">
        <f t="shared" si="11"/>
        <v>0.20580562219999998</v>
      </c>
      <c r="BC80" s="27">
        <v>0.2196719188</v>
      </c>
      <c r="BD80" s="80">
        <v>4.4542700000000003E-5</v>
      </c>
      <c r="BE80" s="27">
        <v>875.67785744000003</v>
      </c>
      <c r="BF80" s="27">
        <v>3.9237467602999998</v>
      </c>
      <c r="BG80" s="79">
        <v>0.1120533884</v>
      </c>
      <c r="BH80" s="80">
        <v>3.8654450000000001E-4</v>
      </c>
      <c r="BI80" s="27">
        <v>191.02074045000001</v>
      </c>
      <c r="BJ80" s="27">
        <v>5.7216195827999998</v>
      </c>
      <c r="BK80" s="27">
        <v>549.16314878000003</v>
      </c>
      <c r="BL80" s="27">
        <v>3.3491935986999999</v>
      </c>
      <c r="BM80" s="27">
        <v>120.56330294999999</v>
      </c>
      <c r="BN80" s="27">
        <v>0.49067215240000001</v>
      </c>
      <c r="BO80" s="27">
        <v>49.255819635999998</v>
      </c>
      <c r="BP80" s="27">
        <v>1.9951525099999999E-2</v>
      </c>
      <c r="BQ80" s="27">
        <v>0</v>
      </c>
      <c r="BR80" s="92">
        <v>0</v>
      </c>
      <c r="BS80" s="80" t="s">
        <v>136</v>
      </c>
      <c r="BT80" s="80">
        <v>0</v>
      </c>
      <c r="BU80" s="27">
        <v>3.5356319769</v>
      </c>
      <c r="BV80" s="27">
        <v>2.04684376E-2</v>
      </c>
      <c r="BW80" s="27">
        <v>54.039311949000002</v>
      </c>
      <c r="BX80" s="27">
        <v>0.41018796930000001</v>
      </c>
      <c r="BY80" s="80" t="s">
        <v>136</v>
      </c>
      <c r="BZ80" s="80">
        <v>0</v>
      </c>
      <c r="CA80" s="80" t="s">
        <v>136</v>
      </c>
      <c r="CB80" s="80">
        <v>0</v>
      </c>
      <c r="CC80" s="27">
        <v>93.675051198000006</v>
      </c>
      <c r="CD80" s="27">
        <v>5.9675694199999997E-2</v>
      </c>
      <c r="CE80" s="27">
        <v>62.937569709999998</v>
      </c>
      <c r="CF80" s="27">
        <v>0.13375126779999999</v>
      </c>
      <c r="CG80" s="80" t="s">
        <v>136</v>
      </c>
      <c r="CH80" s="80">
        <v>0</v>
      </c>
      <c r="CI80" s="80" t="s">
        <v>136</v>
      </c>
      <c r="CJ80" s="80">
        <v>0</v>
      </c>
      <c r="CK80" s="80" t="s">
        <v>136</v>
      </c>
      <c r="CL80" s="80">
        <v>0</v>
      </c>
      <c r="CM80" s="80" t="s">
        <v>136</v>
      </c>
      <c r="CN80" s="80">
        <v>0</v>
      </c>
      <c r="CO80" s="27">
        <v>1.4286127264999999</v>
      </c>
      <c r="CP80" s="27">
        <v>8.6588778000000009E-3</v>
      </c>
      <c r="CQ80" s="27">
        <v>2.9921554352999999</v>
      </c>
      <c r="CR80" s="27">
        <v>2.86102024E-2</v>
      </c>
      <c r="CS80" s="27">
        <v>25.222688470000001</v>
      </c>
      <c r="CT80" s="27">
        <v>0.14973748540000001</v>
      </c>
      <c r="CU80" s="27">
        <v>88.619152275999994</v>
      </c>
      <c r="CV80" s="27">
        <v>1.7531709567</v>
      </c>
      <c r="CW80" s="80" t="s">
        <v>136</v>
      </c>
      <c r="CX80" s="80">
        <v>0</v>
      </c>
      <c r="CY80" s="80" t="s">
        <v>136</v>
      </c>
      <c r="CZ80" s="80">
        <v>0</v>
      </c>
      <c r="DA80" s="27">
        <v>53.012764091000001</v>
      </c>
      <c r="DB80" s="27">
        <v>0.6002671436</v>
      </c>
      <c r="DC80" s="27">
        <v>103.98123901</v>
      </c>
      <c r="DD80" s="27">
        <v>3.6148179955000002</v>
      </c>
      <c r="DE80" s="27">
        <v>413.29091691999997</v>
      </c>
      <c r="DF80" s="27">
        <v>1.6927613770000001</v>
      </c>
      <c r="DG80" s="27">
        <v>462.38694050999999</v>
      </c>
      <c r="DH80" s="92">
        <v>2.2309853833000002</v>
      </c>
      <c r="DI80" s="95">
        <v>3.5858533800000002E-2</v>
      </c>
      <c r="DJ80" s="96">
        <v>6.4370249800000001E-2</v>
      </c>
      <c r="DK80" s="96">
        <v>8.0500765500000002E-2</v>
      </c>
      <c r="DL80" s="96">
        <v>8.9285610599999995E-2</v>
      </c>
      <c r="DM80" s="96">
        <v>9.4174605499999994E-2</v>
      </c>
      <c r="DN80" s="96">
        <v>9.7601550300000006E-2</v>
      </c>
      <c r="DO80" s="96">
        <v>9.9931571900000002E-2</v>
      </c>
      <c r="DP80" s="96">
        <v>0.1016017231</v>
      </c>
      <c r="DQ80" s="96">
        <v>0.102852229</v>
      </c>
      <c r="DR80" s="97">
        <v>0.1038831994</v>
      </c>
      <c r="DS80" s="93">
        <v>115.79489082000001</v>
      </c>
      <c r="DT80" s="80">
        <v>0.79737247720000004</v>
      </c>
      <c r="DU80" s="80">
        <v>67.592318219000006</v>
      </c>
      <c r="DV80" s="80">
        <v>0.47857379729999999</v>
      </c>
      <c r="DW80" s="80">
        <v>40.229104739</v>
      </c>
      <c r="DX80" s="80">
        <v>0.29209816970000002</v>
      </c>
      <c r="DY80" s="80">
        <v>24.537626611</v>
      </c>
      <c r="DZ80" s="80">
        <v>0.1832789397</v>
      </c>
      <c r="EA80" s="80">
        <v>15.372755894000001</v>
      </c>
      <c r="EB80" s="80">
        <v>0.1190230919</v>
      </c>
      <c r="EC80" s="80">
        <v>9.9894666311999991</v>
      </c>
      <c r="ED80" s="80">
        <v>8.0776058799999995E-2</v>
      </c>
      <c r="EE80" s="80">
        <v>6.7357415037999999</v>
      </c>
      <c r="EF80" s="80">
        <v>5.7319977799999998E-2</v>
      </c>
      <c r="EG80" s="80">
        <v>4.6722187866000002</v>
      </c>
      <c r="EH80" s="80">
        <v>4.22036945E-2</v>
      </c>
      <c r="EI80" s="80">
        <v>3.3385192261999999</v>
      </c>
      <c r="EJ80" s="80">
        <v>3.2166511299999999E-2</v>
      </c>
      <c r="EK80" s="80">
        <v>2.4800359379999999</v>
      </c>
      <c r="EL80" s="94">
        <v>2.5513515099999998E-2</v>
      </c>
    </row>
    <row r="81" spans="1:142" x14ac:dyDescent="0.2">
      <c r="A81" s="79">
        <v>100000</v>
      </c>
      <c r="B81" s="27">
        <v>2962</v>
      </c>
      <c r="C81" s="79">
        <v>5108.4851404000001</v>
      </c>
      <c r="D81" s="27">
        <v>67427.634216000006</v>
      </c>
      <c r="E81" s="27">
        <v>309.89222711999997</v>
      </c>
      <c r="F81" s="27">
        <v>0.1407757275</v>
      </c>
      <c r="G81" s="79">
        <v>737.16016137999998</v>
      </c>
      <c r="H81" s="27">
        <v>4.9782632E-2</v>
      </c>
      <c r="I81" s="27">
        <v>205.18901890999999</v>
      </c>
      <c r="J81" s="27">
        <v>1.345848449</v>
      </c>
      <c r="K81" s="27">
        <v>151.20120027999999</v>
      </c>
      <c r="L81" s="27">
        <v>0.87762825929999999</v>
      </c>
      <c r="M81" s="27">
        <v>60.682895403000003</v>
      </c>
      <c r="N81" s="27">
        <v>0.4472839113</v>
      </c>
      <c r="O81" s="80" t="s">
        <v>136</v>
      </c>
      <c r="P81" s="80">
        <v>0</v>
      </c>
      <c r="Q81" s="27">
        <v>176.59140943</v>
      </c>
      <c r="R81" s="27">
        <v>0.2159222049</v>
      </c>
      <c r="S81" s="80" t="s">
        <v>136</v>
      </c>
      <c r="T81" s="80">
        <v>0</v>
      </c>
      <c r="U81" s="80" t="s">
        <v>136</v>
      </c>
      <c r="V81" s="80">
        <v>0</v>
      </c>
      <c r="W81" s="27">
        <v>4.9872194875</v>
      </c>
      <c r="X81" s="27">
        <v>4.0655493700000003E-2</v>
      </c>
      <c r="Y81" s="27">
        <v>123.6509686</v>
      </c>
      <c r="Z81" s="27">
        <v>1.9835938877999999</v>
      </c>
      <c r="AA81" s="80" t="s">
        <v>136</v>
      </c>
      <c r="AB81" s="80">
        <v>0</v>
      </c>
      <c r="AC81" s="27">
        <v>8.4683749999999998E-4</v>
      </c>
      <c r="AD81" s="27">
        <v>2.3480538000000001E-6</v>
      </c>
      <c r="AE81" s="80" t="s">
        <v>136</v>
      </c>
      <c r="AF81" s="80">
        <v>0</v>
      </c>
      <c r="AG81" s="80" t="s">
        <v>136</v>
      </c>
      <c r="AH81" s="80">
        <v>0</v>
      </c>
      <c r="AI81" s="27">
        <f t="shared" si="8"/>
        <v>8.4683749999999998E-4</v>
      </c>
      <c r="AJ81" s="27">
        <f t="shared" si="9"/>
        <v>2.3480538000000001E-6</v>
      </c>
      <c r="AK81" s="27">
        <v>192.943523</v>
      </c>
      <c r="AL81" s="27">
        <v>2.2438001963</v>
      </c>
      <c r="AM81" s="80" t="s">
        <v>136</v>
      </c>
      <c r="AN81" s="80">
        <v>0</v>
      </c>
      <c r="AO81" s="80" t="s">
        <v>136</v>
      </c>
      <c r="AP81" s="80">
        <v>0</v>
      </c>
      <c r="AQ81" s="80" t="s">
        <v>136</v>
      </c>
      <c r="AR81" s="80">
        <v>0</v>
      </c>
      <c r="AS81" s="27">
        <v>169.56746092</v>
      </c>
      <c r="AT81" s="27">
        <v>4.4159655671999998</v>
      </c>
      <c r="AU81" s="27">
        <v>193.00235418</v>
      </c>
      <c r="AV81" s="27">
        <v>1.0310892427</v>
      </c>
      <c r="AW81" s="27">
        <v>83.201221316000002</v>
      </c>
      <c r="AX81" s="27">
        <v>0.67039323419999997</v>
      </c>
      <c r="AY81" s="27">
        <v>18.311977108000001</v>
      </c>
      <c r="AZ81" s="27">
        <v>0.12880904269999999</v>
      </c>
      <c r="BA81" s="80">
        <f t="shared" si="10"/>
        <v>91.489155756000002</v>
      </c>
      <c r="BB81" s="80">
        <f t="shared" si="11"/>
        <v>0.23188696580000001</v>
      </c>
      <c r="BC81" s="27">
        <v>1.0332551357999999</v>
      </c>
      <c r="BD81" s="80">
        <v>1.6427179999999999E-4</v>
      </c>
      <c r="BE81" s="27">
        <v>1040.4950458000001</v>
      </c>
      <c r="BF81" s="27">
        <v>4.268505792</v>
      </c>
      <c r="BG81" s="79">
        <v>0.156753266</v>
      </c>
      <c r="BH81" s="80">
        <v>1.6851272000000001E-3</v>
      </c>
      <c r="BI81" s="27">
        <v>197.21248692</v>
      </c>
      <c r="BJ81" s="27">
        <v>5.8452573984000002</v>
      </c>
      <c r="BK81" s="27">
        <v>586.88831453</v>
      </c>
      <c r="BL81" s="27">
        <v>3.4751034498000002</v>
      </c>
      <c r="BM81" s="27">
        <v>128.50800677000001</v>
      </c>
      <c r="BN81" s="27">
        <v>0.50320170870000003</v>
      </c>
      <c r="BO81" s="27">
        <v>91.417956875000002</v>
      </c>
      <c r="BP81" s="27">
        <v>3.07321282E-2</v>
      </c>
      <c r="BQ81" s="27">
        <v>0</v>
      </c>
      <c r="BR81" s="92">
        <v>0</v>
      </c>
      <c r="BS81" s="80" t="s">
        <v>136</v>
      </c>
      <c r="BT81" s="80">
        <v>0</v>
      </c>
      <c r="BU81" s="27">
        <v>4.5059641132000001</v>
      </c>
      <c r="BV81" s="27">
        <v>2.3744848400000001E-2</v>
      </c>
      <c r="BW81" s="27">
        <v>56.176931289999999</v>
      </c>
      <c r="BX81" s="27">
        <v>0.42353906289999999</v>
      </c>
      <c r="BY81" s="80" t="s">
        <v>136</v>
      </c>
      <c r="BZ81" s="80">
        <v>0</v>
      </c>
      <c r="CA81" s="80" t="s">
        <v>136</v>
      </c>
      <c r="CB81" s="80">
        <v>0</v>
      </c>
      <c r="CC81" s="27">
        <v>106.61682992999999</v>
      </c>
      <c r="CD81" s="27">
        <v>6.7183637000000004E-2</v>
      </c>
      <c r="CE81" s="27">
        <v>69.974579496999993</v>
      </c>
      <c r="CF81" s="27">
        <v>0.14873856790000001</v>
      </c>
      <c r="CG81" s="80" t="s">
        <v>136</v>
      </c>
      <c r="CH81" s="80">
        <v>0</v>
      </c>
      <c r="CI81" s="80" t="s">
        <v>136</v>
      </c>
      <c r="CJ81" s="80">
        <v>0</v>
      </c>
      <c r="CK81" s="80" t="s">
        <v>136</v>
      </c>
      <c r="CL81" s="80">
        <v>0</v>
      </c>
      <c r="CM81" s="80" t="s">
        <v>136</v>
      </c>
      <c r="CN81" s="80">
        <v>0</v>
      </c>
      <c r="CO81" s="27">
        <v>1.8480877064000001</v>
      </c>
      <c r="CP81" s="27">
        <v>1.0848176899999999E-2</v>
      </c>
      <c r="CQ81" s="27">
        <v>3.1391317811000001</v>
      </c>
      <c r="CR81" s="27">
        <v>2.9807316699999999E-2</v>
      </c>
      <c r="CS81" s="27">
        <v>31.071545947000001</v>
      </c>
      <c r="CT81" s="27">
        <v>0.17519528200000001</v>
      </c>
      <c r="CU81" s="27">
        <v>92.579422649999998</v>
      </c>
      <c r="CV81" s="27">
        <v>1.8083986057999999</v>
      </c>
      <c r="CW81" s="80" t="s">
        <v>136</v>
      </c>
      <c r="CX81" s="80">
        <v>0</v>
      </c>
      <c r="CY81" s="80" t="s">
        <v>136</v>
      </c>
      <c r="CZ81" s="80">
        <v>0</v>
      </c>
      <c r="DA81" s="27">
        <v>59.675089376999999</v>
      </c>
      <c r="DB81" s="27">
        <v>0.66587925560000005</v>
      </c>
      <c r="DC81" s="27">
        <v>109.89237154999999</v>
      </c>
      <c r="DD81" s="27">
        <v>3.7500863117000001</v>
      </c>
      <c r="DE81" s="27">
        <v>504.93982190000003</v>
      </c>
      <c r="DF81" s="27">
        <v>1.8865034518999999</v>
      </c>
      <c r="DG81" s="27">
        <v>535.55522387999997</v>
      </c>
      <c r="DH81" s="92">
        <v>2.3820023401000001</v>
      </c>
      <c r="DI81" s="95">
        <v>4.2056295799999997E-2</v>
      </c>
      <c r="DJ81" s="96">
        <v>7.6100718400000003E-2</v>
      </c>
      <c r="DK81" s="96">
        <v>9.6876420500000004E-2</v>
      </c>
      <c r="DL81" s="96">
        <v>0.10931211790000001</v>
      </c>
      <c r="DM81" s="96">
        <v>0.1171735293</v>
      </c>
      <c r="DN81" s="96">
        <v>0.12310458339999999</v>
      </c>
      <c r="DO81" s="96">
        <v>0.1275157492</v>
      </c>
      <c r="DP81" s="96">
        <v>0.13092486040000001</v>
      </c>
      <c r="DQ81" s="96">
        <v>0.13365393070000001</v>
      </c>
      <c r="DR81" s="97">
        <v>0.1359513997</v>
      </c>
      <c r="DS81" s="93">
        <v>119.31175616</v>
      </c>
      <c r="DT81" s="80">
        <v>0.8135132612</v>
      </c>
      <c r="DU81" s="80">
        <v>70.555387813999999</v>
      </c>
      <c r="DV81" s="80">
        <v>0.49208713450000002</v>
      </c>
      <c r="DW81" s="80">
        <v>42.645298955999998</v>
      </c>
      <c r="DX81" s="80">
        <v>0.30292195669999999</v>
      </c>
      <c r="DY81" s="80">
        <v>26.472264231</v>
      </c>
      <c r="DZ81" s="80">
        <v>0.1917473026</v>
      </c>
      <c r="EA81" s="80">
        <v>16.897708780999999</v>
      </c>
      <c r="EB81" s="80">
        <v>0.1255483178</v>
      </c>
      <c r="EC81" s="80">
        <v>11.177666403</v>
      </c>
      <c r="ED81" s="80">
        <v>8.5780079999999995E-2</v>
      </c>
      <c r="EE81" s="80">
        <v>7.6469137678000001</v>
      </c>
      <c r="EF81" s="80">
        <v>6.1146610900000002E-2</v>
      </c>
      <c r="EG81" s="80">
        <v>5.3682523757</v>
      </c>
      <c r="EH81" s="80">
        <v>4.5151366399999997E-2</v>
      </c>
      <c r="EI81" s="80">
        <v>3.8849837359000001</v>
      </c>
      <c r="EJ81" s="80">
        <v>3.4466090599999999E-2</v>
      </c>
      <c r="EK81" s="80">
        <v>2.9072693041000002</v>
      </c>
      <c r="EL81" s="94">
        <v>2.7298631E-2</v>
      </c>
    </row>
    <row r="82" spans="1:142" x14ac:dyDescent="0.2">
      <c r="A82" s="79">
        <v>200000</v>
      </c>
      <c r="B82" s="27">
        <v>1004</v>
      </c>
      <c r="C82" s="79">
        <v>5374.9201081000001</v>
      </c>
      <c r="D82" s="27">
        <v>135619.77780000001</v>
      </c>
      <c r="E82" s="27">
        <v>319.98806698999999</v>
      </c>
      <c r="F82" s="27">
        <v>0.14331000839999999</v>
      </c>
      <c r="G82" s="79">
        <v>963.88808939</v>
      </c>
      <c r="H82" s="27">
        <v>5.4940743100000002E-2</v>
      </c>
      <c r="I82" s="27">
        <v>207.24398011</v>
      </c>
      <c r="J82" s="27">
        <v>1.353045877</v>
      </c>
      <c r="K82" s="27">
        <v>161.22418679</v>
      </c>
      <c r="L82" s="27">
        <v>0.89402782329999997</v>
      </c>
      <c r="M82" s="27">
        <v>61.554087367999998</v>
      </c>
      <c r="N82" s="27">
        <v>0.45167303479999998</v>
      </c>
      <c r="O82" s="80" t="s">
        <v>136</v>
      </c>
      <c r="P82" s="80">
        <v>0</v>
      </c>
      <c r="Q82" s="27">
        <v>190.86208973000001</v>
      </c>
      <c r="R82" s="27">
        <v>0.23163372660000001</v>
      </c>
      <c r="S82" s="80" t="s">
        <v>136</v>
      </c>
      <c r="T82" s="80">
        <v>0</v>
      </c>
      <c r="U82" s="80" t="s">
        <v>136</v>
      </c>
      <c r="V82" s="80">
        <v>0</v>
      </c>
      <c r="W82" s="27">
        <v>5.2864263908</v>
      </c>
      <c r="X82" s="27">
        <v>4.2421591799999998E-2</v>
      </c>
      <c r="Y82" s="27">
        <v>127.60914123000001</v>
      </c>
      <c r="Z82" s="27">
        <v>2.0077026694</v>
      </c>
      <c r="AA82" s="80" t="s">
        <v>136</v>
      </c>
      <c r="AB82" s="80">
        <v>0</v>
      </c>
      <c r="AC82" s="27">
        <v>8.4485379999999996E-4</v>
      </c>
      <c r="AD82" s="27">
        <v>2.3425534000000002E-6</v>
      </c>
      <c r="AE82" s="80" t="s">
        <v>136</v>
      </c>
      <c r="AF82" s="80">
        <v>0</v>
      </c>
      <c r="AG82" s="80" t="s">
        <v>136</v>
      </c>
      <c r="AH82" s="80">
        <v>0</v>
      </c>
      <c r="AI82" s="27">
        <f t="shared" si="8"/>
        <v>8.4485379999999996E-4</v>
      </c>
      <c r="AJ82" s="27">
        <f t="shared" si="9"/>
        <v>2.3425534000000002E-6</v>
      </c>
      <c r="AK82" s="27">
        <v>194.83690415000001</v>
      </c>
      <c r="AL82" s="27">
        <v>2.2602978557000002</v>
      </c>
      <c r="AM82" s="80" t="s">
        <v>136</v>
      </c>
      <c r="AN82" s="80">
        <v>0</v>
      </c>
      <c r="AO82" s="80" t="s">
        <v>136</v>
      </c>
      <c r="AP82" s="80">
        <v>0</v>
      </c>
      <c r="AQ82" s="80" t="s">
        <v>136</v>
      </c>
      <c r="AR82" s="80">
        <v>0</v>
      </c>
      <c r="AS82" s="27">
        <v>177.2559316</v>
      </c>
      <c r="AT82" s="27">
        <v>4.5393326743999998</v>
      </c>
      <c r="AU82" s="27">
        <v>215.54957693</v>
      </c>
      <c r="AV82" s="27">
        <v>1.0837229702</v>
      </c>
      <c r="AW82" s="27">
        <v>91.940941257999995</v>
      </c>
      <c r="AX82" s="27">
        <v>0.70261117809999996</v>
      </c>
      <c r="AY82" s="27">
        <v>18.505838968999999</v>
      </c>
      <c r="AZ82" s="27">
        <v>0.1299087542</v>
      </c>
      <c r="BA82" s="80">
        <f t="shared" si="10"/>
        <v>105.10279670300001</v>
      </c>
      <c r="BB82" s="80">
        <f t="shared" si="11"/>
        <v>0.25120303789999998</v>
      </c>
      <c r="BC82" s="27">
        <v>1.8452325589</v>
      </c>
      <c r="BD82" s="80">
        <v>2.6375649999999998E-4</v>
      </c>
      <c r="BE82" s="27">
        <v>1160.6786</v>
      </c>
      <c r="BF82" s="27">
        <v>4.5259356954000003</v>
      </c>
      <c r="BG82" s="79">
        <v>0.19145390970000001</v>
      </c>
      <c r="BH82" s="80">
        <v>3.8386533000000001E-3</v>
      </c>
      <c r="BI82" s="27">
        <v>200.51304521</v>
      </c>
      <c r="BJ82" s="27">
        <v>5.8994535415999998</v>
      </c>
      <c r="BK82" s="27">
        <v>598.34258451999995</v>
      </c>
      <c r="BL82" s="27">
        <v>3.5158223075000001</v>
      </c>
      <c r="BM82" s="27">
        <v>132.62357674</v>
      </c>
      <c r="BN82" s="27">
        <v>0.50765644200000004</v>
      </c>
      <c r="BO82" s="27">
        <v>105.97950904</v>
      </c>
      <c r="BP82" s="27">
        <v>3.3330567700000001E-2</v>
      </c>
      <c r="BQ82" s="27">
        <v>0</v>
      </c>
      <c r="BR82" s="92">
        <v>0</v>
      </c>
      <c r="BS82" s="80" t="s">
        <v>136</v>
      </c>
      <c r="BT82" s="80">
        <v>0</v>
      </c>
      <c r="BU82" s="27">
        <v>4.8101896756000002</v>
      </c>
      <c r="BV82" s="27">
        <v>2.47995614E-2</v>
      </c>
      <c r="BW82" s="27">
        <v>56.743897693000001</v>
      </c>
      <c r="BX82" s="27">
        <v>0.42687347339999998</v>
      </c>
      <c r="BY82" s="80" t="s">
        <v>136</v>
      </c>
      <c r="BZ82" s="80">
        <v>0</v>
      </c>
      <c r="CA82" s="80" t="s">
        <v>136</v>
      </c>
      <c r="CB82" s="80">
        <v>0</v>
      </c>
      <c r="CC82" s="27">
        <v>116.43216793000001</v>
      </c>
      <c r="CD82" s="27">
        <v>7.2969223299999997E-2</v>
      </c>
      <c r="CE82" s="27">
        <v>74.429921801000006</v>
      </c>
      <c r="CF82" s="27">
        <v>0.15866450330000001</v>
      </c>
      <c r="CG82" s="80" t="s">
        <v>136</v>
      </c>
      <c r="CH82" s="80">
        <v>0</v>
      </c>
      <c r="CI82" s="80" t="s">
        <v>136</v>
      </c>
      <c r="CJ82" s="80">
        <v>0</v>
      </c>
      <c r="CK82" s="80" t="s">
        <v>136</v>
      </c>
      <c r="CL82" s="80">
        <v>0</v>
      </c>
      <c r="CM82" s="80" t="s">
        <v>136</v>
      </c>
      <c r="CN82" s="80">
        <v>0</v>
      </c>
      <c r="CO82" s="27">
        <v>2.0427164125999999</v>
      </c>
      <c r="CP82" s="27">
        <v>1.17140127E-2</v>
      </c>
      <c r="CQ82" s="27">
        <v>3.2437099782000001</v>
      </c>
      <c r="CR82" s="27">
        <v>3.0707578999999999E-2</v>
      </c>
      <c r="CS82" s="27">
        <v>33.953799064999998</v>
      </c>
      <c r="CT82" s="27">
        <v>0.18530834930000001</v>
      </c>
      <c r="CU82" s="27">
        <v>93.655342165999997</v>
      </c>
      <c r="CV82" s="27">
        <v>1.8223943200999999</v>
      </c>
      <c r="CW82" s="80" t="s">
        <v>136</v>
      </c>
      <c r="CX82" s="80">
        <v>0</v>
      </c>
      <c r="CY82" s="80" t="s">
        <v>136</v>
      </c>
      <c r="CZ82" s="80">
        <v>0</v>
      </c>
      <c r="DA82" s="27">
        <v>64.269833235999997</v>
      </c>
      <c r="DB82" s="27">
        <v>0.71189476870000001</v>
      </c>
      <c r="DC82" s="27">
        <v>112.98609836</v>
      </c>
      <c r="DD82" s="27">
        <v>3.8274379057000001</v>
      </c>
      <c r="DE82" s="27">
        <v>570.73987680000005</v>
      </c>
      <c r="DF82" s="27">
        <v>2.0298411051</v>
      </c>
      <c r="DG82" s="27">
        <v>589.93872316</v>
      </c>
      <c r="DH82" s="92">
        <v>2.4960945902999998</v>
      </c>
      <c r="DI82" s="95">
        <v>4.4648561199999999E-2</v>
      </c>
      <c r="DJ82" s="96">
        <v>8.1194459299999994E-2</v>
      </c>
      <c r="DK82" s="96">
        <v>0.1043043271</v>
      </c>
      <c r="DL82" s="96">
        <v>0.1188813053</v>
      </c>
      <c r="DM82" s="96">
        <v>0.1287060096</v>
      </c>
      <c r="DN82" s="96">
        <v>0.13639599569999999</v>
      </c>
      <c r="DO82" s="96">
        <v>0.14238027619999999</v>
      </c>
      <c r="DP82" s="96">
        <v>0.14720342080000001</v>
      </c>
      <c r="DQ82" s="96">
        <v>0.15120200119999999</v>
      </c>
      <c r="DR82" s="97">
        <v>0.1546419916</v>
      </c>
      <c r="DS82" s="93">
        <v>121.15885863</v>
      </c>
      <c r="DT82" s="80">
        <v>0.82006189220000003</v>
      </c>
      <c r="DU82" s="80">
        <v>72.159529710000001</v>
      </c>
      <c r="DV82" s="80">
        <v>0.49773368530000001</v>
      </c>
      <c r="DW82" s="80">
        <v>44.003682611000002</v>
      </c>
      <c r="DX82" s="80">
        <v>0.30762663940000001</v>
      </c>
      <c r="DY82" s="80">
        <v>27.617735628999998</v>
      </c>
      <c r="DZ82" s="80">
        <v>0.1956054371</v>
      </c>
      <c r="EA82" s="80">
        <v>17.849528227</v>
      </c>
      <c r="EB82" s="80">
        <v>0.1286549438</v>
      </c>
      <c r="EC82" s="80">
        <v>11.960284086</v>
      </c>
      <c r="ED82" s="80">
        <v>8.82575684E-2</v>
      </c>
      <c r="EE82" s="80">
        <v>8.2843741186000006</v>
      </c>
      <c r="EF82" s="80">
        <v>6.3119388100000007E-2</v>
      </c>
      <c r="EG82" s="80">
        <v>5.8877346362000003</v>
      </c>
      <c r="EH82" s="80">
        <v>4.6718133699999997E-2</v>
      </c>
      <c r="EI82" s="80">
        <v>4.3014955723000003</v>
      </c>
      <c r="EJ82" s="80">
        <v>3.5708896699999999E-2</v>
      </c>
      <c r="EK82" s="80">
        <v>3.2443942957999998</v>
      </c>
      <c r="EL82" s="94">
        <v>2.83075585E-2</v>
      </c>
    </row>
    <row r="83" spans="1:142" x14ac:dyDescent="0.2">
      <c r="A83" s="79">
        <v>300000</v>
      </c>
      <c r="B83" s="27">
        <v>220</v>
      </c>
      <c r="C83" s="79">
        <v>5466.4976385</v>
      </c>
      <c r="D83" s="27">
        <v>241382.6819</v>
      </c>
      <c r="E83" s="27">
        <v>323.06320978000002</v>
      </c>
      <c r="F83" s="27">
        <v>0.143985892</v>
      </c>
      <c r="G83" s="79">
        <v>1053.2227382000001</v>
      </c>
      <c r="H83" s="27">
        <v>5.6546755999999997E-2</v>
      </c>
      <c r="I83" s="27">
        <v>207.84872557</v>
      </c>
      <c r="J83" s="27">
        <v>1.3548152529999999</v>
      </c>
      <c r="K83" s="27">
        <v>165.19379992</v>
      </c>
      <c r="L83" s="27">
        <v>0.89863953500000004</v>
      </c>
      <c r="M83" s="27">
        <v>61.708720411000002</v>
      </c>
      <c r="N83" s="27">
        <v>0.45240190800000002</v>
      </c>
      <c r="O83" s="80" t="s">
        <v>136</v>
      </c>
      <c r="P83" s="80">
        <v>0</v>
      </c>
      <c r="Q83" s="27">
        <v>196.27674532</v>
      </c>
      <c r="R83" s="27">
        <v>0.23742730479999999</v>
      </c>
      <c r="S83" s="80" t="s">
        <v>136</v>
      </c>
      <c r="T83" s="80">
        <v>0</v>
      </c>
      <c r="U83" s="80" t="s">
        <v>136</v>
      </c>
      <c r="V83" s="80">
        <v>0</v>
      </c>
      <c r="W83" s="27">
        <v>5.4924392036</v>
      </c>
      <c r="X83" s="27">
        <v>4.3329897800000003E-2</v>
      </c>
      <c r="Y83" s="27">
        <v>128.53426597999999</v>
      </c>
      <c r="Z83" s="27">
        <v>2.0126047102000002</v>
      </c>
      <c r="AA83" s="80" t="s">
        <v>136</v>
      </c>
      <c r="AB83" s="80">
        <v>0</v>
      </c>
      <c r="AC83" s="27">
        <v>8.4424529999999997E-4</v>
      </c>
      <c r="AD83" s="27">
        <v>2.3408661000000002E-6</v>
      </c>
      <c r="AE83" s="80" t="s">
        <v>136</v>
      </c>
      <c r="AF83" s="80">
        <v>0</v>
      </c>
      <c r="AG83" s="80" t="s">
        <v>136</v>
      </c>
      <c r="AH83" s="80">
        <v>0</v>
      </c>
      <c r="AI83" s="27">
        <f t="shared" si="8"/>
        <v>8.4424529999999997E-4</v>
      </c>
      <c r="AJ83" s="27">
        <f t="shared" si="9"/>
        <v>2.3408661000000002E-6</v>
      </c>
      <c r="AK83" s="27">
        <v>195.25238156</v>
      </c>
      <c r="AL83" s="27">
        <v>2.2654110511000001</v>
      </c>
      <c r="AM83" s="80" t="s">
        <v>136</v>
      </c>
      <c r="AN83" s="80">
        <v>0</v>
      </c>
      <c r="AO83" s="80" t="s">
        <v>136</v>
      </c>
      <c r="AP83" s="80">
        <v>0</v>
      </c>
      <c r="AQ83" s="80" t="s">
        <v>136</v>
      </c>
      <c r="AR83" s="80">
        <v>0</v>
      </c>
      <c r="AS83" s="27">
        <v>180.08820435000001</v>
      </c>
      <c r="AT83" s="27">
        <v>4.5860774098999997</v>
      </c>
      <c r="AU83" s="27">
        <v>226.42931179999999</v>
      </c>
      <c r="AV83" s="27">
        <v>1.1012227404999999</v>
      </c>
      <c r="AW83" s="27">
        <v>96.075131622000001</v>
      </c>
      <c r="AX83" s="27">
        <v>0.71280566629999997</v>
      </c>
      <c r="AY83" s="27">
        <v>18.547682899000002</v>
      </c>
      <c r="AZ83" s="27">
        <v>0.13019412229999999</v>
      </c>
      <c r="BA83" s="80">
        <f t="shared" si="10"/>
        <v>111.80649727899998</v>
      </c>
      <c r="BB83" s="80">
        <f t="shared" si="11"/>
        <v>0.25822295189999989</v>
      </c>
      <c r="BC83" s="27">
        <v>2.6046450833999999</v>
      </c>
      <c r="BD83" s="80">
        <v>3.4134429999999998E-4</v>
      </c>
      <c r="BE83" s="27">
        <v>1209.0979210999999</v>
      </c>
      <c r="BF83" s="27">
        <v>4.6186397392999998</v>
      </c>
      <c r="BG83" s="79">
        <v>0.20568801</v>
      </c>
      <c r="BH83" s="80">
        <v>6.5703476E-3</v>
      </c>
      <c r="BI83" s="27">
        <v>201.29393342</v>
      </c>
      <c r="BJ83" s="27">
        <v>5.9132410237000004</v>
      </c>
      <c r="BK83" s="27">
        <v>601.69214609999995</v>
      </c>
      <c r="BL83" s="27">
        <v>3.5256484294999999</v>
      </c>
      <c r="BM83" s="27">
        <v>133.77434801000001</v>
      </c>
      <c r="BN83" s="27">
        <v>0.50878814670000005</v>
      </c>
      <c r="BO83" s="27">
        <v>109.97112133</v>
      </c>
      <c r="BP83" s="27">
        <v>3.4018523199999998E-2</v>
      </c>
      <c r="BQ83" s="27">
        <v>0</v>
      </c>
      <c r="BR83" s="92">
        <v>0</v>
      </c>
      <c r="BS83" s="80" t="s">
        <v>136</v>
      </c>
      <c r="BT83" s="80">
        <v>0</v>
      </c>
      <c r="BU83" s="27">
        <v>4.8592797394999998</v>
      </c>
      <c r="BV83" s="27">
        <v>2.4866461199999999E-2</v>
      </c>
      <c r="BW83" s="27">
        <v>56.849440672</v>
      </c>
      <c r="BX83" s="27">
        <v>0.4275354468</v>
      </c>
      <c r="BY83" s="80" t="s">
        <v>136</v>
      </c>
      <c r="BZ83" s="80">
        <v>0</v>
      </c>
      <c r="CA83" s="80" t="s">
        <v>136</v>
      </c>
      <c r="CB83" s="80">
        <v>0</v>
      </c>
      <c r="CC83" s="27">
        <v>120.40725390999999</v>
      </c>
      <c r="CD83" s="27">
        <v>7.52247578E-2</v>
      </c>
      <c r="CE83" s="27">
        <v>75.869491409000005</v>
      </c>
      <c r="CF83" s="27">
        <v>0.162202547</v>
      </c>
      <c r="CG83" s="80" t="s">
        <v>136</v>
      </c>
      <c r="CH83" s="80">
        <v>0</v>
      </c>
      <c r="CI83" s="80" t="s">
        <v>136</v>
      </c>
      <c r="CJ83" s="80">
        <v>0</v>
      </c>
      <c r="CK83" s="80" t="s">
        <v>136</v>
      </c>
      <c r="CL83" s="80">
        <v>0</v>
      </c>
      <c r="CM83" s="80" t="s">
        <v>136</v>
      </c>
      <c r="CN83" s="80">
        <v>0</v>
      </c>
      <c r="CO83" s="27">
        <v>2.2388109672000001</v>
      </c>
      <c r="CP83" s="27">
        <v>1.2553318799999999E-2</v>
      </c>
      <c r="CQ83" s="27">
        <v>3.2536282363</v>
      </c>
      <c r="CR83" s="27">
        <v>3.0776578999999998E-2</v>
      </c>
      <c r="CS83" s="27">
        <v>34.717896461000002</v>
      </c>
      <c r="CT83" s="27">
        <v>0.18892878290000001</v>
      </c>
      <c r="CU83" s="27">
        <v>93.816369516999998</v>
      </c>
      <c r="CV83" s="27">
        <v>1.8236759273000001</v>
      </c>
      <c r="CW83" s="80" t="s">
        <v>136</v>
      </c>
      <c r="CX83" s="80">
        <v>0</v>
      </c>
      <c r="CY83" s="80" t="s">
        <v>136</v>
      </c>
      <c r="CZ83" s="80">
        <v>0</v>
      </c>
      <c r="DA83" s="27">
        <v>66.158010762000004</v>
      </c>
      <c r="DB83" s="27">
        <v>0.73234372339999998</v>
      </c>
      <c r="DC83" s="27">
        <v>113.93019359</v>
      </c>
      <c r="DD83" s="27">
        <v>3.8537336865</v>
      </c>
      <c r="DE83" s="27">
        <v>596.91506411</v>
      </c>
      <c r="DF83" s="27">
        <v>2.0826334363000001</v>
      </c>
      <c r="DG83" s="27">
        <v>612.18285696999999</v>
      </c>
      <c r="DH83" s="92">
        <v>2.5360063030000002</v>
      </c>
      <c r="DI83" s="95">
        <v>4.5232368100000003E-2</v>
      </c>
      <c r="DJ83" s="96">
        <v>8.2356878600000002E-2</v>
      </c>
      <c r="DK83" s="96">
        <v>0.106026045</v>
      </c>
      <c r="DL83" s="96">
        <v>0.12114710920000001</v>
      </c>
      <c r="DM83" s="96">
        <v>0.13149778170000001</v>
      </c>
      <c r="DN83" s="96">
        <v>0.1396842086</v>
      </c>
      <c r="DO83" s="96">
        <v>0.14614189189999999</v>
      </c>
      <c r="DP83" s="96">
        <v>0.151430019</v>
      </c>
      <c r="DQ83" s="96">
        <v>0.15586848640000001</v>
      </c>
      <c r="DR83" s="97">
        <v>0.15972437</v>
      </c>
      <c r="DS83" s="93">
        <v>121.71905749</v>
      </c>
      <c r="DT83" s="80">
        <v>0.82170667509999995</v>
      </c>
      <c r="DU83" s="80">
        <v>72.664023753999999</v>
      </c>
      <c r="DV83" s="80">
        <v>0.49919481380000003</v>
      </c>
      <c r="DW83" s="80">
        <v>44.450393568000003</v>
      </c>
      <c r="DX83" s="80">
        <v>0.30888180859999997</v>
      </c>
      <c r="DY83" s="80">
        <v>28.008276189</v>
      </c>
      <c r="DZ83" s="80">
        <v>0.1966618792</v>
      </c>
      <c r="EA83" s="80">
        <v>18.196410453999999</v>
      </c>
      <c r="EB83" s="80">
        <v>0.12954323970000001</v>
      </c>
      <c r="EC83" s="80">
        <v>12.268276395999999</v>
      </c>
      <c r="ED83" s="80">
        <v>8.9005372599999993E-2</v>
      </c>
      <c r="EE83" s="80">
        <v>8.5582233405999997</v>
      </c>
      <c r="EF83" s="80">
        <v>6.3753748099999993E-2</v>
      </c>
      <c r="EG83" s="80">
        <v>6.1303844175000002</v>
      </c>
      <c r="EH83" s="80">
        <v>4.7257023600000003E-2</v>
      </c>
      <c r="EI83" s="80">
        <v>4.5159898351000001</v>
      </c>
      <c r="EJ83" s="80">
        <v>3.6167767099999998E-2</v>
      </c>
      <c r="EK83" s="80">
        <v>3.4324569493000001</v>
      </c>
      <c r="EL83" s="94">
        <v>2.8698134399999999E-2</v>
      </c>
    </row>
    <row r="84" spans="1:142" x14ac:dyDescent="0.2">
      <c r="A84" s="79">
        <v>400000</v>
      </c>
      <c r="B84" s="27">
        <v>81</v>
      </c>
      <c r="C84" s="79">
        <v>5509.4438036000001</v>
      </c>
      <c r="D84" s="27">
        <v>343073.24959000002</v>
      </c>
      <c r="E84" s="27">
        <v>323.86218323000003</v>
      </c>
      <c r="F84" s="27">
        <v>0.14415963030000001</v>
      </c>
      <c r="G84" s="79">
        <v>1103.1564631000001</v>
      </c>
      <c r="H84" s="27">
        <v>5.7287827999999999E-2</v>
      </c>
      <c r="I84" s="27">
        <v>208.01942366</v>
      </c>
      <c r="J84" s="27">
        <v>1.3554253699000001</v>
      </c>
      <c r="K84" s="27">
        <v>166.84090692999999</v>
      </c>
      <c r="L84" s="27">
        <v>0.90037210150000002</v>
      </c>
      <c r="M84" s="27">
        <v>61.736371247000001</v>
      </c>
      <c r="N84" s="27">
        <v>0.45252603660000001</v>
      </c>
      <c r="O84" s="80" t="s">
        <v>136</v>
      </c>
      <c r="P84" s="80">
        <v>0</v>
      </c>
      <c r="Q84" s="27">
        <v>198.14799768</v>
      </c>
      <c r="R84" s="27">
        <v>0.23925338839999999</v>
      </c>
      <c r="S84" s="80" t="s">
        <v>136</v>
      </c>
      <c r="T84" s="80">
        <v>0</v>
      </c>
      <c r="U84" s="80" t="s">
        <v>136</v>
      </c>
      <c r="V84" s="80">
        <v>0</v>
      </c>
      <c r="W84" s="27">
        <v>5.5187886557999999</v>
      </c>
      <c r="X84" s="27">
        <v>4.3503445199999997E-2</v>
      </c>
      <c r="Y84" s="27">
        <v>128.86603020000001</v>
      </c>
      <c r="Z84" s="27">
        <v>2.0143372033000002</v>
      </c>
      <c r="AA84" s="80" t="s">
        <v>136</v>
      </c>
      <c r="AB84" s="80">
        <v>0</v>
      </c>
      <c r="AC84" s="27">
        <v>8.4409329999999996E-4</v>
      </c>
      <c r="AD84" s="27">
        <v>2.3404447E-6</v>
      </c>
      <c r="AE84" s="80" t="s">
        <v>136</v>
      </c>
      <c r="AF84" s="80">
        <v>0</v>
      </c>
      <c r="AG84" s="80" t="s">
        <v>136</v>
      </c>
      <c r="AH84" s="80">
        <v>0</v>
      </c>
      <c r="AI84" s="27">
        <f t="shared" si="8"/>
        <v>8.4409329999999996E-4</v>
      </c>
      <c r="AJ84" s="27">
        <f t="shared" si="9"/>
        <v>2.3404447E-6</v>
      </c>
      <c r="AK84" s="27">
        <v>195.41782599000001</v>
      </c>
      <c r="AL84" s="27">
        <v>2.2673987154000002</v>
      </c>
      <c r="AM84" s="80" t="s">
        <v>136</v>
      </c>
      <c r="AN84" s="80">
        <v>0</v>
      </c>
      <c r="AO84" s="80" t="s">
        <v>136</v>
      </c>
      <c r="AP84" s="80">
        <v>0</v>
      </c>
      <c r="AQ84" s="80" t="s">
        <v>136</v>
      </c>
      <c r="AR84" s="80">
        <v>0</v>
      </c>
      <c r="AS84" s="27">
        <v>181.36321877</v>
      </c>
      <c r="AT84" s="27">
        <v>4.6056760973999999</v>
      </c>
      <c r="AU84" s="27">
        <v>228.77967906999999</v>
      </c>
      <c r="AV84" s="27">
        <v>1.1061672468999999</v>
      </c>
      <c r="AW84" s="27">
        <v>96.796702468000007</v>
      </c>
      <c r="AX84" s="27">
        <v>0.71591227300000004</v>
      </c>
      <c r="AY84" s="27">
        <v>18.557975300999999</v>
      </c>
      <c r="AZ84" s="27">
        <v>0.13030056640000001</v>
      </c>
      <c r="BA84" s="80">
        <f t="shared" si="10"/>
        <v>113.42500130099998</v>
      </c>
      <c r="BB84" s="80">
        <f t="shared" si="11"/>
        <v>0.25995440749999987</v>
      </c>
      <c r="BC84" s="27">
        <v>2.9695023173999999</v>
      </c>
      <c r="BD84" s="80">
        <v>3.6834310000000001E-4</v>
      </c>
      <c r="BE84" s="27">
        <v>1237.7742552</v>
      </c>
      <c r="BF84" s="27">
        <v>4.6632067034000002</v>
      </c>
      <c r="BG84" s="79">
        <v>0.21389549939999999</v>
      </c>
      <c r="BH84" s="80">
        <v>7.3960722999999997E-3</v>
      </c>
      <c r="BI84" s="27">
        <v>201.57934538000001</v>
      </c>
      <c r="BJ84" s="27">
        <v>5.9181419528000001</v>
      </c>
      <c r="BK84" s="27">
        <v>603.82284526000001</v>
      </c>
      <c r="BL84" s="27">
        <v>3.529530641</v>
      </c>
      <c r="BM84" s="27">
        <v>133.95441966999999</v>
      </c>
      <c r="BN84" s="27">
        <v>0.50917178380000006</v>
      </c>
      <c r="BO84" s="27">
        <v>111.57929371</v>
      </c>
      <c r="BP84" s="27">
        <v>3.4253189099999998E-2</v>
      </c>
      <c r="BQ84" s="27">
        <v>0</v>
      </c>
      <c r="BR84" s="92">
        <v>0</v>
      </c>
      <c r="BS84" s="80" t="s">
        <v>136</v>
      </c>
      <c r="BT84" s="80">
        <v>0</v>
      </c>
      <c r="BU84" s="27">
        <v>4.8660812892000003</v>
      </c>
      <c r="BV84" s="27">
        <v>2.4886643399999998E-2</v>
      </c>
      <c r="BW84" s="27">
        <v>56.870289956999997</v>
      </c>
      <c r="BX84" s="27">
        <v>0.4276393933</v>
      </c>
      <c r="BY84" s="80" t="s">
        <v>136</v>
      </c>
      <c r="BZ84" s="80">
        <v>0</v>
      </c>
      <c r="CA84" s="80" t="s">
        <v>136</v>
      </c>
      <c r="CB84" s="80">
        <v>0</v>
      </c>
      <c r="CC84" s="27">
        <v>121.71606343000001</v>
      </c>
      <c r="CD84" s="27">
        <v>7.5924642099999995E-2</v>
      </c>
      <c r="CE84" s="27">
        <v>76.431934245999997</v>
      </c>
      <c r="CF84" s="27">
        <v>0.16332874629999999</v>
      </c>
      <c r="CG84" s="80" t="s">
        <v>136</v>
      </c>
      <c r="CH84" s="80">
        <v>0</v>
      </c>
      <c r="CI84" s="80" t="s">
        <v>136</v>
      </c>
      <c r="CJ84" s="80">
        <v>0</v>
      </c>
      <c r="CK84" s="80" t="s">
        <v>136</v>
      </c>
      <c r="CL84" s="80">
        <v>0</v>
      </c>
      <c r="CM84" s="80" t="s">
        <v>136</v>
      </c>
      <c r="CN84" s="80">
        <v>0</v>
      </c>
      <c r="CO84" s="27">
        <v>2.2659293151000002</v>
      </c>
      <c r="CP84" s="27">
        <v>1.2733994E-2</v>
      </c>
      <c r="CQ84" s="27">
        <v>3.2528593407000002</v>
      </c>
      <c r="CR84" s="27">
        <v>3.0769451199999999E-2</v>
      </c>
      <c r="CS84" s="27">
        <v>35.002597293999997</v>
      </c>
      <c r="CT84" s="27">
        <v>0.19017812249999999</v>
      </c>
      <c r="CU84" s="27">
        <v>93.863432907999993</v>
      </c>
      <c r="CV84" s="27">
        <v>1.8241590808000001</v>
      </c>
      <c r="CW84" s="80" t="s">
        <v>136</v>
      </c>
      <c r="CX84" s="80">
        <v>0</v>
      </c>
      <c r="CY84" s="80" t="s">
        <v>136</v>
      </c>
      <c r="CZ84" s="80">
        <v>0</v>
      </c>
      <c r="DA84" s="27">
        <v>67.004495552999998</v>
      </c>
      <c r="DB84" s="27">
        <v>0.7405039471</v>
      </c>
      <c r="DC84" s="27">
        <v>114.35872320999999</v>
      </c>
      <c r="DD84" s="27">
        <v>3.8651721503999998</v>
      </c>
      <c r="DE84" s="27">
        <v>612.63125228000001</v>
      </c>
      <c r="DF84" s="27">
        <v>2.1094215220999999</v>
      </c>
      <c r="DG84" s="27">
        <v>625.14300288000004</v>
      </c>
      <c r="DH84" s="92">
        <v>2.5537851812999999</v>
      </c>
      <c r="DI84" s="95">
        <v>4.5458800600000002E-2</v>
      </c>
      <c r="DJ84" s="96">
        <v>8.2809412299999996E-2</v>
      </c>
      <c r="DK84" s="96">
        <v>0.1066996395</v>
      </c>
      <c r="DL84" s="96">
        <v>0.12203851810000001</v>
      </c>
      <c r="DM84" s="96">
        <v>0.13260125489999999</v>
      </c>
      <c r="DN84" s="96">
        <v>0.1409947252</v>
      </c>
      <c r="DO84" s="96">
        <v>0.1476514458</v>
      </c>
      <c r="DP84" s="96">
        <v>0.15313472310000001</v>
      </c>
      <c r="DQ84" s="96">
        <v>0.15776721990000001</v>
      </c>
      <c r="DR84" s="97">
        <v>0.16181449419999999</v>
      </c>
      <c r="DS84" s="93">
        <v>121.86705963</v>
      </c>
      <c r="DT84" s="80">
        <v>0.82227460730000002</v>
      </c>
      <c r="DU84" s="80">
        <v>72.786707297999996</v>
      </c>
      <c r="DV84" s="80">
        <v>0.4997046013</v>
      </c>
      <c r="DW84" s="80">
        <v>44.545795378000001</v>
      </c>
      <c r="DX84" s="80">
        <v>0.30931938860000002</v>
      </c>
      <c r="DY84" s="80">
        <v>28.085122715000001</v>
      </c>
      <c r="DZ84" s="80">
        <v>0.19703062709999999</v>
      </c>
      <c r="EA84" s="80">
        <v>18.255161864000002</v>
      </c>
      <c r="EB84" s="80">
        <v>0.12984339440000001</v>
      </c>
      <c r="EC84" s="80">
        <v>12.31113023</v>
      </c>
      <c r="ED84" s="80">
        <v>8.9248489700000003E-2</v>
      </c>
      <c r="EE84" s="80">
        <v>8.5944464263999993</v>
      </c>
      <c r="EF84" s="80">
        <v>6.3957833699999994E-2</v>
      </c>
      <c r="EG84" s="80">
        <v>6.1618762390999997</v>
      </c>
      <c r="EH84" s="80">
        <v>4.74335886E-2</v>
      </c>
      <c r="EI84" s="80">
        <v>4.5432729037000001</v>
      </c>
      <c r="EJ84" s="80">
        <v>3.6319336100000002E-2</v>
      </c>
      <c r="EK84" s="80">
        <v>3.4553580066</v>
      </c>
      <c r="EL84" s="94">
        <v>2.8823552299999999E-2</v>
      </c>
    </row>
    <row r="85" spans="1:142" x14ac:dyDescent="0.2">
      <c r="A85" s="79">
        <v>500000</v>
      </c>
      <c r="B85" s="27">
        <v>37</v>
      </c>
      <c r="C85" s="79">
        <v>5534.1544424000003</v>
      </c>
      <c r="D85" s="27">
        <v>444733.24984</v>
      </c>
      <c r="E85" s="27">
        <v>324.35660267999998</v>
      </c>
      <c r="F85" s="27">
        <v>0.14424824040000001</v>
      </c>
      <c r="G85" s="79">
        <v>1132.5451188</v>
      </c>
      <c r="H85" s="27">
        <v>5.7685126500000003E-2</v>
      </c>
      <c r="I85" s="27">
        <v>208.14418585999999</v>
      </c>
      <c r="J85" s="27">
        <v>1.3556661812999999</v>
      </c>
      <c r="K85" s="27">
        <v>167.18546473999999</v>
      </c>
      <c r="L85" s="27">
        <v>0.90116812980000005</v>
      </c>
      <c r="M85" s="27">
        <v>61.756385487999999</v>
      </c>
      <c r="N85" s="27">
        <v>0.4526582442</v>
      </c>
      <c r="O85" s="80" t="s">
        <v>136</v>
      </c>
      <c r="P85" s="80">
        <v>0</v>
      </c>
      <c r="Q85" s="27">
        <v>198.99911438999999</v>
      </c>
      <c r="R85" s="27">
        <v>0.24010498029999999</v>
      </c>
      <c r="S85" s="80" t="s">
        <v>136</v>
      </c>
      <c r="T85" s="80">
        <v>0</v>
      </c>
      <c r="U85" s="80" t="s">
        <v>136</v>
      </c>
      <c r="V85" s="80">
        <v>0</v>
      </c>
      <c r="W85" s="27">
        <v>5.5421232010999999</v>
      </c>
      <c r="X85" s="27">
        <v>4.3834818099999999E-2</v>
      </c>
      <c r="Y85" s="27">
        <v>128.94250882</v>
      </c>
      <c r="Z85" s="27">
        <v>2.0147071522000002</v>
      </c>
      <c r="AA85" s="80" t="s">
        <v>136</v>
      </c>
      <c r="AB85" s="80">
        <v>0</v>
      </c>
      <c r="AC85" s="27">
        <v>8.4394129999999996E-4</v>
      </c>
      <c r="AD85" s="27">
        <v>2.3400233999999998E-6</v>
      </c>
      <c r="AE85" s="80" t="s">
        <v>136</v>
      </c>
      <c r="AF85" s="80">
        <v>0</v>
      </c>
      <c r="AG85" s="80" t="s">
        <v>136</v>
      </c>
      <c r="AH85" s="80">
        <v>0</v>
      </c>
      <c r="AI85" s="27">
        <f t="shared" si="8"/>
        <v>8.4394129999999996E-4</v>
      </c>
      <c r="AJ85" s="27">
        <f t="shared" si="9"/>
        <v>2.3400233999999998E-6</v>
      </c>
      <c r="AK85" s="27">
        <v>195.50281479</v>
      </c>
      <c r="AL85" s="27">
        <v>2.2684652346999998</v>
      </c>
      <c r="AM85" s="80" t="s">
        <v>136</v>
      </c>
      <c r="AN85" s="80">
        <v>0</v>
      </c>
      <c r="AO85" s="80" t="s">
        <v>136</v>
      </c>
      <c r="AP85" s="80">
        <v>0</v>
      </c>
      <c r="AQ85" s="80" t="s">
        <v>136</v>
      </c>
      <c r="AR85" s="80">
        <v>0</v>
      </c>
      <c r="AS85" s="27">
        <v>182.05035577000001</v>
      </c>
      <c r="AT85" s="27">
        <v>4.6167180641999996</v>
      </c>
      <c r="AU85" s="27">
        <v>229.79921708000001</v>
      </c>
      <c r="AV85" s="27">
        <v>1.1080892199000001</v>
      </c>
      <c r="AW85" s="27">
        <v>97.243961268999996</v>
      </c>
      <c r="AX85" s="27">
        <v>0.71721335330000002</v>
      </c>
      <c r="AY85" s="27">
        <v>18.571621417999999</v>
      </c>
      <c r="AZ85" s="27">
        <v>0.13032678319999999</v>
      </c>
      <c r="BA85" s="80">
        <f t="shared" si="10"/>
        <v>113.98363439300002</v>
      </c>
      <c r="BB85" s="80">
        <f t="shared" si="11"/>
        <v>0.26054908340000005</v>
      </c>
      <c r="BC85" s="27">
        <v>3.0874624168000002</v>
      </c>
      <c r="BD85" s="80">
        <v>3.789962E-4</v>
      </c>
      <c r="BE85" s="27">
        <v>1251.2151968999999</v>
      </c>
      <c r="BF85" s="27">
        <v>4.6836496838999997</v>
      </c>
      <c r="BG85" s="79">
        <v>0.21856565180000001</v>
      </c>
      <c r="BH85" s="80">
        <v>7.7282098E-3</v>
      </c>
      <c r="BI85" s="27">
        <v>201.66827186</v>
      </c>
      <c r="BJ85" s="27">
        <v>5.9201854543000003</v>
      </c>
      <c r="BK85" s="27">
        <v>604.31523405999997</v>
      </c>
      <c r="BL85" s="27">
        <v>3.5310726539999999</v>
      </c>
      <c r="BM85" s="27">
        <v>134.13230469000001</v>
      </c>
      <c r="BN85" s="27">
        <v>0.50936759760000005</v>
      </c>
      <c r="BO85" s="27">
        <v>113.4943057</v>
      </c>
      <c r="BP85" s="27">
        <v>3.4396106099999997E-2</v>
      </c>
      <c r="BQ85" s="27">
        <v>0</v>
      </c>
      <c r="BR85" s="92">
        <v>0</v>
      </c>
      <c r="BS85" s="80" t="s">
        <v>136</v>
      </c>
      <c r="BT85" s="80">
        <v>0</v>
      </c>
      <c r="BU85" s="27">
        <v>4.8655948704999998</v>
      </c>
      <c r="BV85" s="27">
        <v>2.4886676999999999E-2</v>
      </c>
      <c r="BW85" s="27">
        <v>56.890790617</v>
      </c>
      <c r="BX85" s="27">
        <v>0.42777156719999998</v>
      </c>
      <c r="BY85" s="80" t="s">
        <v>136</v>
      </c>
      <c r="BZ85" s="80">
        <v>0</v>
      </c>
      <c r="CA85" s="80" t="s">
        <v>136</v>
      </c>
      <c r="CB85" s="80">
        <v>0</v>
      </c>
      <c r="CC85" s="27">
        <v>122.36747364999999</v>
      </c>
      <c r="CD85" s="27">
        <v>7.6272268000000004E-2</v>
      </c>
      <c r="CE85" s="27">
        <v>76.631640731999994</v>
      </c>
      <c r="CF85" s="27">
        <v>0.16383271229999999</v>
      </c>
      <c r="CG85" s="80" t="s">
        <v>136</v>
      </c>
      <c r="CH85" s="80">
        <v>0</v>
      </c>
      <c r="CI85" s="80" t="s">
        <v>136</v>
      </c>
      <c r="CJ85" s="80">
        <v>0</v>
      </c>
      <c r="CK85" s="80" t="s">
        <v>136</v>
      </c>
      <c r="CL85" s="80">
        <v>0</v>
      </c>
      <c r="CM85" s="80" t="s">
        <v>136</v>
      </c>
      <c r="CN85" s="80">
        <v>0</v>
      </c>
      <c r="CO85" s="27">
        <v>2.2791130162000002</v>
      </c>
      <c r="CP85" s="27">
        <v>1.29919092E-2</v>
      </c>
      <c r="CQ85" s="27">
        <v>3.2630101849000002</v>
      </c>
      <c r="CR85" s="27">
        <v>3.08429089E-2</v>
      </c>
      <c r="CS85" s="27">
        <v>35.058619974000003</v>
      </c>
      <c r="CT85" s="27">
        <v>0.1904497661</v>
      </c>
      <c r="CU85" s="27">
        <v>93.883888842000005</v>
      </c>
      <c r="CV85" s="27">
        <v>1.8242573861</v>
      </c>
      <c r="CW85" s="80" t="s">
        <v>136</v>
      </c>
      <c r="CX85" s="80">
        <v>0</v>
      </c>
      <c r="CY85" s="80" t="s">
        <v>136</v>
      </c>
      <c r="CZ85" s="80">
        <v>0</v>
      </c>
      <c r="DA85" s="27">
        <v>67.495809037000001</v>
      </c>
      <c r="DB85" s="27">
        <v>0.74495747140000002</v>
      </c>
      <c r="DC85" s="27">
        <v>114.55454673</v>
      </c>
      <c r="DD85" s="27">
        <v>3.8717605927999998</v>
      </c>
      <c r="DE85" s="27">
        <v>621.73100135000004</v>
      </c>
      <c r="DF85" s="27">
        <v>2.1240460072</v>
      </c>
      <c r="DG85" s="27">
        <v>629.48419554999998</v>
      </c>
      <c r="DH85" s="92">
        <v>2.5596036767000001</v>
      </c>
      <c r="DI85" s="95">
        <v>4.5549798599999997E-2</v>
      </c>
      <c r="DJ85" s="96">
        <v>8.2992397199999998E-2</v>
      </c>
      <c r="DK85" s="96">
        <v>0.1069734468</v>
      </c>
      <c r="DL85" s="96">
        <v>0.12240277400000001</v>
      </c>
      <c r="DM85" s="96">
        <v>0.1330564974</v>
      </c>
      <c r="DN85" s="96">
        <v>0.141541209</v>
      </c>
      <c r="DO85" s="96">
        <v>0.14828937910000001</v>
      </c>
      <c r="DP85" s="96">
        <v>0.15386425449999999</v>
      </c>
      <c r="DQ85" s="96">
        <v>0.15858444739999999</v>
      </c>
      <c r="DR85" s="97">
        <v>0.16271815710000001</v>
      </c>
      <c r="DS85" s="93">
        <v>121.98193053999999</v>
      </c>
      <c r="DT85" s="80">
        <v>0.82249873100000004</v>
      </c>
      <c r="DU85" s="80">
        <v>72.889820972999999</v>
      </c>
      <c r="DV85" s="80">
        <v>0.49990350509999998</v>
      </c>
      <c r="DW85" s="80">
        <v>44.638506524999997</v>
      </c>
      <c r="DX85" s="80">
        <v>0.30949665799999998</v>
      </c>
      <c r="DY85" s="80">
        <v>28.167025006999999</v>
      </c>
      <c r="DZ85" s="80">
        <v>0.1971811081</v>
      </c>
      <c r="EA85" s="80">
        <v>18.326442647</v>
      </c>
      <c r="EB85" s="80">
        <v>0.1299657474</v>
      </c>
      <c r="EC85" s="80">
        <v>12.372371994</v>
      </c>
      <c r="ED85" s="80">
        <v>8.9346261499999996E-2</v>
      </c>
      <c r="EE85" s="80">
        <v>8.6463488069000007</v>
      </c>
      <c r="EF85" s="80">
        <v>6.4033212800000003E-2</v>
      </c>
      <c r="EG85" s="80">
        <v>6.2057174455000004</v>
      </c>
      <c r="EH85" s="80">
        <v>4.7492223799999997E-2</v>
      </c>
      <c r="EI85" s="80">
        <v>4.5799239464000001</v>
      </c>
      <c r="EJ85" s="80">
        <v>3.6367266400000001E-2</v>
      </c>
      <c r="EK85" s="80">
        <v>3.4854677084999999</v>
      </c>
      <c r="EL85" s="94">
        <v>2.8864365499999999E-2</v>
      </c>
    </row>
    <row r="86" spans="1:142" x14ac:dyDescent="0.2">
      <c r="A86" s="79">
        <v>1000000</v>
      </c>
      <c r="B86" s="27">
        <v>52</v>
      </c>
      <c r="C86" s="79">
        <v>5579.6645339999995</v>
      </c>
      <c r="D86" s="27">
        <v>668431.99795999995</v>
      </c>
      <c r="E86" s="27">
        <v>324.91463829999998</v>
      </c>
      <c r="F86" s="27">
        <v>0.14435956959999999</v>
      </c>
      <c r="G86" s="79">
        <v>1197.5714581</v>
      </c>
      <c r="H86" s="27">
        <v>5.8340976000000003E-2</v>
      </c>
      <c r="I86" s="27">
        <v>208.23186423000001</v>
      </c>
      <c r="J86" s="27">
        <v>1.3560166238</v>
      </c>
      <c r="K86" s="27">
        <v>167.53360599000001</v>
      </c>
      <c r="L86" s="27">
        <v>0.90208903799999995</v>
      </c>
      <c r="M86" s="27">
        <v>61.767804826000003</v>
      </c>
      <c r="N86" s="27">
        <v>0.45275230449999998</v>
      </c>
      <c r="O86" s="80" t="s">
        <v>136</v>
      </c>
      <c r="P86" s="80">
        <v>0</v>
      </c>
      <c r="Q86" s="27">
        <v>199.94553162</v>
      </c>
      <c r="R86" s="27">
        <v>0.24101772229999999</v>
      </c>
      <c r="S86" s="80" t="s">
        <v>136</v>
      </c>
      <c r="T86" s="80">
        <v>0</v>
      </c>
      <c r="U86" s="80" t="s">
        <v>136</v>
      </c>
      <c r="V86" s="80">
        <v>0</v>
      </c>
      <c r="W86" s="27">
        <v>5.6516718198999998</v>
      </c>
      <c r="X86" s="27">
        <v>4.4323871600000002E-2</v>
      </c>
      <c r="Y86" s="27">
        <v>129.17648077000001</v>
      </c>
      <c r="Z86" s="27">
        <v>2.0160430159999998</v>
      </c>
      <c r="AA86" s="80" t="s">
        <v>136</v>
      </c>
      <c r="AB86" s="80">
        <v>0</v>
      </c>
      <c r="AC86" s="27">
        <v>8.4340999999999995E-4</v>
      </c>
      <c r="AD86" s="27">
        <v>2.3385501000000002E-6</v>
      </c>
      <c r="AE86" s="80" t="s">
        <v>136</v>
      </c>
      <c r="AF86" s="80">
        <v>0</v>
      </c>
      <c r="AG86" s="80" t="s">
        <v>136</v>
      </c>
      <c r="AH86" s="80">
        <v>0</v>
      </c>
      <c r="AI86" s="27">
        <f t="shared" si="8"/>
        <v>8.4340999999999995E-4</v>
      </c>
      <c r="AJ86" s="27">
        <f t="shared" si="9"/>
        <v>2.3385501000000002E-6</v>
      </c>
      <c r="AK86" s="27">
        <v>195.59371118999999</v>
      </c>
      <c r="AL86" s="27">
        <v>2.2696988608000002</v>
      </c>
      <c r="AM86" s="80" t="s">
        <v>136</v>
      </c>
      <c r="AN86" s="80">
        <v>0</v>
      </c>
      <c r="AO86" s="80" t="s">
        <v>136</v>
      </c>
      <c r="AP86" s="80">
        <v>0</v>
      </c>
      <c r="AQ86" s="80" t="s">
        <v>136</v>
      </c>
      <c r="AR86" s="80">
        <v>0</v>
      </c>
      <c r="AS86" s="27">
        <v>183.15373059000001</v>
      </c>
      <c r="AT86" s="27">
        <v>4.6302881451999998</v>
      </c>
      <c r="AU86" s="27">
        <v>230.68900948999999</v>
      </c>
      <c r="AV86" s="27">
        <v>1.1102516222000001</v>
      </c>
      <c r="AW86" s="27">
        <v>97.412462031999993</v>
      </c>
      <c r="AX86" s="27">
        <v>0.71834657759999998</v>
      </c>
      <c r="AY86" s="27">
        <v>18.602006033999999</v>
      </c>
      <c r="AZ86" s="27">
        <v>0.13049415559999999</v>
      </c>
      <c r="BA86" s="80">
        <f t="shared" si="10"/>
        <v>114.674541424</v>
      </c>
      <c r="BB86" s="80">
        <f t="shared" si="11"/>
        <v>0.26141088900000009</v>
      </c>
      <c r="BC86" s="27">
        <v>3.2861727967999999</v>
      </c>
      <c r="BD86" s="80">
        <v>3.9941880000000002E-4</v>
      </c>
      <c r="BE86" s="27">
        <v>1278.9484150999999</v>
      </c>
      <c r="BF86" s="27">
        <v>4.7092005348999999</v>
      </c>
      <c r="BG86" s="79">
        <v>0.22779939069999999</v>
      </c>
      <c r="BH86" s="80">
        <v>8.1763747000000008E-3</v>
      </c>
      <c r="BI86" s="27">
        <v>201.86053597</v>
      </c>
      <c r="BJ86" s="27">
        <v>5.9229860508999996</v>
      </c>
      <c r="BK86" s="27">
        <v>605.15612284999997</v>
      </c>
      <c r="BL86" s="27">
        <v>3.5327347406</v>
      </c>
      <c r="BM86" s="27">
        <v>134.31725094000001</v>
      </c>
      <c r="BN86" s="27">
        <v>0.50955564620000005</v>
      </c>
      <c r="BO86" s="27">
        <v>117.20783064</v>
      </c>
      <c r="BP86" s="27">
        <v>3.4606316599999999E-2</v>
      </c>
      <c r="BQ86" s="27">
        <v>0</v>
      </c>
      <c r="BR86" s="92">
        <v>0</v>
      </c>
      <c r="BS86" s="80" t="s">
        <v>136</v>
      </c>
      <c r="BT86" s="80">
        <v>0</v>
      </c>
      <c r="BU86" s="27">
        <v>4.8649191258000002</v>
      </c>
      <c r="BV86" s="27">
        <v>2.4883348E-2</v>
      </c>
      <c r="BW86" s="27">
        <v>56.902885699999999</v>
      </c>
      <c r="BX86" s="27">
        <v>0.42786895650000001</v>
      </c>
      <c r="BY86" s="80" t="s">
        <v>136</v>
      </c>
      <c r="BZ86" s="80">
        <v>0</v>
      </c>
      <c r="CA86" s="80" t="s">
        <v>136</v>
      </c>
      <c r="CB86" s="80">
        <v>0</v>
      </c>
      <c r="CC86" s="27">
        <v>123.09684514999999</v>
      </c>
      <c r="CD86" s="27">
        <v>7.6631181300000004E-2</v>
      </c>
      <c r="CE86" s="27">
        <v>76.848686477000001</v>
      </c>
      <c r="CF86" s="27">
        <v>0.16438654089999999</v>
      </c>
      <c r="CG86" s="80" t="s">
        <v>136</v>
      </c>
      <c r="CH86" s="80">
        <v>0</v>
      </c>
      <c r="CI86" s="80" t="s">
        <v>136</v>
      </c>
      <c r="CJ86" s="80">
        <v>0</v>
      </c>
      <c r="CK86" s="80" t="s">
        <v>136</v>
      </c>
      <c r="CL86" s="80">
        <v>0</v>
      </c>
      <c r="CM86" s="80" t="s">
        <v>136</v>
      </c>
      <c r="CN86" s="80">
        <v>0</v>
      </c>
      <c r="CO86" s="27">
        <v>2.3898533944000002</v>
      </c>
      <c r="CP86" s="27">
        <v>1.3491876599999999E-2</v>
      </c>
      <c r="CQ86" s="27">
        <v>3.2618184256</v>
      </c>
      <c r="CR86" s="27">
        <v>3.0831995000000001E-2</v>
      </c>
      <c r="CS86" s="27">
        <v>35.228406407000001</v>
      </c>
      <c r="CT86" s="27">
        <v>0.1910795056</v>
      </c>
      <c r="CU86" s="27">
        <v>93.948074362</v>
      </c>
      <c r="CV86" s="27">
        <v>1.8249635103999999</v>
      </c>
      <c r="CW86" s="80" t="s">
        <v>136</v>
      </c>
      <c r="CX86" s="80">
        <v>0</v>
      </c>
      <c r="CY86" s="80" t="s">
        <v>136</v>
      </c>
      <c r="CZ86" s="80">
        <v>0</v>
      </c>
      <c r="DA86" s="27">
        <v>68.355593123000006</v>
      </c>
      <c r="DB86" s="27">
        <v>0.75131764599999995</v>
      </c>
      <c r="DC86" s="27">
        <v>114.79813747</v>
      </c>
      <c r="DD86" s="27">
        <v>3.8789704991999998</v>
      </c>
      <c r="DE86" s="27">
        <v>636.3735848</v>
      </c>
      <c r="DF86" s="27">
        <v>2.1413703935999999</v>
      </c>
      <c r="DG86" s="27">
        <v>642.57483027000001</v>
      </c>
      <c r="DH86" s="92">
        <v>2.5678301413</v>
      </c>
      <c r="DI86" s="95">
        <v>4.5678530000000002E-2</v>
      </c>
      <c r="DJ86" s="96">
        <v>8.3247799999999997E-2</v>
      </c>
      <c r="DK86" s="96">
        <v>0.1073547396</v>
      </c>
      <c r="DL86" s="96">
        <v>0.12290672449999999</v>
      </c>
      <c r="DM86" s="96">
        <v>0.13368153569999999</v>
      </c>
      <c r="DN86" s="96">
        <v>0.14228769129999999</v>
      </c>
      <c r="DO86" s="96">
        <v>0.14915519159999999</v>
      </c>
      <c r="DP86" s="96">
        <v>0.15484840020000001</v>
      </c>
      <c r="DQ86" s="96">
        <v>0.15968587579999999</v>
      </c>
      <c r="DR86" s="97">
        <v>0.16393697309999999</v>
      </c>
      <c r="DS86" s="93">
        <v>122.06243134</v>
      </c>
      <c r="DT86" s="80">
        <v>0.8228305118</v>
      </c>
      <c r="DU86" s="80">
        <v>72.962123970999997</v>
      </c>
      <c r="DV86" s="80">
        <v>0.50020403400000002</v>
      </c>
      <c r="DW86" s="80">
        <v>44.702123143999998</v>
      </c>
      <c r="DX86" s="80">
        <v>0.30976383899999999</v>
      </c>
      <c r="DY86" s="80">
        <v>28.223558447999999</v>
      </c>
      <c r="DZ86" s="80">
        <v>0.197420925</v>
      </c>
      <c r="EA86" s="80">
        <v>18.376209606</v>
      </c>
      <c r="EB86" s="80">
        <v>0.1301774476</v>
      </c>
      <c r="EC86" s="80">
        <v>12.416514467000001</v>
      </c>
      <c r="ED86" s="80">
        <v>8.9535858499999996E-2</v>
      </c>
      <c r="EE86" s="80">
        <v>8.6853313950000004</v>
      </c>
      <c r="EF86" s="80">
        <v>6.4203827199999994E-2</v>
      </c>
      <c r="EG86" s="80">
        <v>6.2413436558999997</v>
      </c>
      <c r="EH86" s="80">
        <v>4.7646967899999997E-2</v>
      </c>
      <c r="EI86" s="80">
        <v>4.6123427818999998</v>
      </c>
      <c r="EJ86" s="80">
        <v>3.6506240600000003E-2</v>
      </c>
      <c r="EK86" s="80">
        <v>3.5156322610999999</v>
      </c>
      <c r="EL86" s="94">
        <v>2.8991644600000002E-2</v>
      </c>
    </row>
    <row r="87" spans="1:142" x14ac:dyDescent="0.2">
      <c r="A87" s="79">
        <v>2000000</v>
      </c>
      <c r="B87" s="27">
        <v>11</v>
      </c>
      <c r="C87" s="79">
        <v>5595.7789921000003</v>
      </c>
      <c r="D87" s="27">
        <v>1351186.1129000001</v>
      </c>
      <c r="E87" s="27">
        <v>325.12291723999999</v>
      </c>
      <c r="F87" s="27">
        <v>0.1443860773</v>
      </c>
      <c r="G87" s="79">
        <v>1236.7414745999999</v>
      </c>
      <c r="H87" s="27">
        <v>5.8488645800000003E-2</v>
      </c>
      <c r="I87" s="27">
        <v>208.23878649</v>
      </c>
      <c r="J87" s="27">
        <v>1.3560691655999999</v>
      </c>
      <c r="K87" s="27">
        <v>167.82195532</v>
      </c>
      <c r="L87" s="27">
        <v>0.90227278119999998</v>
      </c>
      <c r="M87" s="27">
        <v>61.768213025999998</v>
      </c>
      <c r="N87" s="27">
        <v>0.45275145039999998</v>
      </c>
      <c r="O87" s="80" t="s">
        <v>136</v>
      </c>
      <c r="P87" s="80">
        <v>0</v>
      </c>
      <c r="Q87" s="27">
        <v>200.07497964000001</v>
      </c>
      <c r="R87" s="27">
        <v>0.2412009158</v>
      </c>
      <c r="S87" s="80" t="s">
        <v>136</v>
      </c>
      <c r="T87" s="80">
        <v>0</v>
      </c>
      <c r="U87" s="80" t="s">
        <v>136</v>
      </c>
      <c r="V87" s="80">
        <v>0</v>
      </c>
      <c r="W87" s="27">
        <v>5.6512200161999999</v>
      </c>
      <c r="X87" s="27">
        <v>4.4320217500000002E-2</v>
      </c>
      <c r="Y87" s="27">
        <v>129.18156586000001</v>
      </c>
      <c r="Z87" s="27">
        <v>2.0160532151999999</v>
      </c>
      <c r="AA87" s="80" t="s">
        <v>136</v>
      </c>
      <c r="AB87" s="80">
        <v>0</v>
      </c>
      <c r="AC87" s="27">
        <v>8.4333409999999998E-4</v>
      </c>
      <c r="AD87" s="27">
        <v>2.3383398000000001E-6</v>
      </c>
      <c r="AE87" s="80" t="s">
        <v>136</v>
      </c>
      <c r="AF87" s="80">
        <v>0</v>
      </c>
      <c r="AG87" s="80" t="s">
        <v>136</v>
      </c>
      <c r="AH87" s="80">
        <v>0</v>
      </c>
      <c r="AI87" s="27">
        <f t="shared" si="8"/>
        <v>8.4333409999999998E-4</v>
      </c>
      <c r="AJ87" s="27">
        <f t="shared" si="9"/>
        <v>2.3383398000000001E-6</v>
      </c>
      <c r="AK87" s="27">
        <v>195.60697214999999</v>
      </c>
      <c r="AL87" s="27">
        <v>2.2700543635999999</v>
      </c>
      <c r="AM87" s="80" t="s">
        <v>136</v>
      </c>
      <c r="AN87" s="80">
        <v>0</v>
      </c>
      <c r="AO87" s="80" t="s">
        <v>136</v>
      </c>
      <c r="AP87" s="80">
        <v>0</v>
      </c>
      <c r="AQ87" s="80" t="s">
        <v>136</v>
      </c>
      <c r="AR87" s="80">
        <v>0</v>
      </c>
      <c r="AS87" s="27">
        <v>183.37094730000001</v>
      </c>
      <c r="AT87" s="27">
        <v>4.6361146559000002</v>
      </c>
      <c r="AU87" s="27">
        <v>230.80221359000001</v>
      </c>
      <c r="AV87" s="27">
        <v>1.1110589577000001</v>
      </c>
      <c r="AW87" s="27">
        <v>97.455987100000002</v>
      </c>
      <c r="AX87" s="27">
        <v>0.71902781100000002</v>
      </c>
      <c r="AY87" s="27">
        <v>18.606159794</v>
      </c>
      <c r="AZ87" s="27">
        <v>0.1305151346</v>
      </c>
      <c r="BA87" s="80">
        <f t="shared" si="10"/>
        <v>114.74006669600001</v>
      </c>
      <c r="BB87" s="80">
        <f t="shared" si="11"/>
        <v>0.26151601210000008</v>
      </c>
      <c r="BC87" s="27">
        <v>3.2860265141</v>
      </c>
      <c r="BD87" s="80">
        <v>3.994011E-4</v>
      </c>
      <c r="BE87" s="27">
        <v>1284.4482625000001</v>
      </c>
      <c r="BF87" s="27">
        <v>4.7173263086999997</v>
      </c>
      <c r="BG87" s="79">
        <v>0.2315711604</v>
      </c>
      <c r="BH87" s="80">
        <v>8.1760050999999997E-3</v>
      </c>
      <c r="BI87" s="27">
        <v>201.88260464000001</v>
      </c>
      <c r="BJ87" s="27">
        <v>5.9232945515999997</v>
      </c>
      <c r="BK87" s="27">
        <v>605.27472967000006</v>
      </c>
      <c r="BL87" s="27">
        <v>3.5330106392</v>
      </c>
      <c r="BM87" s="27">
        <v>134.33520167</v>
      </c>
      <c r="BN87" s="27">
        <v>0.50955715759999998</v>
      </c>
      <c r="BO87" s="27">
        <v>117.22177168</v>
      </c>
      <c r="BP87" s="27">
        <v>3.4615936899999998E-2</v>
      </c>
      <c r="BQ87" s="27">
        <v>0</v>
      </c>
      <c r="BR87" s="92">
        <v>0</v>
      </c>
      <c r="BS87" s="80" t="s">
        <v>136</v>
      </c>
      <c r="BT87" s="80">
        <v>0</v>
      </c>
      <c r="BU87" s="27">
        <v>4.8647676344999997</v>
      </c>
      <c r="BV87" s="27">
        <v>2.4882582699999999E-2</v>
      </c>
      <c r="BW87" s="27">
        <v>56.903445390999998</v>
      </c>
      <c r="BX87" s="27">
        <v>0.42786886769999999</v>
      </c>
      <c r="BY87" s="80" t="s">
        <v>136</v>
      </c>
      <c r="BZ87" s="80">
        <v>0</v>
      </c>
      <c r="CA87" s="80" t="s">
        <v>136</v>
      </c>
      <c r="CB87" s="80">
        <v>0</v>
      </c>
      <c r="CC87" s="27">
        <v>123.18175291</v>
      </c>
      <c r="CD87" s="27">
        <v>7.6689627699999999E-2</v>
      </c>
      <c r="CE87" s="27">
        <v>76.893226736000003</v>
      </c>
      <c r="CF87" s="27">
        <v>0.16451128800000001</v>
      </c>
      <c r="CG87" s="80" t="s">
        <v>136</v>
      </c>
      <c r="CH87" s="80">
        <v>0</v>
      </c>
      <c r="CI87" s="80" t="s">
        <v>136</v>
      </c>
      <c r="CJ87" s="80">
        <v>0</v>
      </c>
      <c r="CK87" s="80" t="s">
        <v>136</v>
      </c>
      <c r="CL87" s="80">
        <v>0</v>
      </c>
      <c r="CM87" s="80" t="s">
        <v>136</v>
      </c>
      <c r="CN87" s="80">
        <v>0</v>
      </c>
      <c r="CO87" s="27">
        <v>2.3896889033000002</v>
      </c>
      <c r="CP87" s="27">
        <v>1.3490910199999999E-2</v>
      </c>
      <c r="CQ87" s="27">
        <v>3.2615311130000002</v>
      </c>
      <c r="CR87" s="27">
        <v>3.0829307300000001E-2</v>
      </c>
      <c r="CS87" s="27">
        <v>35.234397614000002</v>
      </c>
      <c r="CT87" s="27">
        <v>0.19111431609999999</v>
      </c>
      <c r="CU87" s="27">
        <v>93.947168241</v>
      </c>
      <c r="CV87" s="27">
        <v>1.8249388992</v>
      </c>
      <c r="CW87" s="80" t="s">
        <v>136</v>
      </c>
      <c r="CX87" s="80">
        <v>0</v>
      </c>
      <c r="CY87" s="80" t="s">
        <v>136</v>
      </c>
      <c r="CZ87" s="80">
        <v>0</v>
      </c>
      <c r="DA87" s="27">
        <v>68.491690375000005</v>
      </c>
      <c r="DB87" s="27">
        <v>0.75236934619999996</v>
      </c>
      <c r="DC87" s="27">
        <v>114.87925692</v>
      </c>
      <c r="DD87" s="27">
        <v>3.8837453096000001</v>
      </c>
      <c r="DE87" s="27">
        <v>639.33215289999998</v>
      </c>
      <c r="DF87" s="27">
        <v>2.1464073616000001</v>
      </c>
      <c r="DG87" s="27">
        <v>645.11610960999997</v>
      </c>
      <c r="DH87" s="92">
        <v>2.5709189471</v>
      </c>
      <c r="DI87" s="95">
        <v>4.5709495000000003E-2</v>
      </c>
      <c r="DJ87" s="96">
        <v>8.33100591E-2</v>
      </c>
      <c r="DK87" s="96">
        <v>0.10744881789999999</v>
      </c>
      <c r="DL87" s="96">
        <v>0.1230329245</v>
      </c>
      <c r="DM87" s="96">
        <v>0.1338400176</v>
      </c>
      <c r="DN87" s="96">
        <v>0.14247853050000001</v>
      </c>
      <c r="DO87" s="96">
        <v>0.14937844889999999</v>
      </c>
      <c r="DP87" s="96">
        <v>0.15510412000000001</v>
      </c>
      <c r="DQ87" s="96">
        <v>0.15997409209999999</v>
      </c>
      <c r="DR87" s="97">
        <v>0.16425770940000001</v>
      </c>
      <c r="DS87" s="93">
        <v>122.0699195</v>
      </c>
      <c r="DT87" s="80">
        <v>0.82288546009999997</v>
      </c>
      <c r="DU87" s="80">
        <v>72.969317290000006</v>
      </c>
      <c r="DV87" s="80">
        <v>0.50025730450000006</v>
      </c>
      <c r="DW87" s="80">
        <v>44.708491799999997</v>
      </c>
      <c r="DX87" s="80">
        <v>0.309812211</v>
      </c>
      <c r="DY87" s="80">
        <v>28.229061615999999</v>
      </c>
      <c r="DZ87" s="80">
        <v>0.1974642653</v>
      </c>
      <c r="EA87" s="80">
        <v>18.381303917</v>
      </c>
      <c r="EB87" s="80">
        <v>0.1302181315</v>
      </c>
      <c r="EC87" s="80">
        <v>12.421275605</v>
      </c>
      <c r="ED87" s="80">
        <v>8.9574202699999994E-2</v>
      </c>
      <c r="EE87" s="80">
        <v>8.6896695841000007</v>
      </c>
      <c r="EF87" s="80">
        <v>6.4239204600000002E-2</v>
      </c>
      <c r="EG87" s="80">
        <v>6.2452058602999996</v>
      </c>
      <c r="EH87" s="80">
        <v>4.7679009899999999E-2</v>
      </c>
      <c r="EI87" s="80">
        <v>4.6156933891999996</v>
      </c>
      <c r="EJ87" s="80">
        <v>3.6534704799999998E-2</v>
      </c>
      <c r="EK87" s="80">
        <v>3.5187359728000001</v>
      </c>
      <c r="EL87" s="94">
        <v>2.9017729700000001E-2</v>
      </c>
    </row>
    <row r="88" spans="1:142" x14ac:dyDescent="0.2">
      <c r="A88" s="82" t="s">
        <v>11</v>
      </c>
      <c r="B88" s="83">
        <v>1</v>
      </c>
      <c r="C88" s="82">
        <v>5598.7901880999998</v>
      </c>
      <c r="D88" s="83">
        <v>2759955.0177000002</v>
      </c>
      <c r="E88" s="83">
        <v>325.12145400999998</v>
      </c>
      <c r="F88" s="83">
        <v>0.14438558939999999</v>
      </c>
      <c r="G88" s="82">
        <v>1247.2337599</v>
      </c>
      <c r="H88" s="83">
        <v>5.8513422299999999E-2</v>
      </c>
      <c r="I88" s="83">
        <v>208.23837399000001</v>
      </c>
      <c r="J88" s="83">
        <v>1.3560658388</v>
      </c>
      <c r="K88" s="83">
        <v>167.84753928000001</v>
      </c>
      <c r="L88" s="83">
        <v>0.90229172810000002</v>
      </c>
      <c r="M88" s="83">
        <v>61.768836991000001</v>
      </c>
      <c r="N88" s="83">
        <v>0.45275685659999998</v>
      </c>
      <c r="O88" s="98" t="s">
        <v>136</v>
      </c>
      <c r="P88" s="98">
        <v>0</v>
      </c>
      <c r="Q88" s="83">
        <v>200.09023044</v>
      </c>
      <c r="R88" s="83">
        <v>0.241230956</v>
      </c>
      <c r="S88" s="98" t="s">
        <v>136</v>
      </c>
      <c r="T88" s="98">
        <v>0</v>
      </c>
      <c r="U88" s="98" t="s">
        <v>136</v>
      </c>
      <c r="V88" s="98">
        <v>0</v>
      </c>
      <c r="W88" s="83">
        <v>5.6512055045</v>
      </c>
      <c r="X88" s="83">
        <v>4.4320126699999997E-2</v>
      </c>
      <c r="Y88" s="83">
        <v>129.18499552</v>
      </c>
      <c r="Z88" s="83">
        <v>2.0160659664999998</v>
      </c>
      <c r="AA88" s="98" t="s">
        <v>136</v>
      </c>
      <c r="AB88" s="98">
        <v>0</v>
      </c>
      <c r="AC88" s="83">
        <v>8.4333409999999998E-4</v>
      </c>
      <c r="AD88" s="83">
        <v>2.3383398000000001E-6</v>
      </c>
      <c r="AE88" s="98" t="s">
        <v>136</v>
      </c>
      <c r="AF88" s="98">
        <v>0</v>
      </c>
      <c r="AG88" s="98" t="s">
        <v>136</v>
      </c>
      <c r="AH88" s="98">
        <v>0</v>
      </c>
      <c r="AI88" s="83">
        <f t="shared" si="8"/>
        <v>8.4333409999999998E-4</v>
      </c>
      <c r="AJ88" s="83">
        <f t="shared" si="9"/>
        <v>2.3383398000000001E-6</v>
      </c>
      <c r="AK88" s="83">
        <v>195.60638001000001</v>
      </c>
      <c r="AL88" s="83">
        <v>2.2700536223999999</v>
      </c>
      <c r="AM88" s="98" t="s">
        <v>136</v>
      </c>
      <c r="AN88" s="98">
        <v>0</v>
      </c>
      <c r="AO88" s="98" t="s">
        <v>136</v>
      </c>
      <c r="AP88" s="98">
        <v>0</v>
      </c>
      <c r="AQ88" s="98" t="s">
        <v>136</v>
      </c>
      <c r="AR88" s="98">
        <v>0</v>
      </c>
      <c r="AS88" s="83">
        <v>183.38664326</v>
      </c>
      <c r="AT88" s="83">
        <v>4.6362914971000002</v>
      </c>
      <c r="AU88" s="83">
        <v>230.80378787000001</v>
      </c>
      <c r="AV88" s="83">
        <v>1.1110793058999999</v>
      </c>
      <c r="AW88" s="83">
        <v>97.458477946000002</v>
      </c>
      <c r="AX88" s="83">
        <v>0.71905021359999999</v>
      </c>
      <c r="AY88" s="83">
        <v>18.606086591</v>
      </c>
      <c r="AZ88" s="83">
        <v>0.13051460000000001</v>
      </c>
      <c r="BA88" s="98">
        <f t="shared" si="10"/>
        <v>114.73922333300001</v>
      </c>
      <c r="BB88" s="98">
        <f t="shared" si="11"/>
        <v>0.2615144922999999</v>
      </c>
      <c r="BC88" s="83">
        <v>3.2859949789999998</v>
      </c>
      <c r="BD88" s="98">
        <v>3.9939730000000001E-4</v>
      </c>
      <c r="BE88" s="83">
        <v>1284.7703174999999</v>
      </c>
      <c r="BF88" s="83">
        <v>4.7179802489</v>
      </c>
      <c r="BG88" s="82">
        <v>0.2338149279</v>
      </c>
      <c r="BH88" s="98">
        <v>8.1759238000000001E-3</v>
      </c>
      <c r="BI88" s="83">
        <v>201.88381616999999</v>
      </c>
      <c r="BJ88" s="83">
        <v>5.9233172184000003</v>
      </c>
      <c r="BK88" s="83">
        <v>605.27814710999996</v>
      </c>
      <c r="BL88" s="83">
        <v>3.5330180199000001</v>
      </c>
      <c r="BM88" s="83">
        <v>134.35697819999999</v>
      </c>
      <c r="BN88" s="83">
        <v>0.50956696040000005</v>
      </c>
      <c r="BO88" s="83">
        <v>117.22088402999999</v>
      </c>
      <c r="BP88" s="83">
        <v>3.46157058E-2</v>
      </c>
      <c r="BQ88" s="83">
        <v>0</v>
      </c>
      <c r="BR88" s="99">
        <v>0</v>
      </c>
      <c r="BS88" s="98" t="s">
        <v>136</v>
      </c>
      <c r="BT88" s="98">
        <v>0</v>
      </c>
      <c r="BU88" s="83">
        <v>4.8647452202999997</v>
      </c>
      <c r="BV88" s="83">
        <v>2.48824905E-2</v>
      </c>
      <c r="BW88" s="83">
        <v>56.904091770999997</v>
      </c>
      <c r="BX88" s="83">
        <v>0.42787436600000001</v>
      </c>
      <c r="BY88" s="98" t="s">
        <v>136</v>
      </c>
      <c r="BZ88" s="98">
        <v>0</v>
      </c>
      <c r="CA88" s="98" t="s">
        <v>136</v>
      </c>
      <c r="CB88" s="98">
        <v>0</v>
      </c>
      <c r="CC88" s="83">
        <v>123.19450697000001</v>
      </c>
      <c r="CD88" s="83">
        <v>7.6706258299999996E-2</v>
      </c>
      <c r="CE88" s="83">
        <v>76.895723472</v>
      </c>
      <c r="CF88" s="83">
        <v>0.1645246977</v>
      </c>
      <c r="CG88" s="98" t="s">
        <v>136</v>
      </c>
      <c r="CH88" s="98">
        <v>0</v>
      </c>
      <c r="CI88" s="98" t="s">
        <v>136</v>
      </c>
      <c r="CJ88" s="98">
        <v>0</v>
      </c>
      <c r="CK88" s="98" t="s">
        <v>136</v>
      </c>
      <c r="CL88" s="98">
        <v>0</v>
      </c>
      <c r="CM88" s="98" t="s">
        <v>136</v>
      </c>
      <c r="CN88" s="98">
        <v>0</v>
      </c>
      <c r="CO88" s="83">
        <v>2.3896788347000002</v>
      </c>
      <c r="CP88" s="83">
        <v>1.34908601E-2</v>
      </c>
      <c r="CQ88" s="83">
        <v>3.2615266697999998</v>
      </c>
      <c r="CR88" s="83">
        <v>3.0829266599999999E-2</v>
      </c>
      <c r="CS88" s="83">
        <v>35.238254329</v>
      </c>
      <c r="CT88" s="83">
        <v>0.1911354905</v>
      </c>
      <c r="CU88" s="83">
        <v>93.946741192000005</v>
      </c>
      <c r="CV88" s="83">
        <v>1.8249304759</v>
      </c>
      <c r="CW88" s="98" t="s">
        <v>136</v>
      </c>
      <c r="CX88" s="98">
        <v>0</v>
      </c>
      <c r="CY88" s="98" t="s">
        <v>136</v>
      </c>
      <c r="CZ88" s="98">
        <v>0</v>
      </c>
      <c r="DA88" s="83">
        <v>68.500103319000004</v>
      </c>
      <c r="DB88" s="83">
        <v>0.75248277370000005</v>
      </c>
      <c r="DC88" s="83">
        <v>114.88653994000001</v>
      </c>
      <c r="DD88" s="83">
        <v>3.8838087234000001</v>
      </c>
      <c r="DE88" s="83">
        <v>639.62157701000001</v>
      </c>
      <c r="DF88" s="83">
        <v>2.1470110643</v>
      </c>
      <c r="DG88" s="83">
        <v>645.14874046</v>
      </c>
      <c r="DH88" s="99">
        <v>2.5709691846</v>
      </c>
      <c r="DI88" s="100">
        <v>4.5713231700000002E-2</v>
      </c>
      <c r="DJ88" s="101">
        <v>8.3317574399999997E-2</v>
      </c>
      <c r="DK88" s="101">
        <v>0.1074601562</v>
      </c>
      <c r="DL88" s="101">
        <v>0.1230481232</v>
      </c>
      <c r="DM88" s="101">
        <v>0.13385909970000001</v>
      </c>
      <c r="DN88" s="101">
        <v>0.14250150810000001</v>
      </c>
      <c r="DO88" s="101">
        <v>0.14940533249999999</v>
      </c>
      <c r="DP88" s="101">
        <v>0.15513491770000001</v>
      </c>
      <c r="DQ88" s="101">
        <v>0.16000881110000001</v>
      </c>
      <c r="DR88" s="102">
        <v>0.1642963546</v>
      </c>
      <c r="DS88" s="103">
        <v>122.06934181</v>
      </c>
      <c r="DT88" s="98">
        <v>0.82288179110000004</v>
      </c>
      <c r="DU88" s="98">
        <v>72.968971761999995</v>
      </c>
      <c r="DV88" s="98">
        <v>0.50025511339999995</v>
      </c>
      <c r="DW88" s="98">
        <v>44.708281839000001</v>
      </c>
      <c r="DX88" s="98">
        <v>0.30981090160000002</v>
      </c>
      <c r="DY88" s="98">
        <v>28.228929382</v>
      </c>
      <c r="DZ88" s="98">
        <v>0.19746346419999999</v>
      </c>
      <c r="EA88" s="98">
        <v>18.381216761000001</v>
      </c>
      <c r="EB88" s="98">
        <v>0.13021761900000001</v>
      </c>
      <c r="EC88" s="98">
        <v>12.421215573</v>
      </c>
      <c r="ED88" s="98">
        <v>8.9573858699999995E-2</v>
      </c>
      <c r="EE88" s="98">
        <v>8.6896264517000006</v>
      </c>
      <c r="EF88" s="98">
        <v>6.4238961499999997E-2</v>
      </c>
      <c r="EG88" s="98">
        <v>6.2451742311</v>
      </c>
      <c r="EH88" s="98">
        <v>4.76788327E-2</v>
      </c>
      <c r="EI88" s="98">
        <v>4.6156696155999999</v>
      </c>
      <c r="EJ88" s="98">
        <v>3.6534571299999999E-2</v>
      </c>
      <c r="EK88" s="98">
        <v>3.5187179784999998</v>
      </c>
      <c r="EL88" s="104">
        <v>2.9017627300000001E-2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cms</vt:lpstr>
      <vt:lpstr>gold</vt:lpstr>
      <vt:lpstr>silver</vt:lpstr>
      <vt:lpstr>bronze</vt:lpstr>
      <vt:lpstr>meps</vt:lpstr>
      <vt:lpstr>simu</vt:lpstr>
      <vt:lpstr>MD</vt:lpstr>
      <vt:lpstr>label</vt:lpstr>
      <vt:lpstr>goldcombined</vt:lpstr>
      <vt:lpstr>Gold Cont. Table - Combined (2</vt:lpstr>
      <vt:lpstr>goldcombined2</vt:lpstr>
      <vt:lpstr>corr</vt:lpstr>
      <vt:lpstr>platinumcombined</vt:lpstr>
      <vt:lpstr>bronzecombined</vt:lpstr>
      <vt:lpstr>Platinum Cont. Table - Combined</vt:lpstr>
      <vt:lpstr>Gold Cont. Table - Combined</vt:lpstr>
      <vt:lpstr>Silver Cont. Table - Combined</vt:lpstr>
      <vt:lpstr>Bronze Cont. Table - Combined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Chenyuan Liu</dc:creator>
  <cp:lastModifiedBy>Microsoft Office User</cp:lastModifiedBy>
  <dcterms:created xsi:type="dcterms:W3CDTF">2016-09-09T21:18:03Z</dcterms:created>
  <dcterms:modified xsi:type="dcterms:W3CDTF">2017-08-14T07:56:31Z</dcterms:modified>
</cp:coreProperties>
</file>